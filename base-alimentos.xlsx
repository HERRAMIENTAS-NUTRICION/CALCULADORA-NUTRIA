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wnloads\Tabla Composicion Alimentos INTA\"/>
    </mc:Choice>
  </mc:AlternateContent>
  <xr:revisionPtr revIDLastSave="0" documentId="13_ncr:1_{C00063CA-A3AA-4A27-AF18-3381FC7A09BF}" xr6:coauthVersionLast="47" xr6:coauthVersionMax="47" xr10:uidLastSave="{00000000-0000-0000-0000-000000000000}"/>
  <bookViews>
    <workbookView xWindow="23880" yWindow="-120" windowWidth="29040" windowHeight="15840" activeTab="1" xr2:uid="{00000000-000D-0000-FFFF-FFFF00000000}"/>
  </bookViews>
  <sheets>
    <sheet name="Calculadora" sheetId="1" r:id="rId1"/>
    <sheet name="Datos" sheetId="2" r:id="rId2"/>
    <sheet name="Fuentes" sheetId="3" r:id="rId3"/>
    <sheet name="Lista" sheetId="4" state="hidden" r:id="rId4"/>
    <sheet name="Valores completados" sheetId="5" r:id="rId5"/>
  </sheets>
  <definedNames>
    <definedName name="_xlnm._FilterDatabase" localSheetId="1" hidden="1">Datos!$A$1:$AM$648</definedName>
    <definedName name="_xlnm._FilterDatabase" localSheetId="4" hidden="1">'Valores completados'!$A$1:$G$6021</definedName>
    <definedName name="ListaFiltrada">OFFSET(Lista!$D$2,0,0,MAX(1,MAX(Lista!$B$2:$B$647)),1)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47" i="4" l="1"/>
  <c r="B647" i="4" s="1"/>
  <c r="A646" i="4"/>
  <c r="B646" i="4" s="1"/>
  <c r="A645" i="4"/>
  <c r="B645" i="4" s="1"/>
  <c r="A644" i="4"/>
  <c r="B644" i="4" s="1"/>
  <c r="A643" i="4"/>
  <c r="B643" i="4" s="1"/>
  <c r="A642" i="4"/>
  <c r="B642" i="4" s="1"/>
  <c r="A641" i="4"/>
  <c r="B641" i="4" s="1"/>
  <c r="A640" i="4"/>
  <c r="B640" i="4" s="1"/>
  <c r="A639" i="4"/>
  <c r="B639" i="4" s="1"/>
  <c r="A638" i="4"/>
  <c r="B638" i="4" s="1"/>
  <c r="A637" i="4"/>
  <c r="B637" i="4" s="1"/>
  <c r="A636" i="4"/>
  <c r="B636" i="4" s="1"/>
  <c r="A635" i="4"/>
  <c r="B635" i="4" s="1"/>
  <c r="A634" i="4"/>
  <c r="B634" i="4" s="1"/>
  <c r="A633" i="4"/>
  <c r="B633" i="4" s="1"/>
  <c r="A632" i="4"/>
  <c r="B632" i="4" s="1"/>
  <c r="A631" i="4"/>
  <c r="B631" i="4" s="1"/>
  <c r="A630" i="4"/>
  <c r="B630" i="4" s="1"/>
  <c r="A629" i="4"/>
  <c r="B629" i="4" s="1"/>
  <c r="A628" i="4"/>
  <c r="B628" i="4" s="1"/>
  <c r="A627" i="4"/>
  <c r="B627" i="4" s="1"/>
  <c r="A626" i="4"/>
  <c r="B626" i="4" s="1"/>
  <c r="A625" i="4"/>
  <c r="B625" i="4" s="1"/>
  <c r="A624" i="4"/>
  <c r="B624" i="4" s="1"/>
  <c r="A623" i="4"/>
  <c r="B623" i="4" s="1"/>
  <c r="A622" i="4"/>
  <c r="B622" i="4" s="1"/>
  <c r="B621" i="4"/>
  <c r="A621" i="4"/>
  <c r="A620" i="4"/>
  <c r="B620" i="4" s="1"/>
  <c r="A619" i="4"/>
  <c r="B619" i="4" s="1"/>
  <c r="A618" i="4"/>
  <c r="B618" i="4" s="1"/>
  <c r="A617" i="4"/>
  <c r="B617" i="4" s="1"/>
  <c r="A616" i="4"/>
  <c r="B616" i="4" s="1"/>
  <c r="A615" i="4"/>
  <c r="B615" i="4" s="1"/>
  <c r="A614" i="4"/>
  <c r="B614" i="4" s="1"/>
  <c r="A613" i="4"/>
  <c r="B613" i="4" s="1"/>
  <c r="A612" i="4"/>
  <c r="B612" i="4" s="1"/>
  <c r="A611" i="4"/>
  <c r="B611" i="4" s="1"/>
  <c r="A610" i="4"/>
  <c r="B610" i="4" s="1"/>
  <c r="A609" i="4"/>
  <c r="B609" i="4" s="1"/>
  <c r="A608" i="4"/>
  <c r="B608" i="4" s="1"/>
  <c r="A607" i="4"/>
  <c r="B607" i="4" s="1"/>
  <c r="A606" i="4"/>
  <c r="B606" i="4" s="1"/>
  <c r="A605" i="4"/>
  <c r="B605" i="4" s="1"/>
  <c r="A604" i="4"/>
  <c r="B604" i="4" s="1"/>
  <c r="A603" i="4"/>
  <c r="B603" i="4" s="1"/>
  <c r="A602" i="4"/>
  <c r="B602" i="4" s="1"/>
  <c r="A601" i="4"/>
  <c r="B601" i="4" s="1"/>
  <c r="A600" i="4"/>
  <c r="B600" i="4" s="1"/>
  <c r="A599" i="4"/>
  <c r="B599" i="4" s="1"/>
  <c r="A598" i="4"/>
  <c r="B598" i="4" s="1"/>
  <c r="A597" i="4"/>
  <c r="B597" i="4" s="1"/>
  <c r="A596" i="4"/>
  <c r="B596" i="4" s="1"/>
  <c r="A595" i="4"/>
  <c r="B595" i="4" s="1"/>
  <c r="A594" i="4"/>
  <c r="B594" i="4" s="1"/>
  <c r="A593" i="4"/>
  <c r="B593" i="4" s="1"/>
  <c r="A592" i="4"/>
  <c r="B592" i="4" s="1"/>
  <c r="A591" i="4"/>
  <c r="B591" i="4" s="1"/>
  <c r="A590" i="4"/>
  <c r="B590" i="4" s="1"/>
  <c r="A589" i="4"/>
  <c r="B589" i="4" s="1"/>
  <c r="A588" i="4"/>
  <c r="B588" i="4" s="1"/>
  <c r="A587" i="4"/>
  <c r="B587" i="4" s="1"/>
  <c r="A586" i="4"/>
  <c r="B586" i="4" s="1"/>
  <c r="A585" i="4"/>
  <c r="B585" i="4" s="1"/>
  <c r="A584" i="4"/>
  <c r="B584" i="4" s="1"/>
  <c r="A583" i="4"/>
  <c r="B583" i="4" s="1"/>
  <c r="A582" i="4"/>
  <c r="B582" i="4" s="1"/>
  <c r="A581" i="4"/>
  <c r="B581" i="4" s="1"/>
  <c r="A580" i="4"/>
  <c r="B580" i="4" s="1"/>
  <c r="A579" i="4"/>
  <c r="B579" i="4" s="1"/>
  <c r="A578" i="4"/>
  <c r="B578" i="4" s="1"/>
  <c r="A577" i="4"/>
  <c r="B577" i="4" s="1"/>
  <c r="A576" i="4"/>
  <c r="B576" i="4" s="1"/>
  <c r="A575" i="4"/>
  <c r="B575" i="4" s="1"/>
  <c r="A574" i="4"/>
  <c r="B574" i="4" s="1"/>
  <c r="A573" i="4"/>
  <c r="B573" i="4" s="1"/>
  <c r="A572" i="4"/>
  <c r="B572" i="4" s="1"/>
  <c r="A571" i="4"/>
  <c r="B571" i="4" s="1"/>
  <c r="A570" i="4"/>
  <c r="B570" i="4" s="1"/>
  <c r="A569" i="4"/>
  <c r="B569" i="4" s="1"/>
  <c r="A568" i="4"/>
  <c r="B568" i="4" s="1"/>
  <c r="B567" i="4"/>
  <c r="A567" i="4"/>
  <c r="A566" i="4"/>
  <c r="B566" i="4" s="1"/>
  <c r="A565" i="4"/>
  <c r="B565" i="4" s="1"/>
  <c r="A564" i="4"/>
  <c r="B564" i="4" s="1"/>
  <c r="A563" i="4"/>
  <c r="B563" i="4" s="1"/>
  <c r="A562" i="4"/>
  <c r="B562" i="4" s="1"/>
  <c r="A561" i="4"/>
  <c r="B561" i="4" s="1"/>
  <c r="A560" i="4"/>
  <c r="B560" i="4" s="1"/>
  <c r="A559" i="4"/>
  <c r="B559" i="4" s="1"/>
  <c r="A558" i="4"/>
  <c r="B558" i="4" s="1"/>
  <c r="A557" i="4"/>
  <c r="B557" i="4" s="1"/>
  <c r="A556" i="4"/>
  <c r="B556" i="4" s="1"/>
  <c r="A555" i="4"/>
  <c r="B555" i="4" s="1"/>
  <c r="A554" i="4"/>
  <c r="B554" i="4" s="1"/>
  <c r="A553" i="4"/>
  <c r="B553" i="4" s="1"/>
  <c r="A552" i="4"/>
  <c r="B552" i="4" s="1"/>
  <c r="A551" i="4"/>
  <c r="B551" i="4" s="1"/>
  <c r="A550" i="4"/>
  <c r="B550" i="4" s="1"/>
  <c r="A549" i="4"/>
  <c r="B549" i="4" s="1"/>
  <c r="A548" i="4"/>
  <c r="B548" i="4" s="1"/>
  <c r="A547" i="4"/>
  <c r="B547" i="4" s="1"/>
  <c r="A546" i="4"/>
  <c r="B546" i="4" s="1"/>
  <c r="A545" i="4"/>
  <c r="B545" i="4" s="1"/>
  <c r="A544" i="4"/>
  <c r="B544" i="4" s="1"/>
  <c r="A543" i="4"/>
  <c r="B543" i="4" s="1"/>
  <c r="A542" i="4"/>
  <c r="B542" i="4" s="1"/>
  <c r="A541" i="4"/>
  <c r="B541" i="4" s="1"/>
  <c r="A540" i="4"/>
  <c r="B540" i="4" s="1"/>
  <c r="A539" i="4"/>
  <c r="B539" i="4" s="1"/>
  <c r="A538" i="4"/>
  <c r="B538" i="4" s="1"/>
  <c r="A537" i="4"/>
  <c r="B537" i="4" s="1"/>
  <c r="A536" i="4"/>
  <c r="B536" i="4" s="1"/>
  <c r="A535" i="4"/>
  <c r="B535" i="4" s="1"/>
  <c r="A534" i="4"/>
  <c r="B534" i="4" s="1"/>
  <c r="A533" i="4"/>
  <c r="B533" i="4" s="1"/>
  <c r="A532" i="4"/>
  <c r="B532" i="4" s="1"/>
  <c r="A531" i="4"/>
  <c r="B531" i="4" s="1"/>
  <c r="A530" i="4"/>
  <c r="B530" i="4" s="1"/>
  <c r="A529" i="4"/>
  <c r="B529" i="4" s="1"/>
  <c r="A528" i="4"/>
  <c r="B528" i="4" s="1"/>
  <c r="A527" i="4"/>
  <c r="B527" i="4" s="1"/>
  <c r="A526" i="4"/>
  <c r="B526" i="4" s="1"/>
  <c r="A525" i="4"/>
  <c r="B525" i="4" s="1"/>
  <c r="A524" i="4"/>
  <c r="B524" i="4" s="1"/>
  <c r="B523" i="4"/>
  <c r="A523" i="4"/>
  <c r="A522" i="4"/>
  <c r="B522" i="4" s="1"/>
  <c r="A521" i="4"/>
  <c r="B521" i="4" s="1"/>
  <c r="A520" i="4"/>
  <c r="B520" i="4" s="1"/>
  <c r="A519" i="4"/>
  <c r="B519" i="4" s="1"/>
  <c r="A518" i="4"/>
  <c r="B518" i="4" s="1"/>
  <c r="A517" i="4"/>
  <c r="B517" i="4" s="1"/>
  <c r="A516" i="4"/>
  <c r="B516" i="4" s="1"/>
  <c r="A515" i="4"/>
  <c r="B515" i="4" s="1"/>
  <c r="A514" i="4"/>
  <c r="B514" i="4" s="1"/>
  <c r="A513" i="4"/>
  <c r="B513" i="4" s="1"/>
  <c r="A512" i="4"/>
  <c r="B512" i="4" s="1"/>
  <c r="A511" i="4"/>
  <c r="B511" i="4" s="1"/>
  <c r="A510" i="4"/>
  <c r="B510" i="4" s="1"/>
  <c r="B509" i="4"/>
  <c r="A509" i="4"/>
  <c r="A508" i="4"/>
  <c r="B508" i="4" s="1"/>
  <c r="A507" i="4"/>
  <c r="B507" i="4" s="1"/>
  <c r="A506" i="4"/>
  <c r="B506" i="4" s="1"/>
  <c r="A505" i="4"/>
  <c r="B505" i="4" s="1"/>
  <c r="A504" i="4"/>
  <c r="B504" i="4" s="1"/>
  <c r="A503" i="4"/>
  <c r="B503" i="4" s="1"/>
  <c r="A502" i="4"/>
  <c r="B502" i="4" s="1"/>
  <c r="A501" i="4"/>
  <c r="B501" i="4" s="1"/>
  <c r="A500" i="4"/>
  <c r="B500" i="4" s="1"/>
  <c r="A499" i="4"/>
  <c r="B499" i="4" s="1"/>
  <c r="A498" i="4"/>
  <c r="B498" i="4" s="1"/>
  <c r="A497" i="4"/>
  <c r="B497" i="4" s="1"/>
  <c r="A496" i="4"/>
  <c r="B496" i="4" s="1"/>
  <c r="A495" i="4"/>
  <c r="B495" i="4" s="1"/>
  <c r="A494" i="4"/>
  <c r="B494" i="4" s="1"/>
  <c r="B493" i="4"/>
  <c r="A493" i="4"/>
  <c r="A492" i="4"/>
  <c r="B492" i="4" s="1"/>
  <c r="A491" i="4"/>
  <c r="B491" i="4" s="1"/>
  <c r="A490" i="4"/>
  <c r="B490" i="4" s="1"/>
  <c r="A489" i="4"/>
  <c r="B489" i="4" s="1"/>
  <c r="A488" i="4"/>
  <c r="B488" i="4" s="1"/>
  <c r="A487" i="4"/>
  <c r="B487" i="4" s="1"/>
  <c r="A486" i="4"/>
  <c r="B486" i="4" s="1"/>
  <c r="A485" i="4"/>
  <c r="B485" i="4" s="1"/>
  <c r="A484" i="4"/>
  <c r="B484" i="4" s="1"/>
  <c r="A483" i="4"/>
  <c r="B483" i="4" s="1"/>
  <c r="A482" i="4"/>
  <c r="B482" i="4" s="1"/>
  <c r="A481" i="4"/>
  <c r="B481" i="4" s="1"/>
  <c r="A480" i="4"/>
  <c r="B480" i="4" s="1"/>
  <c r="A479" i="4"/>
  <c r="B479" i="4" s="1"/>
  <c r="A478" i="4"/>
  <c r="B478" i="4" s="1"/>
  <c r="B477" i="4"/>
  <c r="A477" i="4"/>
  <c r="A476" i="4"/>
  <c r="B476" i="4" s="1"/>
  <c r="A475" i="4"/>
  <c r="B475" i="4" s="1"/>
  <c r="A474" i="4"/>
  <c r="B474" i="4" s="1"/>
  <c r="A473" i="4"/>
  <c r="B473" i="4" s="1"/>
  <c r="A472" i="4"/>
  <c r="B472" i="4" s="1"/>
  <c r="A471" i="4"/>
  <c r="B471" i="4" s="1"/>
  <c r="A470" i="4"/>
  <c r="B470" i="4" s="1"/>
  <c r="A469" i="4"/>
  <c r="B469" i="4" s="1"/>
  <c r="A468" i="4"/>
  <c r="B468" i="4" s="1"/>
  <c r="A467" i="4"/>
  <c r="B467" i="4" s="1"/>
  <c r="A466" i="4"/>
  <c r="B466" i="4" s="1"/>
  <c r="A465" i="4"/>
  <c r="B465" i="4" s="1"/>
  <c r="A464" i="4"/>
  <c r="B464" i="4" s="1"/>
  <c r="A463" i="4"/>
  <c r="B463" i="4" s="1"/>
  <c r="A462" i="4"/>
  <c r="B462" i="4" s="1"/>
  <c r="A461" i="4"/>
  <c r="B461" i="4" s="1"/>
  <c r="A460" i="4"/>
  <c r="B460" i="4" s="1"/>
  <c r="A459" i="4"/>
  <c r="B459" i="4" s="1"/>
  <c r="A458" i="4"/>
  <c r="B458" i="4" s="1"/>
  <c r="A457" i="4"/>
  <c r="B457" i="4" s="1"/>
  <c r="A456" i="4"/>
  <c r="B456" i="4" s="1"/>
  <c r="A455" i="4"/>
  <c r="B455" i="4" s="1"/>
  <c r="A454" i="4"/>
  <c r="B454" i="4" s="1"/>
  <c r="B453" i="4"/>
  <c r="A453" i="4"/>
  <c r="A452" i="4"/>
  <c r="B452" i="4" s="1"/>
  <c r="A451" i="4"/>
  <c r="B451" i="4" s="1"/>
  <c r="A450" i="4"/>
  <c r="B450" i="4" s="1"/>
  <c r="A449" i="4"/>
  <c r="B449" i="4" s="1"/>
  <c r="A448" i="4"/>
  <c r="B448" i="4" s="1"/>
  <c r="A447" i="4"/>
  <c r="B447" i="4" s="1"/>
  <c r="A446" i="4"/>
  <c r="B446" i="4" s="1"/>
  <c r="A445" i="4"/>
  <c r="B445" i="4" s="1"/>
  <c r="A444" i="4"/>
  <c r="B444" i="4" s="1"/>
  <c r="A443" i="4"/>
  <c r="B443" i="4" s="1"/>
  <c r="A442" i="4"/>
  <c r="B442" i="4" s="1"/>
  <c r="A441" i="4"/>
  <c r="B441" i="4" s="1"/>
  <c r="A440" i="4"/>
  <c r="B440" i="4" s="1"/>
  <c r="A439" i="4"/>
  <c r="B439" i="4" s="1"/>
  <c r="A438" i="4"/>
  <c r="B438" i="4" s="1"/>
  <c r="A437" i="4"/>
  <c r="B437" i="4" s="1"/>
  <c r="A436" i="4"/>
  <c r="B436" i="4" s="1"/>
  <c r="B435" i="4"/>
  <c r="A435" i="4"/>
  <c r="A434" i="4"/>
  <c r="B434" i="4" s="1"/>
  <c r="A433" i="4"/>
  <c r="B433" i="4" s="1"/>
  <c r="A432" i="4"/>
  <c r="B432" i="4" s="1"/>
  <c r="A431" i="4"/>
  <c r="B431" i="4" s="1"/>
  <c r="A430" i="4"/>
  <c r="B430" i="4" s="1"/>
  <c r="A429" i="4"/>
  <c r="B429" i="4" s="1"/>
  <c r="A428" i="4"/>
  <c r="B428" i="4" s="1"/>
  <c r="A427" i="4"/>
  <c r="B427" i="4" s="1"/>
  <c r="B426" i="4"/>
  <c r="A426" i="4"/>
  <c r="A425" i="4"/>
  <c r="B425" i="4" s="1"/>
  <c r="A424" i="4"/>
  <c r="B424" i="4" s="1"/>
  <c r="B423" i="4"/>
  <c r="A423" i="4"/>
  <c r="A422" i="4"/>
  <c r="B422" i="4" s="1"/>
  <c r="A421" i="4"/>
  <c r="B421" i="4" s="1"/>
  <c r="A420" i="4"/>
  <c r="B420" i="4" s="1"/>
  <c r="A419" i="4"/>
  <c r="B419" i="4" s="1"/>
  <c r="A418" i="4"/>
  <c r="B418" i="4" s="1"/>
  <c r="A417" i="4"/>
  <c r="B417" i="4" s="1"/>
  <c r="A416" i="4"/>
  <c r="B416" i="4" s="1"/>
  <c r="A415" i="4"/>
  <c r="B415" i="4" s="1"/>
  <c r="A414" i="4"/>
  <c r="B414" i="4" s="1"/>
  <c r="A413" i="4"/>
  <c r="B413" i="4" s="1"/>
  <c r="A412" i="4"/>
  <c r="B412" i="4" s="1"/>
  <c r="A411" i="4"/>
  <c r="B411" i="4" s="1"/>
  <c r="A410" i="4"/>
  <c r="B410" i="4" s="1"/>
  <c r="A409" i="4"/>
  <c r="B409" i="4" s="1"/>
  <c r="A408" i="4"/>
  <c r="B408" i="4" s="1"/>
  <c r="A407" i="4"/>
  <c r="B407" i="4" s="1"/>
  <c r="A406" i="4"/>
  <c r="B406" i="4" s="1"/>
  <c r="A405" i="4"/>
  <c r="B405" i="4" s="1"/>
  <c r="A404" i="4"/>
  <c r="B404" i="4" s="1"/>
  <c r="A403" i="4"/>
  <c r="B403" i="4" s="1"/>
  <c r="A402" i="4"/>
  <c r="B402" i="4" s="1"/>
  <c r="A401" i="4"/>
  <c r="B401" i="4" s="1"/>
  <c r="A400" i="4"/>
  <c r="B400" i="4" s="1"/>
  <c r="A399" i="4"/>
  <c r="B399" i="4" s="1"/>
  <c r="A398" i="4"/>
  <c r="B398" i="4" s="1"/>
  <c r="A397" i="4"/>
  <c r="B397" i="4" s="1"/>
  <c r="A396" i="4"/>
  <c r="B396" i="4" s="1"/>
  <c r="A395" i="4"/>
  <c r="B395" i="4" s="1"/>
  <c r="A394" i="4"/>
  <c r="B394" i="4" s="1"/>
  <c r="A393" i="4"/>
  <c r="B393" i="4" s="1"/>
  <c r="A392" i="4"/>
  <c r="B392" i="4" s="1"/>
  <c r="A391" i="4"/>
  <c r="B391" i="4" s="1"/>
  <c r="A390" i="4"/>
  <c r="B390" i="4" s="1"/>
  <c r="A389" i="4"/>
  <c r="B389" i="4" s="1"/>
  <c r="A388" i="4"/>
  <c r="B388" i="4" s="1"/>
  <c r="A387" i="4"/>
  <c r="B387" i="4" s="1"/>
  <c r="A386" i="4"/>
  <c r="B386" i="4" s="1"/>
  <c r="A385" i="4"/>
  <c r="B385" i="4" s="1"/>
  <c r="A384" i="4"/>
  <c r="B384" i="4" s="1"/>
  <c r="A383" i="4"/>
  <c r="B383" i="4" s="1"/>
  <c r="A382" i="4"/>
  <c r="B382" i="4" s="1"/>
  <c r="A381" i="4"/>
  <c r="B381" i="4" s="1"/>
  <c r="A380" i="4"/>
  <c r="B380" i="4" s="1"/>
  <c r="A379" i="4"/>
  <c r="B379" i="4" s="1"/>
  <c r="A378" i="4"/>
  <c r="B378" i="4" s="1"/>
  <c r="A377" i="4"/>
  <c r="B377" i="4" s="1"/>
  <c r="A376" i="4"/>
  <c r="B376" i="4" s="1"/>
  <c r="A375" i="4"/>
  <c r="B375" i="4" s="1"/>
  <c r="A374" i="4"/>
  <c r="B374" i="4" s="1"/>
  <c r="A373" i="4"/>
  <c r="B373" i="4" s="1"/>
  <c r="A372" i="4"/>
  <c r="B372" i="4" s="1"/>
  <c r="A371" i="4"/>
  <c r="B371" i="4" s="1"/>
  <c r="A370" i="4"/>
  <c r="B370" i="4" s="1"/>
  <c r="A369" i="4"/>
  <c r="B369" i="4" s="1"/>
  <c r="A368" i="4"/>
  <c r="B368" i="4" s="1"/>
  <c r="A367" i="4"/>
  <c r="B367" i="4" s="1"/>
  <c r="A366" i="4"/>
  <c r="B366" i="4" s="1"/>
  <c r="A365" i="4"/>
  <c r="B365" i="4" s="1"/>
  <c r="A364" i="4"/>
  <c r="B364" i="4" s="1"/>
  <c r="A363" i="4"/>
  <c r="B363" i="4" s="1"/>
  <c r="A362" i="4"/>
  <c r="B362" i="4" s="1"/>
  <c r="A361" i="4"/>
  <c r="B361" i="4" s="1"/>
  <c r="A360" i="4"/>
  <c r="B360" i="4" s="1"/>
  <c r="A359" i="4"/>
  <c r="B359" i="4" s="1"/>
  <c r="A358" i="4"/>
  <c r="B358" i="4" s="1"/>
  <c r="B357" i="4"/>
  <c r="A357" i="4"/>
  <c r="A356" i="4"/>
  <c r="B356" i="4" s="1"/>
  <c r="A355" i="4"/>
  <c r="B355" i="4" s="1"/>
  <c r="A354" i="4"/>
  <c r="B354" i="4" s="1"/>
  <c r="A353" i="4"/>
  <c r="B353" i="4" s="1"/>
  <c r="A352" i="4"/>
  <c r="B352" i="4" s="1"/>
  <c r="A351" i="4"/>
  <c r="B351" i="4" s="1"/>
  <c r="A350" i="4"/>
  <c r="B350" i="4" s="1"/>
  <c r="A349" i="4"/>
  <c r="B349" i="4" s="1"/>
  <c r="A348" i="4"/>
  <c r="B348" i="4" s="1"/>
  <c r="A347" i="4"/>
  <c r="B347" i="4" s="1"/>
  <c r="A346" i="4"/>
  <c r="B346" i="4" s="1"/>
  <c r="A345" i="4"/>
  <c r="B345" i="4" s="1"/>
  <c r="A344" i="4"/>
  <c r="B344" i="4" s="1"/>
  <c r="A343" i="4"/>
  <c r="B343" i="4" s="1"/>
  <c r="A342" i="4"/>
  <c r="B342" i="4" s="1"/>
  <c r="A341" i="4"/>
  <c r="B341" i="4" s="1"/>
  <c r="A340" i="4"/>
  <c r="B340" i="4" s="1"/>
  <c r="A339" i="4"/>
  <c r="B339" i="4" s="1"/>
  <c r="A338" i="4"/>
  <c r="B338" i="4" s="1"/>
  <c r="A337" i="4"/>
  <c r="B337" i="4" s="1"/>
  <c r="A336" i="4"/>
  <c r="B336" i="4" s="1"/>
  <c r="A335" i="4"/>
  <c r="B335" i="4" s="1"/>
  <c r="A334" i="4"/>
  <c r="B334" i="4" s="1"/>
  <c r="A333" i="4"/>
  <c r="B333" i="4" s="1"/>
  <c r="A332" i="4"/>
  <c r="B332" i="4" s="1"/>
  <c r="A331" i="4"/>
  <c r="B331" i="4" s="1"/>
  <c r="B330" i="4"/>
  <c r="A330" i="4"/>
  <c r="A329" i="4"/>
  <c r="B329" i="4" s="1"/>
  <c r="A328" i="4"/>
  <c r="B328" i="4" s="1"/>
  <c r="B327" i="4"/>
  <c r="A327" i="4"/>
  <c r="A326" i="4"/>
  <c r="B326" i="4" s="1"/>
  <c r="A325" i="4"/>
  <c r="B325" i="4" s="1"/>
  <c r="A324" i="4"/>
  <c r="B324" i="4" s="1"/>
  <c r="A323" i="4"/>
  <c r="B323" i="4" s="1"/>
  <c r="A322" i="4"/>
  <c r="B322" i="4" s="1"/>
  <c r="A321" i="4"/>
  <c r="B321" i="4" s="1"/>
  <c r="A320" i="4"/>
  <c r="B320" i="4" s="1"/>
  <c r="A319" i="4"/>
  <c r="B319" i="4" s="1"/>
  <c r="A318" i="4"/>
  <c r="B318" i="4" s="1"/>
  <c r="A317" i="4"/>
  <c r="B317" i="4" s="1"/>
  <c r="A316" i="4"/>
  <c r="B316" i="4" s="1"/>
  <c r="A315" i="4"/>
  <c r="B315" i="4" s="1"/>
  <c r="A314" i="4"/>
  <c r="B314" i="4" s="1"/>
  <c r="A313" i="4"/>
  <c r="B313" i="4" s="1"/>
  <c r="A312" i="4"/>
  <c r="B312" i="4" s="1"/>
  <c r="A311" i="4"/>
  <c r="B311" i="4" s="1"/>
  <c r="A310" i="4"/>
  <c r="B310" i="4" s="1"/>
  <c r="A309" i="4"/>
  <c r="B309" i="4" s="1"/>
  <c r="A308" i="4"/>
  <c r="B308" i="4" s="1"/>
  <c r="B307" i="4"/>
  <c r="A307" i="4"/>
  <c r="A306" i="4"/>
  <c r="B306" i="4" s="1"/>
  <c r="A305" i="4"/>
  <c r="B305" i="4" s="1"/>
  <c r="A304" i="4"/>
  <c r="B304" i="4" s="1"/>
  <c r="A303" i="4"/>
  <c r="B303" i="4" s="1"/>
  <c r="A302" i="4"/>
  <c r="B302" i="4" s="1"/>
  <c r="A301" i="4"/>
  <c r="B301" i="4" s="1"/>
  <c r="A300" i="4"/>
  <c r="B300" i="4" s="1"/>
  <c r="A299" i="4"/>
  <c r="B299" i="4" s="1"/>
  <c r="A298" i="4"/>
  <c r="B298" i="4" s="1"/>
  <c r="A297" i="4"/>
  <c r="B297" i="4" s="1"/>
  <c r="A296" i="4"/>
  <c r="B296" i="4" s="1"/>
  <c r="A295" i="4"/>
  <c r="B295" i="4" s="1"/>
  <c r="A294" i="4"/>
  <c r="B294" i="4" s="1"/>
  <c r="A293" i="4"/>
  <c r="B293" i="4" s="1"/>
  <c r="A292" i="4"/>
  <c r="B292" i="4" s="1"/>
  <c r="A291" i="4"/>
  <c r="B291" i="4" s="1"/>
  <c r="A290" i="4"/>
  <c r="B290" i="4" s="1"/>
  <c r="A289" i="4"/>
  <c r="B289" i="4" s="1"/>
  <c r="A288" i="4"/>
  <c r="B288" i="4" s="1"/>
  <c r="B287" i="4"/>
  <c r="A287" i="4"/>
  <c r="A286" i="4"/>
  <c r="B286" i="4" s="1"/>
  <c r="A285" i="4"/>
  <c r="B285" i="4" s="1"/>
  <c r="A284" i="4"/>
  <c r="B284" i="4" s="1"/>
  <c r="A283" i="4"/>
  <c r="B283" i="4" s="1"/>
  <c r="A282" i="4"/>
  <c r="B282" i="4" s="1"/>
  <c r="A281" i="4"/>
  <c r="B281" i="4" s="1"/>
  <c r="A280" i="4"/>
  <c r="B280" i="4" s="1"/>
  <c r="A279" i="4"/>
  <c r="B279" i="4" s="1"/>
  <c r="A278" i="4"/>
  <c r="B278" i="4" s="1"/>
  <c r="A277" i="4"/>
  <c r="B277" i="4" s="1"/>
  <c r="A276" i="4"/>
  <c r="B276" i="4" s="1"/>
  <c r="A275" i="4"/>
  <c r="B275" i="4" s="1"/>
  <c r="A274" i="4"/>
  <c r="B274" i="4" s="1"/>
  <c r="A273" i="4"/>
  <c r="B273" i="4" s="1"/>
  <c r="A272" i="4"/>
  <c r="B272" i="4" s="1"/>
  <c r="A271" i="4"/>
  <c r="B271" i="4" s="1"/>
  <c r="A270" i="4"/>
  <c r="B270" i="4" s="1"/>
  <c r="A269" i="4"/>
  <c r="B269" i="4" s="1"/>
  <c r="A268" i="4"/>
  <c r="B268" i="4" s="1"/>
  <c r="B267" i="4"/>
  <c r="A267" i="4"/>
  <c r="A266" i="4"/>
  <c r="B266" i="4" s="1"/>
  <c r="A265" i="4"/>
  <c r="B265" i="4" s="1"/>
  <c r="A264" i="4"/>
  <c r="B264" i="4" s="1"/>
  <c r="A263" i="4"/>
  <c r="B263" i="4" s="1"/>
  <c r="A262" i="4"/>
  <c r="B262" i="4" s="1"/>
  <c r="A261" i="4"/>
  <c r="B261" i="4" s="1"/>
  <c r="A260" i="4"/>
  <c r="B260" i="4" s="1"/>
  <c r="A259" i="4"/>
  <c r="B259" i="4" s="1"/>
  <c r="A258" i="4"/>
  <c r="B258" i="4" s="1"/>
  <c r="A257" i="4"/>
  <c r="B257" i="4" s="1"/>
  <c r="A256" i="4"/>
  <c r="B256" i="4" s="1"/>
  <c r="A255" i="4"/>
  <c r="B255" i="4" s="1"/>
  <c r="A254" i="4"/>
  <c r="B254" i="4" s="1"/>
  <c r="A253" i="4"/>
  <c r="B253" i="4" s="1"/>
  <c r="A252" i="4"/>
  <c r="B252" i="4" s="1"/>
  <c r="A251" i="4"/>
  <c r="B251" i="4" s="1"/>
  <c r="A250" i="4"/>
  <c r="B250" i="4" s="1"/>
  <c r="A249" i="4"/>
  <c r="B249" i="4" s="1"/>
  <c r="A248" i="4"/>
  <c r="B248" i="4" s="1"/>
  <c r="B247" i="4"/>
  <c r="A247" i="4"/>
  <c r="A246" i="4"/>
  <c r="B246" i="4" s="1"/>
  <c r="A245" i="4"/>
  <c r="B245" i="4" s="1"/>
  <c r="A244" i="4"/>
  <c r="B244" i="4" s="1"/>
  <c r="A243" i="4"/>
  <c r="B243" i="4" s="1"/>
  <c r="A242" i="4"/>
  <c r="B242" i="4" s="1"/>
  <c r="A241" i="4"/>
  <c r="B241" i="4" s="1"/>
  <c r="A240" i="4"/>
  <c r="B240" i="4" s="1"/>
  <c r="A239" i="4"/>
  <c r="B239" i="4" s="1"/>
  <c r="A238" i="4"/>
  <c r="B238" i="4" s="1"/>
  <c r="A237" i="4"/>
  <c r="B237" i="4" s="1"/>
  <c r="A236" i="4"/>
  <c r="B236" i="4" s="1"/>
  <c r="A235" i="4"/>
  <c r="B235" i="4" s="1"/>
  <c r="A234" i="4"/>
  <c r="B234" i="4" s="1"/>
  <c r="A233" i="4"/>
  <c r="B233" i="4" s="1"/>
  <c r="A232" i="4"/>
  <c r="B232" i="4" s="1"/>
  <c r="A231" i="4"/>
  <c r="B231" i="4" s="1"/>
  <c r="A230" i="4"/>
  <c r="B230" i="4" s="1"/>
  <c r="A229" i="4"/>
  <c r="B229" i="4" s="1"/>
  <c r="A228" i="4"/>
  <c r="B228" i="4" s="1"/>
  <c r="A227" i="4"/>
  <c r="B227" i="4" s="1"/>
  <c r="A226" i="4"/>
  <c r="B226" i="4" s="1"/>
  <c r="A225" i="4"/>
  <c r="B225" i="4" s="1"/>
  <c r="A224" i="4"/>
  <c r="B224" i="4" s="1"/>
  <c r="A223" i="4"/>
  <c r="B223" i="4" s="1"/>
  <c r="A222" i="4"/>
  <c r="B222" i="4" s="1"/>
  <c r="A221" i="4"/>
  <c r="B221" i="4" s="1"/>
  <c r="A220" i="4"/>
  <c r="B220" i="4" s="1"/>
  <c r="A219" i="4"/>
  <c r="B219" i="4" s="1"/>
  <c r="A218" i="4"/>
  <c r="B218" i="4" s="1"/>
  <c r="A217" i="4"/>
  <c r="B217" i="4" s="1"/>
  <c r="A216" i="4"/>
  <c r="B216" i="4" s="1"/>
  <c r="A215" i="4"/>
  <c r="B215" i="4" s="1"/>
  <c r="A214" i="4"/>
  <c r="B214" i="4" s="1"/>
  <c r="A213" i="4"/>
  <c r="B213" i="4" s="1"/>
  <c r="A212" i="4"/>
  <c r="B212" i="4" s="1"/>
  <c r="B211" i="4"/>
  <c r="A211" i="4"/>
  <c r="A210" i="4"/>
  <c r="B210" i="4" s="1"/>
  <c r="A209" i="4"/>
  <c r="B209" i="4" s="1"/>
  <c r="A208" i="4"/>
  <c r="B208" i="4" s="1"/>
  <c r="A207" i="4"/>
  <c r="B207" i="4" s="1"/>
  <c r="A206" i="4"/>
  <c r="B206" i="4" s="1"/>
  <c r="A205" i="4"/>
  <c r="B205" i="4" s="1"/>
  <c r="A204" i="4"/>
  <c r="B204" i="4" s="1"/>
  <c r="A203" i="4"/>
  <c r="B203" i="4" s="1"/>
  <c r="B202" i="4"/>
  <c r="A202" i="4"/>
  <c r="A201" i="4"/>
  <c r="B201" i="4" s="1"/>
  <c r="A200" i="4"/>
  <c r="B200" i="4" s="1"/>
  <c r="B199" i="4"/>
  <c r="A199" i="4"/>
  <c r="A198" i="4"/>
  <c r="B198" i="4" s="1"/>
  <c r="A197" i="4"/>
  <c r="B197" i="4" s="1"/>
  <c r="A196" i="4"/>
  <c r="B196" i="4" s="1"/>
  <c r="A195" i="4"/>
  <c r="B195" i="4" s="1"/>
  <c r="A194" i="4"/>
  <c r="B194" i="4" s="1"/>
  <c r="A193" i="4"/>
  <c r="B193" i="4" s="1"/>
  <c r="A192" i="4"/>
  <c r="B192" i="4" s="1"/>
  <c r="A191" i="4"/>
  <c r="B191" i="4" s="1"/>
  <c r="A190" i="4"/>
  <c r="B190" i="4" s="1"/>
  <c r="B189" i="4"/>
  <c r="A189" i="4"/>
  <c r="A188" i="4"/>
  <c r="B188" i="4" s="1"/>
  <c r="A187" i="4"/>
  <c r="B187" i="4" s="1"/>
  <c r="A186" i="4"/>
  <c r="B186" i="4" s="1"/>
  <c r="A185" i="4"/>
  <c r="B185" i="4" s="1"/>
  <c r="A184" i="4"/>
  <c r="B184" i="4" s="1"/>
  <c r="A183" i="4"/>
  <c r="B183" i="4" s="1"/>
  <c r="A182" i="4"/>
  <c r="B182" i="4" s="1"/>
  <c r="A181" i="4"/>
  <c r="B181" i="4" s="1"/>
  <c r="A180" i="4"/>
  <c r="B180" i="4" s="1"/>
  <c r="A179" i="4"/>
  <c r="B179" i="4" s="1"/>
  <c r="A178" i="4"/>
  <c r="B178" i="4" s="1"/>
  <c r="A177" i="4"/>
  <c r="B177" i="4" s="1"/>
  <c r="A176" i="4"/>
  <c r="B176" i="4" s="1"/>
  <c r="A175" i="4"/>
  <c r="B175" i="4" s="1"/>
  <c r="A174" i="4"/>
  <c r="B174" i="4" s="1"/>
  <c r="A173" i="4"/>
  <c r="B173" i="4" s="1"/>
  <c r="A172" i="4"/>
  <c r="B172" i="4" s="1"/>
  <c r="A171" i="4"/>
  <c r="B171" i="4" s="1"/>
  <c r="A170" i="4"/>
  <c r="B170" i="4" s="1"/>
  <c r="A169" i="4"/>
  <c r="B169" i="4" s="1"/>
  <c r="A168" i="4"/>
  <c r="B168" i="4" s="1"/>
  <c r="A167" i="4"/>
  <c r="B167" i="4" s="1"/>
  <c r="A166" i="4"/>
  <c r="B166" i="4" s="1"/>
  <c r="A165" i="4"/>
  <c r="B165" i="4" s="1"/>
  <c r="A164" i="4"/>
  <c r="B164" i="4" s="1"/>
  <c r="B163" i="4"/>
  <c r="A163" i="4"/>
  <c r="A162" i="4"/>
  <c r="B162" i="4" s="1"/>
  <c r="A161" i="4"/>
  <c r="B161" i="4" s="1"/>
  <c r="A160" i="4"/>
  <c r="B160" i="4" s="1"/>
  <c r="A159" i="4"/>
  <c r="B159" i="4" s="1"/>
  <c r="A158" i="4"/>
  <c r="B158" i="4" s="1"/>
  <c r="A157" i="4"/>
  <c r="B157" i="4" s="1"/>
  <c r="A156" i="4"/>
  <c r="B156" i="4" s="1"/>
  <c r="A155" i="4"/>
  <c r="B155" i="4" s="1"/>
  <c r="A154" i="4"/>
  <c r="B154" i="4" s="1"/>
  <c r="A153" i="4"/>
  <c r="B153" i="4" s="1"/>
  <c r="A152" i="4"/>
  <c r="B152" i="4" s="1"/>
  <c r="A151" i="4"/>
  <c r="B151" i="4" s="1"/>
  <c r="A150" i="4"/>
  <c r="B150" i="4" s="1"/>
  <c r="A149" i="4"/>
  <c r="B149" i="4" s="1"/>
  <c r="A148" i="4"/>
  <c r="B148" i="4" s="1"/>
  <c r="B147" i="4"/>
  <c r="A147" i="4"/>
  <c r="A146" i="4"/>
  <c r="B146" i="4" s="1"/>
  <c r="A145" i="4"/>
  <c r="B145" i="4" s="1"/>
  <c r="A144" i="4"/>
  <c r="B144" i="4" s="1"/>
  <c r="A143" i="4"/>
  <c r="B143" i="4" s="1"/>
  <c r="A142" i="4"/>
  <c r="B142" i="4" s="1"/>
  <c r="A141" i="4"/>
  <c r="B141" i="4" s="1"/>
  <c r="A140" i="4"/>
  <c r="B140" i="4" s="1"/>
  <c r="A139" i="4"/>
  <c r="B139" i="4" s="1"/>
  <c r="B138" i="4"/>
  <c r="A138" i="4"/>
  <c r="A137" i="4"/>
  <c r="B137" i="4" s="1"/>
  <c r="A136" i="4"/>
  <c r="B136" i="4" s="1"/>
  <c r="B135" i="4"/>
  <c r="A135" i="4"/>
  <c r="A134" i="4"/>
  <c r="B134" i="4" s="1"/>
  <c r="A133" i="4"/>
  <c r="B133" i="4" s="1"/>
  <c r="A132" i="4"/>
  <c r="B132" i="4" s="1"/>
  <c r="A131" i="4"/>
  <c r="B131" i="4" s="1"/>
  <c r="A130" i="4"/>
  <c r="B130" i="4" s="1"/>
  <c r="A129" i="4"/>
  <c r="B129" i="4" s="1"/>
  <c r="A128" i="4"/>
  <c r="B128" i="4" s="1"/>
  <c r="A127" i="4"/>
  <c r="B127" i="4" s="1"/>
  <c r="A126" i="4"/>
  <c r="B126" i="4" s="1"/>
  <c r="B125" i="4"/>
  <c r="A125" i="4"/>
  <c r="A124" i="4"/>
  <c r="B124" i="4" s="1"/>
  <c r="A123" i="4"/>
  <c r="B123" i="4" s="1"/>
  <c r="A122" i="4"/>
  <c r="B122" i="4" s="1"/>
  <c r="A121" i="4"/>
  <c r="B121" i="4" s="1"/>
  <c r="A120" i="4"/>
  <c r="B120" i="4" s="1"/>
  <c r="A119" i="4"/>
  <c r="B119" i="4" s="1"/>
  <c r="A118" i="4"/>
  <c r="B118" i="4" s="1"/>
  <c r="A117" i="4"/>
  <c r="B117" i="4" s="1"/>
  <c r="A116" i="4"/>
  <c r="B116" i="4" s="1"/>
  <c r="A115" i="4"/>
  <c r="B115" i="4" s="1"/>
  <c r="A114" i="4"/>
  <c r="B114" i="4" s="1"/>
  <c r="A113" i="4"/>
  <c r="B113" i="4" s="1"/>
  <c r="A112" i="4"/>
  <c r="B112" i="4" s="1"/>
  <c r="B111" i="4"/>
  <c r="A111" i="4"/>
  <c r="A110" i="4"/>
  <c r="B110" i="4" s="1"/>
  <c r="A109" i="4"/>
  <c r="B109" i="4" s="1"/>
  <c r="A108" i="4"/>
  <c r="B108" i="4" s="1"/>
  <c r="A107" i="4"/>
  <c r="B107" i="4" s="1"/>
  <c r="A106" i="4"/>
  <c r="B106" i="4" s="1"/>
  <c r="A105" i="4"/>
  <c r="B105" i="4" s="1"/>
  <c r="A104" i="4"/>
  <c r="A103" i="4"/>
  <c r="B103" i="4" s="1"/>
  <c r="A102" i="4"/>
  <c r="B102" i="4" s="1"/>
  <c r="A101" i="4"/>
  <c r="B101" i="4" s="1"/>
  <c r="A100" i="4"/>
  <c r="B100" i="4" s="1"/>
  <c r="A99" i="4"/>
  <c r="B99" i="4" s="1"/>
  <c r="A98" i="4"/>
  <c r="B98" i="4" s="1"/>
  <c r="B97" i="4"/>
  <c r="A97" i="4"/>
  <c r="A96" i="4"/>
  <c r="B96" i="4" s="1"/>
  <c r="A95" i="4"/>
  <c r="B95" i="4" s="1"/>
  <c r="A94" i="4"/>
  <c r="B94" i="4" s="1"/>
  <c r="A93" i="4"/>
  <c r="B93" i="4" s="1"/>
  <c r="B92" i="4"/>
  <c r="A92" i="4"/>
  <c r="A91" i="4"/>
  <c r="B91" i="4" s="1"/>
  <c r="A90" i="4"/>
  <c r="B90" i="4" s="1"/>
  <c r="B89" i="4"/>
  <c r="A89" i="4"/>
  <c r="A88" i="4"/>
  <c r="B88" i="4" s="1"/>
  <c r="A87" i="4"/>
  <c r="B87" i="4" s="1"/>
  <c r="A86" i="4"/>
  <c r="B86" i="4" s="1"/>
  <c r="A85" i="4"/>
  <c r="B85" i="4" s="1"/>
  <c r="A84" i="4"/>
  <c r="B84" i="4" s="1"/>
  <c r="A83" i="4"/>
  <c r="B83" i="4" s="1"/>
  <c r="A82" i="4"/>
  <c r="B82" i="4" s="1"/>
  <c r="A81" i="4"/>
  <c r="B81" i="4" s="1"/>
  <c r="A80" i="4"/>
  <c r="B80" i="4" s="1"/>
  <c r="A79" i="4"/>
  <c r="B79" i="4" s="1"/>
  <c r="A78" i="4"/>
  <c r="B78" i="4" s="1"/>
  <c r="B77" i="4"/>
  <c r="A77" i="4"/>
  <c r="A76" i="4"/>
  <c r="B76" i="4" s="1"/>
  <c r="A75" i="4"/>
  <c r="B75" i="4" s="1"/>
  <c r="A74" i="4"/>
  <c r="B74" i="4" s="1"/>
  <c r="A73" i="4"/>
  <c r="B73" i="4" s="1"/>
  <c r="A72" i="4"/>
  <c r="B72" i="4" s="1"/>
  <c r="A71" i="4"/>
  <c r="B71" i="4" s="1"/>
  <c r="A70" i="4"/>
  <c r="B70" i="4" s="1"/>
  <c r="A69" i="4"/>
  <c r="B69" i="4" s="1"/>
  <c r="A68" i="4"/>
  <c r="B68" i="4" s="1"/>
  <c r="A67" i="4"/>
  <c r="B67" i="4" s="1"/>
  <c r="A66" i="4"/>
  <c r="B66" i="4" s="1"/>
  <c r="A65" i="4"/>
  <c r="B65" i="4" s="1"/>
  <c r="A64" i="4"/>
  <c r="B64" i="4" s="1"/>
  <c r="A63" i="4"/>
  <c r="B63" i="4" s="1"/>
  <c r="A62" i="4"/>
  <c r="B62" i="4" s="1"/>
  <c r="A61" i="4"/>
  <c r="B61" i="4" s="1"/>
  <c r="A60" i="4"/>
  <c r="B60" i="4" s="1"/>
  <c r="A59" i="4"/>
  <c r="B59" i="4" s="1"/>
  <c r="A58" i="4"/>
  <c r="B58" i="4" s="1"/>
  <c r="A57" i="4"/>
  <c r="B57" i="4" s="1"/>
  <c r="A56" i="4"/>
  <c r="B56" i="4" s="1"/>
  <c r="A55" i="4"/>
  <c r="B55" i="4" s="1"/>
  <c r="A54" i="4"/>
  <c r="B54" i="4" s="1"/>
  <c r="B53" i="4"/>
  <c r="A53" i="4"/>
  <c r="B52" i="4"/>
  <c r="A52" i="4"/>
  <c r="A51" i="4"/>
  <c r="B51" i="4" s="1"/>
  <c r="A50" i="4"/>
  <c r="B50" i="4" s="1"/>
  <c r="B49" i="4"/>
  <c r="A49" i="4"/>
  <c r="A48" i="4"/>
  <c r="B48" i="4" s="1"/>
  <c r="A47" i="4"/>
  <c r="B47" i="4" s="1"/>
  <c r="A46" i="4"/>
  <c r="B46" i="4" s="1"/>
  <c r="A45" i="4"/>
  <c r="B45" i="4" s="1"/>
  <c r="A44" i="4"/>
  <c r="B44" i="4" s="1"/>
  <c r="A43" i="4"/>
  <c r="B43" i="4" s="1"/>
  <c r="A42" i="4"/>
  <c r="B42" i="4" s="1"/>
  <c r="A41" i="4"/>
  <c r="B41" i="4" s="1"/>
  <c r="A40" i="4"/>
  <c r="B40" i="4" s="1"/>
  <c r="A39" i="4"/>
  <c r="B39" i="4" s="1"/>
  <c r="A38" i="4"/>
  <c r="B38" i="4" s="1"/>
  <c r="B37" i="4"/>
  <c r="A37" i="4"/>
  <c r="B36" i="4"/>
  <c r="A36" i="4"/>
  <c r="A35" i="4"/>
  <c r="B35" i="4" s="1"/>
  <c r="A34" i="4"/>
  <c r="B34" i="4" s="1"/>
  <c r="B33" i="4"/>
  <c r="A33" i="4"/>
  <c r="A32" i="4"/>
  <c r="B32" i="4" s="1"/>
  <c r="A31" i="4"/>
  <c r="B31" i="4" s="1"/>
  <c r="A30" i="4"/>
  <c r="B30" i="4" s="1"/>
  <c r="A29" i="4"/>
  <c r="B29" i="4" s="1"/>
  <c r="B28" i="4"/>
  <c r="A28" i="4"/>
  <c r="A27" i="4"/>
  <c r="B27" i="4" s="1"/>
  <c r="A26" i="4"/>
  <c r="B26" i="4" s="1"/>
  <c r="B25" i="4"/>
  <c r="A25" i="4"/>
  <c r="A24" i="4"/>
  <c r="B24" i="4" s="1"/>
  <c r="A23" i="4"/>
  <c r="B23" i="4" s="1"/>
  <c r="A22" i="4"/>
  <c r="B22" i="4" s="1"/>
  <c r="A21" i="4"/>
  <c r="B21" i="4" s="1"/>
  <c r="A20" i="4"/>
  <c r="B20" i="4" s="1"/>
  <c r="A19" i="4"/>
  <c r="B19" i="4" s="1"/>
  <c r="A18" i="4"/>
  <c r="B18" i="4" s="1"/>
  <c r="A17" i="4"/>
  <c r="B17" i="4" s="1"/>
  <c r="A16" i="4"/>
  <c r="A15" i="4"/>
  <c r="B15" i="4" s="1"/>
  <c r="A14" i="4"/>
  <c r="B14" i="4" s="1"/>
  <c r="B13" i="4"/>
  <c r="A13" i="4"/>
  <c r="A12" i="4"/>
  <c r="B12" i="4" s="1"/>
  <c r="A11" i="4"/>
  <c r="B11" i="4" s="1"/>
  <c r="A10" i="4"/>
  <c r="B10" i="4" s="1"/>
  <c r="A9" i="4"/>
  <c r="B9" i="4" s="1"/>
  <c r="A8" i="4"/>
  <c r="B8" i="4" s="1"/>
  <c r="A7" i="4"/>
  <c r="B7" i="4" s="1"/>
  <c r="A6" i="4"/>
  <c r="B6" i="4" s="1"/>
  <c r="A5" i="4"/>
  <c r="B5" i="4" s="1"/>
  <c r="A4" i="4"/>
  <c r="B4" i="4" s="1"/>
  <c r="A3" i="4"/>
  <c r="B3" i="4" s="1"/>
  <c r="A2" i="4"/>
  <c r="B2" i="4" s="1"/>
  <c r="E8" i="1"/>
  <c r="H4" i="1"/>
  <c r="D18" i="1" l="1"/>
  <c r="E18" i="1" s="1"/>
  <c r="D9" i="1"/>
  <c r="E9" i="1" s="1"/>
  <c r="D30" i="1"/>
  <c r="E30" i="1" s="1"/>
  <c r="D36" i="1"/>
  <c r="E36" i="1" s="1"/>
  <c r="D14" i="1"/>
  <c r="E14" i="1" s="1"/>
  <c r="D34" i="1"/>
  <c r="E34" i="1" s="1"/>
  <c r="D22" i="1"/>
  <c r="E22" i="1" s="1"/>
  <c r="F14" i="1"/>
  <c r="D21" i="1"/>
  <c r="E21" i="1" s="1"/>
  <c r="D28" i="1"/>
  <c r="E28" i="1" s="1"/>
  <c r="D41" i="1"/>
  <c r="E41" i="1" s="1"/>
  <c r="D37" i="1"/>
  <c r="E37" i="1" s="1"/>
  <c r="D32" i="1"/>
  <c r="E32" i="1" s="1"/>
  <c r="D29" i="1"/>
  <c r="E29" i="1" s="1"/>
  <c r="D25" i="1"/>
  <c r="E25" i="1" s="1"/>
  <c r="D20" i="1"/>
  <c r="E20" i="1" s="1"/>
  <c r="D16" i="1"/>
  <c r="E16" i="1" s="1"/>
  <c r="D13" i="1"/>
  <c r="E13" i="1" s="1"/>
  <c r="D12" i="1"/>
  <c r="E12" i="1" s="1"/>
  <c r="F16" i="1"/>
  <c r="F28" i="1"/>
  <c r="F32" i="1"/>
  <c r="D38" i="1"/>
  <c r="F22" i="1"/>
  <c r="B16" i="4"/>
  <c r="F12" i="1"/>
  <c r="D43" i="1"/>
  <c r="E43" i="1" s="1"/>
  <c r="F41" i="1"/>
  <c r="D39" i="1"/>
  <c r="D35" i="1"/>
  <c r="D31" i="1"/>
  <c r="F29" i="1"/>
  <c r="D27" i="1"/>
  <c r="E27" i="1" s="1"/>
  <c r="F25" i="1"/>
  <c r="D23" i="1"/>
  <c r="F21" i="1"/>
  <c r="D19" i="1"/>
  <c r="D15" i="1"/>
  <c r="F13" i="1"/>
  <c r="D11" i="1"/>
  <c r="E11" i="1" s="1"/>
  <c r="F9" i="1"/>
  <c r="C6" i="1"/>
  <c r="D10" i="1"/>
  <c r="F11" i="1"/>
  <c r="D17" i="1"/>
  <c r="E17" i="1" s="1"/>
  <c r="F18" i="1"/>
  <c r="F20" i="1"/>
  <c r="D24" i="1"/>
  <c r="D26" i="1"/>
  <c r="F27" i="1"/>
  <c r="D33" i="1"/>
  <c r="E33" i="1" s="1"/>
  <c r="F34" i="1"/>
  <c r="D40" i="1"/>
  <c r="D42" i="1"/>
  <c r="F43" i="1"/>
  <c r="F36" i="1" l="1"/>
  <c r="F37" i="1"/>
  <c r="F33" i="1"/>
  <c r="F30" i="1"/>
  <c r="B104" i="4"/>
  <c r="D80" i="4"/>
  <c r="D151" i="4"/>
  <c r="E38" i="1"/>
  <c r="F38" i="1"/>
  <c r="D167" i="4"/>
  <c r="D388" i="4"/>
  <c r="D516" i="4"/>
  <c r="D539" i="4"/>
  <c r="F26" i="1"/>
  <c r="E26" i="1"/>
  <c r="F17" i="1"/>
  <c r="D581" i="4"/>
  <c r="E40" i="1"/>
  <c r="F40" i="1"/>
  <c r="E15" i="1"/>
  <c r="F15" i="1"/>
  <c r="E23" i="1"/>
  <c r="F23" i="1"/>
  <c r="E31" i="1"/>
  <c r="F31" i="1"/>
  <c r="F39" i="1"/>
  <c r="E39" i="1"/>
  <c r="D251" i="4"/>
  <c r="D387" i="4"/>
  <c r="D513" i="4"/>
  <c r="D497" i="4"/>
  <c r="D508" i="4"/>
  <c r="D492" i="4"/>
  <c r="D349" i="4"/>
  <c r="D317" i="4"/>
  <c r="D173" i="4"/>
  <c r="D157" i="4"/>
  <c r="D335" i="4"/>
  <c r="D319" i="4"/>
  <c r="D175" i="4"/>
  <c r="D143" i="4"/>
  <c r="D442" i="4"/>
  <c r="D370" i="4"/>
  <c r="D554" i="4"/>
  <c r="D544" i="4"/>
  <c r="D330" i="4"/>
  <c r="D242" i="4"/>
  <c r="D371" i="4"/>
  <c r="D320" i="4"/>
  <c r="D142" i="4"/>
  <c r="D129" i="4"/>
  <c r="D21" i="4"/>
  <c r="D85" i="4"/>
  <c r="D32" i="4"/>
  <c r="D42" i="4"/>
  <c r="D278" i="4"/>
  <c r="D334" i="4"/>
  <c r="D147" i="4"/>
  <c r="D326" i="4"/>
  <c r="D541" i="4"/>
  <c r="D525" i="4"/>
  <c r="D535" i="4"/>
  <c r="D519" i="4"/>
  <c r="D377" i="4"/>
  <c r="D345" i="4"/>
  <c r="D201" i="4"/>
  <c r="D185" i="4"/>
  <c r="D380" i="4"/>
  <c r="D364" i="4"/>
  <c r="D252" i="4"/>
  <c r="D236" i="4"/>
  <c r="D123" i="4"/>
  <c r="D107" i="4"/>
  <c r="D426" i="4"/>
  <c r="D362" i="4"/>
  <c r="D584" i="4"/>
  <c r="D574" i="4"/>
  <c r="D498" i="4"/>
  <c r="D488" i="4"/>
  <c r="D563" i="4"/>
  <c r="D470" i="4"/>
  <c r="D352" i="4"/>
  <c r="D318" i="4"/>
  <c r="D170" i="4"/>
  <c r="D160" i="4"/>
  <c r="D62" i="4"/>
  <c r="D46" i="4"/>
  <c r="D125" i="4"/>
  <c r="D219" i="4"/>
  <c r="D24" i="4"/>
  <c r="D34" i="4"/>
  <c r="D108" i="4"/>
  <c r="D120" i="4"/>
  <c r="D611" i="4"/>
  <c r="D203" i="4"/>
  <c r="D451" i="4"/>
  <c r="D644" i="4"/>
  <c r="D585" i="4"/>
  <c r="D569" i="4"/>
  <c r="D489" i="4"/>
  <c r="D628" i="4"/>
  <c r="D118" i="4"/>
  <c r="D144" i="4"/>
  <c r="D254" i="4"/>
  <c r="D339" i="4"/>
  <c r="D499" i="4"/>
  <c r="D354" i="4"/>
  <c r="D536" i="4"/>
  <c r="D558" i="4"/>
  <c r="D642" i="4"/>
  <c r="D394" i="4"/>
  <c r="D115" i="4"/>
  <c r="D180" i="4"/>
  <c r="D308" i="4"/>
  <c r="D340" i="4"/>
  <c r="D468" i="4"/>
  <c r="D161" i="4"/>
  <c r="D289" i="4"/>
  <c r="D353" i="4"/>
  <c r="D479" i="4"/>
  <c r="D511" i="4"/>
  <c r="D485" i="4"/>
  <c r="D537" i="4"/>
  <c r="E24" i="1"/>
  <c r="F24" i="1"/>
  <c r="F19" i="1"/>
  <c r="E19" i="1"/>
  <c r="E35" i="1"/>
  <c r="F35" i="1"/>
  <c r="F42" i="1"/>
  <c r="E42" i="1"/>
  <c r="F10" i="1"/>
  <c r="E10" i="1"/>
  <c r="D355" i="4" l="1"/>
  <c r="D564" i="4"/>
  <c r="D309" i="4"/>
  <c r="D145" i="4"/>
  <c r="D228" i="4"/>
  <c r="D55" i="4"/>
  <c r="D592" i="4"/>
  <c r="D226" i="4"/>
  <c r="D288" i="4"/>
  <c r="D121" i="4"/>
  <c r="D133" i="4"/>
  <c r="D571" i="4"/>
  <c r="D48" i="4"/>
  <c r="D132" i="4"/>
  <c r="D331" i="4"/>
  <c r="D50" i="4"/>
  <c r="D112" i="4"/>
  <c r="D368" i="4"/>
  <c r="D635" i="4"/>
  <c r="D639" i="4"/>
  <c r="D548" i="4"/>
  <c r="D465" i="4"/>
  <c r="D373" i="4"/>
  <c r="D293" i="4"/>
  <c r="D209" i="4"/>
  <c r="D455" i="4"/>
  <c r="D375" i="4"/>
  <c r="D292" i="4"/>
  <c r="D199" i="4"/>
  <c r="D119" i="4"/>
  <c r="D35" i="4"/>
  <c r="D634" i="4"/>
  <c r="D582" i="4"/>
  <c r="D526" i="4"/>
  <c r="D434" i="4"/>
  <c r="D531" i="4"/>
  <c r="D467" i="4"/>
  <c r="D222" i="4"/>
  <c r="D168" i="4"/>
  <c r="D102" i="4"/>
  <c r="D9" i="4"/>
  <c r="D69" i="4"/>
  <c r="D155" i="4"/>
  <c r="D358" i="4"/>
  <c r="D613" i="4"/>
  <c r="D612" i="4"/>
  <c r="D527" i="4"/>
  <c r="D437" i="4"/>
  <c r="D357" i="4"/>
  <c r="D273" i="4"/>
  <c r="D181" i="4"/>
  <c r="D439" i="4"/>
  <c r="D356" i="4"/>
  <c r="D263" i="4"/>
  <c r="D183" i="4"/>
  <c r="D99" i="4"/>
  <c r="D7" i="4"/>
  <c r="D624" i="4"/>
  <c r="D568" i="4"/>
  <c r="D506" i="4"/>
  <c r="D378" i="4"/>
  <c r="D440" i="4"/>
  <c r="D384" i="4"/>
  <c r="D210" i="4"/>
  <c r="D154" i="4"/>
  <c r="D73" i="4"/>
  <c r="D13" i="4"/>
  <c r="D77" i="4"/>
  <c r="D235" i="4"/>
  <c r="D422" i="4"/>
  <c r="D4" i="4"/>
  <c r="D28" i="4"/>
  <c r="D60" i="4"/>
  <c r="D90" i="4"/>
  <c r="D114" i="4"/>
  <c r="D264" i="4"/>
  <c r="D430" i="4"/>
  <c r="D139" i="4"/>
  <c r="D347" i="4"/>
  <c r="D101" i="4"/>
  <c r="D294" i="4"/>
  <c r="D424" i="4"/>
  <c r="D8" i="4"/>
  <c r="D40" i="4"/>
  <c r="D68" i="4"/>
  <c r="D92" i="4"/>
  <c r="D124" i="4"/>
  <c r="D315" i="4"/>
  <c r="D432" i="4"/>
  <c r="D232" i="4"/>
  <c r="D443" i="4"/>
  <c r="D517" i="4"/>
  <c r="D484" i="4"/>
  <c r="D401" i="4"/>
  <c r="D229" i="4"/>
  <c r="D391" i="4"/>
  <c r="D311" i="4"/>
  <c r="D135" i="4"/>
  <c r="D338" i="4"/>
  <c r="D538" i="4"/>
  <c r="D482" i="4"/>
  <c r="D619" i="4"/>
  <c r="D178" i="4"/>
  <c r="D38" i="4"/>
  <c r="D37" i="4"/>
  <c r="D296" i="4"/>
  <c r="D18" i="4"/>
  <c r="D72" i="4"/>
  <c r="D104" i="4"/>
  <c r="D483" i="4"/>
  <c r="D283" i="4"/>
  <c r="D507" i="4"/>
  <c r="D26" i="4"/>
  <c r="D82" i="4"/>
  <c r="D163" i="4"/>
  <c r="D299" i="4"/>
  <c r="D272" i="4"/>
  <c r="D350" i="4"/>
  <c r="D550" i="4"/>
  <c r="D164" i="4"/>
  <c r="D165" i="4"/>
  <c r="D500" i="4"/>
  <c r="D323" i="4"/>
  <c r="D262" i="4"/>
  <c r="D58" i="4"/>
  <c r="D360" i="4"/>
  <c r="D6" i="4"/>
  <c r="D158" i="4"/>
  <c r="D435" i="4"/>
  <c r="D418" i="4"/>
  <c r="D570" i="4"/>
  <c r="D23" i="4"/>
  <c r="D196" i="4"/>
  <c r="D359" i="4"/>
  <c r="D197" i="4"/>
  <c r="D369" i="4"/>
  <c r="D532" i="4"/>
  <c r="D629" i="4"/>
  <c r="D70" i="4"/>
  <c r="D200" i="4"/>
  <c r="D408" i="4"/>
  <c r="D504" i="4"/>
  <c r="D614" i="4"/>
  <c r="D87" i="4"/>
  <c r="D260" i="4"/>
  <c r="D423" i="4"/>
  <c r="D261" i="4"/>
  <c r="D433" i="4"/>
  <c r="D596" i="4"/>
  <c r="D645" i="4"/>
  <c r="D57" i="4"/>
  <c r="D374" i="4"/>
  <c r="D610" i="4"/>
  <c r="D247" i="4"/>
  <c r="D245" i="4"/>
  <c r="D591" i="4"/>
  <c r="D230" i="4"/>
  <c r="D122" i="4"/>
  <c r="D36" i="4"/>
  <c r="D238" i="4"/>
  <c r="D41" i="4"/>
  <c r="D190" i="4"/>
  <c r="D363" i="4"/>
  <c r="D486" i="4"/>
  <c r="D602" i="4"/>
  <c r="D67" i="4"/>
  <c r="D231" i="4"/>
  <c r="D407" i="4"/>
  <c r="D241" i="4"/>
  <c r="D405" i="4"/>
  <c r="D580" i="4"/>
  <c r="D105" i="4"/>
  <c r="D256" i="4"/>
  <c r="D627" i="4"/>
  <c r="D528" i="4"/>
  <c r="D250" i="4"/>
  <c r="D131" i="4"/>
  <c r="D295" i="4"/>
  <c r="D471" i="4"/>
  <c r="D305" i="4"/>
  <c r="D469" i="4"/>
  <c r="D501" i="4"/>
  <c r="D291" i="4"/>
  <c r="D609" i="4"/>
  <c r="D545" i="4"/>
  <c r="D481" i="4"/>
  <c r="D588" i="4"/>
  <c r="D524" i="4"/>
  <c r="D461" i="4"/>
  <c r="D397" i="4"/>
  <c r="D333" i="4"/>
  <c r="D269" i="4"/>
  <c r="D205" i="4"/>
  <c r="D141" i="4"/>
  <c r="D415" i="4"/>
  <c r="D351" i="4"/>
  <c r="D287" i="4"/>
  <c r="D223" i="4"/>
  <c r="D159" i="4"/>
  <c r="D95" i="4"/>
  <c r="D31" i="4"/>
  <c r="D322" i="4"/>
  <c r="D608" i="4"/>
  <c r="D566" i="4"/>
  <c r="D522" i="4"/>
  <c r="D480" i="4"/>
  <c r="D282" i="4"/>
  <c r="D438" i="4"/>
  <c r="D448" i="4"/>
  <c r="D286" i="4"/>
  <c r="D194" i="4"/>
  <c r="D152" i="4"/>
  <c r="D97" i="4"/>
  <c r="D33" i="4"/>
  <c r="D53" i="4"/>
  <c r="D240" i="4"/>
  <c r="D10" i="4"/>
  <c r="D52" i="4"/>
  <c r="D96" i="4"/>
  <c r="D195" i="4"/>
  <c r="D462" i="4"/>
  <c r="D302" i="4"/>
  <c r="D267" i="4"/>
  <c r="D637" i="4"/>
  <c r="D573" i="4"/>
  <c r="D509" i="4"/>
  <c r="D615" i="4"/>
  <c r="D551" i="4"/>
  <c r="D487" i="4"/>
  <c r="D425" i="4"/>
  <c r="D361" i="4"/>
  <c r="D297" i="4"/>
  <c r="D233" i="4"/>
  <c r="D169" i="4"/>
  <c r="D444" i="4"/>
  <c r="D136" i="4"/>
  <c r="D410" i="4"/>
  <c r="D337" i="4"/>
  <c r="D475" i="4"/>
  <c r="D16" i="4"/>
  <c r="D89" i="4"/>
  <c r="D459" i="4"/>
  <c r="D632" i="4"/>
  <c r="D279" i="4"/>
  <c r="D277" i="4"/>
  <c r="D623" i="4"/>
  <c r="D25" i="4"/>
  <c r="D491" i="4"/>
  <c r="D590" i="4"/>
  <c r="D215" i="4"/>
  <c r="D213" i="4"/>
  <c r="D559" i="4"/>
  <c r="D641" i="4"/>
  <c r="D561" i="4"/>
  <c r="D636" i="4"/>
  <c r="D556" i="4"/>
  <c r="D476" i="4"/>
  <c r="D381" i="4"/>
  <c r="D301" i="4"/>
  <c r="D221" i="4"/>
  <c r="D463" i="4"/>
  <c r="D383" i="4"/>
  <c r="D303" i="4"/>
  <c r="D207" i="4"/>
  <c r="D127" i="4"/>
  <c r="D47" i="4"/>
  <c r="D640" i="4"/>
  <c r="D586" i="4"/>
  <c r="D534" i="4"/>
  <c r="D458" i="4"/>
  <c r="D595" i="4"/>
  <c r="D555" i="4"/>
  <c r="D243" i="4"/>
  <c r="D174" i="4"/>
  <c r="D113" i="4"/>
  <c r="D17" i="4"/>
  <c r="D117" i="4"/>
  <c r="D454" i="4"/>
  <c r="D64" i="4"/>
  <c r="D116" i="4"/>
  <c r="D398" i="4"/>
  <c r="D379" i="4"/>
  <c r="D419" i="4"/>
  <c r="D589" i="4"/>
  <c r="D493" i="4"/>
  <c r="D583" i="4"/>
  <c r="D503" i="4"/>
  <c r="D409" i="4"/>
  <c r="D329" i="4"/>
  <c r="D249" i="4"/>
  <c r="D153" i="4"/>
  <c r="D412" i="4"/>
  <c r="D348" i="4"/>
  <c r="D284" i="4"/>
  <c r="D220" i="4"/>
  <c r="D156" i="4"/>
  <c r="D91" i="4"/>
  <c r="D27" i="4"/>
  <c r="D298" i="4"/>
  <c r="D606" i="4"/>
  <c r="D562" i="4"/>
  <c r="D520" i="4"/>
  <c r="D478" i="4"/>
  <c r="D274" i="4"/>
  <c r="D427" i="4"/>
  <c r="D446" i="4"/>
  <c r="D275" i="4"/>
  <c r="D192" i="4"/>
  <c r="D150" i="4"/>
  <c r="D94" i="4"/>
  <c r="D30" i="4"/>
  <c r="D61" i="4"/>
  <c r="D259" i="4"/>
  <c r="D2" i="4"/>
  <c r="D44" i="4"/>
  <c r="D88" i="4"/>
  <c r="D130" i="4"/>
  <c r="D400" i="4"/>
  <c r="D248" i="4"/>
  <c r="D270" i="4"/>
  <c r="D198" i="4"/>
  <c r="D71" i="4"/>
  <c r="D421" i="4"/>
  <c r="D366" i="4"/>
  <c r="D579" i="4"/>
  <c r="D134" i="4"/>
  <c r="D266" i="4"/>
  <c r="D346" i="4"/>
  <c r="D324" i="4"/>
  <c r="D325" i="4"/>
  <c r="D533" i="4"/>
  <c r="D146" i="4"/>
  <c r="D306" i="4"/>
  <c r="D3" i="4"/>
  <c r="D343" i="4"/>
  <c r="D341" i="4"/>
  <c r="D565" i="4"/>
  <c r="D547" i="4"/>
  <c r="D625" i="4"/>
  <c r="D529" i="4"/>
  <c r="D620" i="4"/>
  <c r="D540" i="4"/>
  <c r="D445" i="4"/>
  <c r="D365" i="4"/>
  <c r="D285" i="4"/>
  <c r="D189" i="4"/>
  <c r="D447" i="4"/>
  <c r="D367" i="4"/>
  <c r="D271" i="4"/>
  <c r="D191" i="4"/>
  <c r="D111" i="4"/>
  <c r="D15" i="4"/>
  <c r="D630" i="4"/>
  <c r="D576" i="4"/>
  <c r="D512" i="4"/>
  <c r="D402" i="4"/>
  <c r="D472" i="4"/>
  <c r="D414" i="4"/>
  <c r="D216" i="4"/>
  <c r="D162" i="4"/>
  <c r="D81" i="4"/>
  <c r="D643" i="4"/>
  <c r="D187" i="4"/>
  <c r="D20" i="4"/>
  <c r="D74" i="4"/>
  <c r="D128" i="4"/>
  <c r="D603" i="4"/>
  <c r="D515" i="4"/>
  <c r="D647" i="4"/>
  <c r="D557" i="4"/>
  <c r="D477" i="4"/>
  <c r="D567" i="4"/>
  <c r="D473" i="4"/>
  <c r="D393" i="4"/>
  <c r="D313" i="4"/>
  <c r="D217" i="4"/>
  <c r="D137" i="4"/>
  <c r="D396" i="4"/>
  <c r="D332" i="4"/>
  <c r="D268" i="4"/>
  <c r="D204" i="4"/>
  <c r="D140" i="4"/>
  <c r="D75" i="4"/>
  <c r="D11" i="4"/>
  <c r="D638" i="4"/>
  <c r="D594" i="4"/>
  <c r="D552" i="4"/>
  <c r="D510" i="4"/>
  <c r="D450" i="4"/>
  <c r="D234" i="4"/>
  <c r="D376" i="4"/>
  <c r="D403" i="4"/>
  <c r="D224" i="4"/>
  <c r="D182" i="4"/>
  <c r="D138" i="4"/>
  <c r="D78" i="4"/>
  <c r="D14" i="4"/>
  <c r="D93" i="4"/>
  <c r="D312" i="4"/>
  <c r="D12" i="4"/>
  <c r="D56" i="4"/>
  <c r="D98" i="4"/>
  <c r="D227" i="4"/>
  <c r="D464" i="4"/>
  <c r="D304" i="4"/>
  <c r="D328" i="4"/>
  <c r="D617" i="4"/>
  <c r="D553" i="4"/>
  <c r="D646" i="4"/>
  <c r="D86" i="4"/>
  <c r="D186" i="4"/>
  <c r="D416" i="4"/>
  <c r="D258" i="4"/>
  <c r="D514" i="4"/>
  <c r="D600" i="4"/>
  <c r="D19" i="4"/>
  <c r="D148" i="4"/>
  <c r="D276" i="4"/>
  <c r="D404" i="4"/>
  <c r="D193" i="4"/>
  <c r="D321" i="4"/>
  <c r="D449" i="4"/>
  <c r="D575" i="4"/>
  <c r="D597" i="4"/>
  <c r="D290" i="4"/>
  <c r="D327" i="4"/>
  <c r="D549" i="4"/>
  <c r="D100" i="4"/>
  <c r="D109" i="4"/>
  <c r="D218" i="4"/>
  <c r="D518" i="4"/>
  <c r="D103" i="4"/>
  <c r="D452" i="4"/>
  <c r="D453" i="4"/>
  <c r="D176" i="4"/>
  <c r="D474" i="4"/>
  <c r="D39" i="4"/>
  <c r="D607" i="4"/>
  <c r="D417" i="4"/>
  <c r="D257" i="4"/>
  <c r="D436" i="4"/>
  <c r="D244" i="4"/>
  <c r="D83" i="4"/>
  <c r="D622" i="4"/>
  <c r="D494" i="4"/>
  <c r="D406" i="4"/>
  <c r="D208" i="4"/>
  <c r="D54" i="4"/>
  <c r="D505" i="4"/>
  <c r="D601" i="4"/>
  <c r="D179" i="4"/>
  <c r="D336" i="4"/>
  <c r="D76" i="4"/>
  <c r="D456" i="4"/>
  <c r="D29" i="4"/>
  <c r="D110" i="4"/>
  <c r="D202" i="4"/>
  <c r="D523" i="4"/>
  <c r="D314" i="4"/>
  <c r="D530" i="4"/>
  <c r="D616" i="4"/>
  <c r="D43" i="4"/>
  <c r="D172" i="4"/>
  <c r="D300" i="4"/>
  <c r="D428" i="4"/>
  <c r="D265" i="4"/>
  <c r="D441" i="4"/>
  <c r="D599" i="4"/>
  <c r="D605" i="4"/>
  <c r="D246" i="4"/>
  <c r="D106" i="4"/>
  <c r="D390" i="4"/>
  <c r="D49" i="4"/>
  <c r="D184" i="4"/>
  <c r="D344" i="4"/>
  <c r="D490" i="4"/>
  <c r="D598" i="4"/>
  <c r="D63" i="4"/>
  <c r="D239" i="4"/>
  <c r="D399" i="4"/>
  <c r="D237" i="4"/>
  <c r="D413" i="4"/>
  <c r="D572" i="4"/>
  <c r="D577" i="4"/>
  <c r="D389" i="4"/>
  <c r="D560" i="4"/>
  <c r="D495" i="4"/>
  <c r="D307" i="4"/>
  <c r="D420" i="4"/>
  <c r="D546" i="4"/>
  <c r="D211" i="4"/>
  <c r="D543" i="4"/>
  <c r="D385" i="4"/>
  <c r="D225" i="4"/>
  <c r="D372" i="4"/>
  <c r="D212" i="4"/>
  <c r="D51" i="4"/>
  <c r="D578" i="4"/>
  <c r="D466" i="4"/>
  <c r="D587" i="4"/>
  <c r="D166" i="4"/>
  <c r="D22" i="4"/>
  <c r="D521" i="4"/>
  <c r="D633" i="4"/>
  <c r="D411" i="4"/>
  <c r="D280" i="4"/>
  <c r="D66" i="4"/>
  <c r="D392" i="4"/>
  <c r="D5" i="4"/>
  <c r="D126" i="4"/>
  <c r="D214" i="4"/>
  <c r="D342" i="4"/>
  <c r="D386" i="4"/>
  <c r="D542" i="4"/>
  <c r="D626" i="4"/>
  <c r="D59" i="4"/>
  <c r="D188" i="4"/>
  <c r="D316" i="4"/>
  <c r="D460" i="4"/>
  <c r="D281" i="4"/>
  <c r="D457" i="4"/>
  <c r="D631" i="4"/>
  <c r="D621" i="4"/>
  <c r="D171" i="4"/>
  <c r="D84" i="4"/>
  <c r="D310" i="4"/>
  <c r="D65" i="4"/>
  <c r="D206" i="4"/>
  <c r="D395" i="4"/>
  <c r="D502" i="4"/>
  <c r="D618" i="4"/>
  <c r="D79" i="4"/>
  <c r="D255" i="4"/>
  <c r="D431" i="4"/>
  <c r="D253" i="4"/>
  <c r="D429" i="4"/>
  <c r="D604" i="4"/>
  <c r="D593" i="4"/>
  <c r="D177" i="4"/>
  <c r="D382" i="4"/>
  <c r="D149" i="4"/>
  <c r="D45" i="4"/>
  <c r="D496" i="4"/>
</calcChain>
</file>

<file path=xl/sharedStrings.xml><?xml version="1.0" encoding="utf-8"?>
<sst xmlns="http://schemas.openxmlformats.org/spreadsheetml/2006/main" count="32343" uniqueCount="1196">
  <si>
    <t>Calculadora nutricional (Tabla INTA 2018)</t>
  </si>
  <si>
    <t>Producto (escribe parte del nombre):</t>
  </si>
  <si>
    <t>Leche en polvo 26% MG con Vit. D</t>
  </si>
  <si>
    <t>Cómo usarla:</t>
  </si>
  <si>
    <t>Gramos que necesitas:</t>
  </si>
  <si>
    <t>g</t>
  </si>
  <si>
    <t>1. Haz clic en la celda amarilla C4, escribe parte del nombre (ej.: olvo) y presiona Enter.</t>
  </si>
  <si>
    <t>Grupo / Fuente:</t>
  </si>
  <si>
    <t>2. Vuelve a seleccionar C4 y abre la flecha ▼: solo aparecen los productos que contienen ese texto.</t>
  </si>
  <si>
    <t>3. Elige el producto. La columna 'Por 100 g' muestra los valores de la tabla.</t>
  </si>
  <si>
    <t>Componente</t>
  </si>
  <si>
    <t>Unidad</t>
  </si>
  <si>
    <t>Por 100 g</t>
  </si>
  <si>
    <t>Origen</t>
  </si>
  <si>
    <t>4. Escribe los gramos en C5 (por defecto 100): la última columna se ajusta proporcionalmente.</t>
  </si>
  <si>
    <t>Energía</t>
  </si>
  <si>
    <t>kcal</t>
  </si>
  <si>
    <t>Para buscar otro producto, vuelve a escribir en C4 sobre el nombre actual.</t>
  </si>
  <si>
    <t>Humedad</t>
  </si>
  <si>
    <t>S/I = sin información (no se puede calcular). Valores de bebidas/líquidos son por 100 ml.</t>
  </si>
  <si>
    <t>Cenizas</t>
  </si>
  <si>
    <t>Proteínas</t>
  </si>
  <si>
    <t>H de C disponibles</t>
  </si>
  <si>
    <t>Azúcares totales</t>
  </si>
  <si>
    <t>Fibra dietética total</t>
  </si>
  <si>
    <t>Lípidos totales</t>
  </si>
  <si>
    <t>Ác. grasos saturados</t>
  </si>
  <si>
    <t>Ác. grasos monoinsaturados</t>
  </si>
  <si>
    <t>Ác. grasos poliinsaturados</t>
  </si>
  <si>
    <t>Ác. grasos trans</t>
  </si>
  <si>
    <t>Colesterol</t>
  </si>
  <si>
    <t>mg</t>
  </si>
  <si>
    <t>Vitamina A</t>
  </si>
  <si>
    <t>ug EAR</t>
  </si>
  <si>
    <t>Vitamina C</t>
  </si>
  <si>
    <t>Vitamina D</t>
  </si>
  <si>
    <t>ug</t>
  </si>
  <si>
    <t>Vitamina E</t>
  </si>
  <si>
    <t>mg ET</t>
  </si>
  <si>
    <t>Vitamina K</t>
  </si>
  <si>
    <t>Vitamina B1</t>
  </si>
  <si>
    <t>Vitamina B2</t>
  </si>
  <si>
    <t>Niacina</t>
  </si>
  <si>
    <t>mg EN</t>
  </si>
  <si>
    <t>Vitamina B6</t>
  </si>
  <si>
    <t>Ác. pantoténico</t>
  </si>
  <si>
    <t>Vitamina B12</t>
  </si>
  <si>
    <t>Folatos</t>
  </si>
  <si>
    <t>ug EFA</t>
  </si>
  <si>
    <t>Sodio</t>
  </si>
  <si>
    <t>Potasio</t>
  </si>
  <si>
    <t>Calcio</t>
  </si>
  <si>
    <t>Fósforo</t>
  </si>
  <si>
    <t>Magnesio</t>
  </si>
  <si>
    <t>Hierro</t>
  </si>
  <si>
    <t>Zinc</t>
  </si>
  <si>
    <t>Cobre</t>
  </si>
  <si>
    <t>Selenio</t>
  </si>
  <si>
    <t>Alcohol</t>
  </si>
  <si>
    <t>N°</t>
  </si>
  <si>
    <t>Grupo</t>
  </si>
  <si>
    <t>Producto</t>
  </si>
  <si>
    <t>Fuente</t>
  </si>
  <si>
    <t>Energía (kcal)</t>
  </si>
  <si>
    <t>Humedad (g)</t>
  </si>
  <si>
    <t>Cenizas (g)</t>
  </si>
  <si>
    <t>Proteínas (g)</t>
  </si>
  <si>
    <t>H de C disponibles (g)</t>
  </si>
  <si>
    <t>Azúcares totales (g)</t>
  </si>
  <si>
    <t>Fibra dietética total (g)</t>
  </si>
  <si>
    <t>Lípidos totales (g)</t>
  </si>
  <si>
    <t>Ác. grasos saturados (g)</t>
  </si>
  <si>
    <t>Ác. grasos monoinsaturados (g)</t>
  </si>
  <si>
    <t>Ác. grasos poliinsaturados (g)</t>
  </si>
  <si>
    <t>Ác. grasos trans (g)</t>
  </si>
  <si>
    <t>Colesterol (mg)</t>
  </si>
  <si>
    <t>Vitamina A (ug EAR)</t>
  </si>
  <si>
    <t>Vitamina C (mg)</t>
  </si>
  <si>
    <t>Vitamina D (ug)</t>
  </si>
  <si>
    <t>Vitamina E (mg ET)</t>
  </si>
  <si>
    <t>Vitamina K (ug)</t>
  </si>
  <si>
    <t>Vitamina B1 (mg)</t>
  </si>
  <si>
    <t>Vitamina B2 (mg)</t>
  </si>
  <si>
    <t>Niacina (mg EN)</t>
  </si>
  <si>
    <t>Vitamina B6 (mg)</t>
  </si>
  <si>
    <t>Ác. pantoténico (mg)</t>
  </si>
  <si>
    <t>Vitamina B12 (ug)</t>
  </si>
  <si>
    <t>Folatos (ug EFA)</t>
  </si>
  <si>
    <t>Sodio (mg)</t>
  </si>
  <si>
    <t>Potasio (mg)</t>
  </si>
  <si>
    <t>Calcio (mg)</t>
  </si>
  <si>
    <t>Fósforo (mg)</t>
  </si>
  <si>
    <t>Magnesio (mg)</t>
  </si>
  <si>
    <t>Hierro (mg)</t>
  </si>
  <si>
    <t>Zinc (mg)</t>
  </si>
  <si>
    <t>Cobre (mg)</t>
  </si>
  <si>
    <t>Selenio (ug)</t>
  </si>
  <si>
    <t>Alcohol (g)</t>
  </si>
  <si>
    <t>Leche y Derivados</t>
  </si>
  <si>
    <t>Leche materna</t>
  </si>
  <si>
    <t>S/I</t>
  </si>
  <si>
    <t>Leche de burra</t>
  </si>
  <si>
    <t>Leche de cabra con Vit. D</t>
  </si>
  <si>
    <t>Leche fluida entera (fuente 1)</t>
  </si>
  <si>
    <t>Leche fluida entera (fuente 2)</t>
  </si>
  <si>
    <t>Leche entera con sabor</t>
  </si>
  <si>
    <t>Leche semidescremada</t>
  </si>
  <si>
    <t>Leche semidescremada con sabor</t>
  </si>
  <si>
    <t>Leche semidescremada con sabor chocolate</t>
  </si>
  <si>
    <t>Leche semidescremada con sabor frutilla</t>
  </si>
  <si>
    <t>Leche semidescremada sin lactosa</t>
  </si>
  <si>
    <t>Leche descremada (fuente 4)</t>
  </si>
  <si>
    <t>Leche descremada (fuente 1)</t>
  </si>
  <si>
    <t>Leche en polvo 26% MG</t>
  </si>
  <si>
    <t>Leche en polvo 18% MG extra calcio</t>
  </si>
  <si>
    <t>Leche en polvo 12% MG</t>
  </si>
  <si>
    <t>Leche en polvo descremada</t>
  </si>
  <si>
    <t>Leche en polvo descremada extra calcio</t>
  </si>
  <si>
    <t>Leche en polvo Purita Cereal</t>
  </si>
  <si>
    <t>Leche condensada</t>
  </si>
  <si>
    <t>Leche evaporada</t>
  </si>
  <si>
    <t>Quesillo</t>
  </si>
  <si>
    <t>Quesillo 0% MG</t>
  </si>
  <si>
    <t>Quesillo sin sal</t>
  </si>
  <si>
    <t>Queso cabra</t>
  </si>
  <si>
    <t>Queso chanco</t>
  </si>
  <si>
    <t>Queso cheddar</t>
  </si>
  <si>
    <t>Queso crema (fuente 1)</t>
  </si>
  <si>
    <t>Queso crema (fuente 3)</t>
  </si>
  <si>
    <t>Queso fresco (fuente 3)</t>
  </si>
  <si>
    <t>Queso fresco (fuente 4)</t>
  </si>
  <si>
    <t>Queso fresco light</t>
  </si>
  <si>
    <t>Queso gouda (fuente 1)</t>
  </si>
  <si>
    <t>Queso gouda (fuente 3)</t>
  </si>
  <si>
    <t>Queso mantecoso</t>
  </si>
  <si>
    <t>Queso mozzarella</t>
  </si>
  <si>
    <t>Queso parmesano (fuente 2)</t>
  </si>
  <si>
    <t>Queso parmesano (fuente 1)</t>
  </si>
  <si>
    <t>Queso pategras</t>
  </si>
  <si>
    <t>Queso reggianito</t>
  </si>
  <si>
    <t>Queso suizo</t>
  </si>
  <si>
    <t>Queso untable</t>
  </si>
  <si>
    <t>Ricota</t>
  </si>
  <si>
    <t>Yogurt natural</t>
  </si>
  <si>
    <t>Yogurt con sabor</t>
  </si>
  <si>
    <t>Yogurt light</t>
  </si>
  <si>
    <t>Yogurt sin lactosa</t>
  </si>
  <si>
    <t>Yogurt con frutas</t>
  </si>
  <si>
    <t>Yogurt con frutas bajo en grasa</t>
  </si>
  <si>
    <t>Yogurt con fruta sin lactosa</t>
  </si>
  <si>
    <t>Tofu (fuente 1)</t>
  </si>
  <si>
    <t>Tofu (fuente 3)</t>
  </si>
  <si>
    <t>Huevos</t>
  </si>
  <si>
    <t>Huevo entero (fuente 1)</t>
  </si>
  <si>
    <t>Huevo entero (fuente 3)</t>
  </si>
  <si>
    <t>Clara de huevo</t>
  </si>
  <si>
    <t>Yema de huevo</t>
  </si>
  <si>
    <t>Huevo de codorniz</t>
  </si>
  <si>
    <t>Carnes y Vísceras</t>
  </si>
  <si>
    <t>Pollo cocido</t>
  </si>
  <si>
    <t>Pollo pierna</t>
  </si>
  <si>
    <t>Pollo pechuga</t>
  </si>
  <si>
    <t>Pollo pechuga deshuesado</t>
  </si>
  <si>
    <t>Pato cocido</t>
  </si>
  <si>
    <t>Pavo pierna</t>
  </si>
  <si>
    <t>Pavo rostizado</t>
  </si>
  <si>
    <t>Carne de cerdo</t>
  </si>
  <si>
    <t>Cazuela de cerdo</t>
  </si>
  <si>
    <t>Lomito de cerdo</t>
  </si>
  <si>
    <t>Pierna de cerdo marinada</t>
  </si>
  <si>
    <t>Chuleta de cerdo centro marinada</t>
  </si>
  <si>
    <t>Chuleta de cerdo vetada marinada</t>
  </si>
  <si>
    <t>Costillar de cerdo</t>
  </si>
  <si>
    <t>Costillar de cerdo marinado</t>
  </si>
  <si>
    <t>Filete de cerdo</t>
  </si>
  <si>
    <t>Pulpa de cerdo</t>
  </si>
  <si>
    <t>Cazuela de cordero</t>
  </si>
  <si>
    <t>Chuleta de cordero</t>
  </si>
  <si>
    <t>Pulpa de cordero</t>
  </si>
  <si>
    <t>Conejo (fuente 2)</t>
  </si>
  <si>
    <t>Conejo (fuente 1)</t>
  </si>
  <si>
    <t>Conejo horneado</t>
  </si>
  <si>
    <t>Filete de vacuno</t>
  </si>
  <si>
    <t>Guachalomo</t>
  </si>
  <si>
    <t>Lomo centro marinado</t>
  </si>
  <si>
    <t>Lomo liso</t>
  </si>
  <si>
    <t>Lomo vetado</t>
  </si>
  <si>
    <t>Asiento picana</t>
  </si>
  <si>
    <t>Plateada</t>
  </si>
  <si>
    <t>Pollo ganso</t>
  </si>
  <si>
    <t>Posta negra</t>
  </si>
  <si>
    <t>Posta rosada</t>
  </si>
  <si>
    <t>Cazuela de vacuno</t>
  </si>
  <si>
    <t>Carne vacuno</t>
  </si>
  <si>
    <t>Carne vacuno 5% MG</t>
  </si>
  <si>
    <t>Carne vacuno 10% MG</t>
  </si>
  <si>
    <t>Guatita</t>
  </si>
  <si>
    <t>Molleja o contre de pollo cocido</t>
  </si>
  <si>
    <t>Corazón de pollo cocido</t>
  </si>
  <si>
    <t>Riñón de vacuno cocido</t>
  </si>
  <si>
    <t>Criadillas de vacuno</t>
  </si>
  <si>
    <t>Arrollado de huaso</t>
  </si>
  <si>
    <t>Proteína de soja (carne vegetal)</t>
  </si>
  <si>
    <t>Charqui de vacuno</t>
  </si>
  <si>
    <t>Choricillo cocido</t>
  </si>
  <si>
    <t>Chorizo</t>
  </si>
  <si>
    <t>Hígado de cordero cocido</t>
  </si>
  <si>
    <t>Hígado de pollo cocido</t>
  </si>
  <si>
    <t>Hígado de vacuno cocido</t>
  </si>
  <si>
    <t>Lengua de vacuno</t>
  </si>
  <si>
    <t>Lengua vacuno cocida</t>
  </si>
  <si>
    <t>Ubre</t>
  </si>
  <si>
    <t>Jamón de cerdo</t>
  </si>
  <si>
    <t>Jamón cerdo extramagro</t>
  </si>
  <si>
    <t>Jamón crudo</t>
  </si>
  <si>
    <t>Jamón pavo</t>
  </si>
  <si>
    <t>Jamón de pavo ahumado</t>
  </si>
  <si>
    <t>Jamón pavo acaramelado</t>
  </si>
  <si>
    <t>Jamón picado</t>
  </si>
  <si>
    <t>Longaniza (fuente 3)</t>
  </si>
  <si>
    <t>Longaniza (fuente 1)</t>
  </si>
  <si>
    <t>Mortadela</t>
  </si>
  <si>
    <t>Nugget de pollo</t>
  </si>
  <si>
    <t>Paté (fuente 2)</t>
  </si>
  <si>
    <t>Paté (fuente 1)</t>
  </si>
  <si>
    <t>Pechuga pavo ahumado</t>
  </si>
  <si>
    <t>Pechuga pavo cocida (fuente 3)</t>
  </si>
  <si>
    <t>Pechuga pavo cocida (fuente 1)</t>
  </si>
  <si>
    <t>Pechuga de pollo cocida</t>
  </si>
  <si>
    <t>Pepperoni</t>
  </si>
  <si>
    <t>Pernil</t>
  </si>
  <si>
    <t>Prieta (fuente 3)</t>
  </si>
  <si>
    <t>Prieta (fuente 1)</t>
  </si>
  <si>
    <t>Queso cabeza (fuente 3)</t>
  </si>
  <si>
    <t>Queso cabeza (fuente 2)</t>
  </si>
  <si>
    <t>Salame (fuente 4)</t>
  </si>
  <si>
    <t>Salame (fuente 1)</t>
  </si>
  <si>
    <t>Seso cocido</t>
  </si>
  <si>
    <t>Tocino</t>
  </si>
  <si>
    <t>Turín</t>
  </si>
  <si>
    <t>Vienesa</t>
  </si>
  <si>
    <t>Vienesa de pavo</t>
  </si>
  <si>
    <t>Vienesa de pollo</t>
  </si>
  <si>
    <t>Pescados y Mariscos</t>
  </si>
  <si>
    <t>Almeja</t>
  </si>
  <si>
    <t>Almeja conserva en agua</t>
  </si>
  <si>
    <t>Caracol de mar</t>
  </si>
  <si>
    <t>Cholga en agua</t>
  </si>
  <si>
    <t>Cholga conserva en aceite</t>
  </si>
  <si>
    <t>Chorito conserva en aceite</t>
  </si>
  <si>
    <t>Chorito en agua</t>
  </si>
  <si>
    <t>Chorito</t>
  </si>
  <si>
    <t>Erizo</t>
  </si>
  <si>
    <t>Jibia</t>
  </si>
  <si>
    <t>Loco</t>
  </si>
  <si>
    <t>Macha en conserva en agua</t>
  </si>
  <si>
    <t>Navajuela</t>
  </si>
  <si>
    <t>Ostra</t>
  </si>
  <si>
    <t>Piure</t>
  </si>
  <si>
    <t>Camarón</t>
  </si>
  <si>
    <t>Camarón congelado</t>
  </si>
  <si>
    <t>Centolla</t>
  </si>
  <si>
    <t>Centollón</t>
  </si>
  <si>
    <t>Jaiva</t>
  </si>
  <si>
    <t>Atún conserva en agua (fuente 4)</t>
  </si>
  <si>
    <t>Atún conserva en agua (fuente 1)</t>
  </si>
  <si>
    <t>Atún conserva en aceite</t>
  </si>
  <si>
    <t>Cojinova</t>
  </si>
  <si>
    <t>Congrio colorado</t>
  </si>
  <si>
    <t>Congrio dorado</t>
  </si>
  <si>
    <t>Congrio negro</t>
  </si>
  <si>
    <t>Corvina</t>
  </si>
  <si>
    <t>Jurel (fuente 2)</t>
  </si>
  <si>
    <t>Jurel (fuente 1)</t>
  </si>
  <si>
    <t>Jurel conserva en agua</t>
  </si>
  <si>
    <t>Jurel conserva en aceite</t>
  </si>
  <si>
    <t>Lenguado (fuente 2)</t>
  </si>
  <si>
    <t>Lenguado (fuente 1)</t>
  </si>
  <si>
    <t>Merluza o pescada</t>
  </si>
  <si>
    <t>Mero</t>
  </si>
  <si>
    <t>Pejegallo</t>
  </si>
  <si>
    <t>Pejerrey</t>
  </si>
  <si>
    <t>Reineta</t>
  </si>
  <si>
    <t>Roncador</t>
  </si>
  <si>
    <t>Salmón coho fresco</t>
  </si>
  <si>
    <t>Salmón</t>
  </si>
  <si>
    <t>Salmón filete sin piel</t>
  </si>
  <si>
    <t>Sardina conserva en aceite</t>
  </si>
  <si>
    <t>Sardina española</t>
  </si>
  <si>
    <t>Sierra</t>
  </si>
  <si>
    <t>Trucha congelada</t>
  </si>
  <si>
    <t>Trucha de cultivo</t>
  </si>
  <si>
    <t>Trucha filete</t>
  </si>
  <si>
    <t>Trucha fresca de mar</t>
  </si>
  <si>
    <t>Kanikama (carne de pescado procesada)</t>
  </si>
  <si>
    <t>Ovas (masago)</t>
  </si>
  <si>
    <t>Paté de trucha ahumada</t>
  </si>
  <si>
    <t>Leguminosas y Oleaginosas</t>
  </si>
  <si>
    <t>Arveja seca</t>
  </si>
  <si>
    <t>Arveja harina</t>
  </si>
  <si>
    <t>Arvejas</t>
  </si>
  <si>
    <t>Arvejas conserva</t>
  </si>
  <si>
    <t>Garbanzo cocido</t>
  </si>
  <si>
    <t>Garbanzo</t>
  </si>
  <si>
    <t>Garbanzo harina</t>
  </si>
  <si>
    <t>Haba</t>
  </si>
  <si>
    <t>Haba seca</t>
  </si>
  <si>
    <t>Lenteja cocida</t>
  </si>
  <si>
    <t>Lenteja</t>
  </si>
  <si>
    <t>Lenteja harina</t>
  </si>
  <si>
    <t>Poroto cocido</t>
  </si>
  <si>
    <t>Poroto</t>
  </si>
  <si>
    <t>Poroto de soya cocido</t>
  </si>
  <si>
    <t>Poroto de soya</t>
  </si>
  <si>
    <t>Porotos granados</t>
  </si>
  <si>
    <t>Porotos negros</t>
  </si>
  <si>
    <t>Semillas, Almendras y Nueces</t>
  </si>
  <si>
    <t>Almendras (fuente 1)</t>
  </si>
  <si>
    <t>Almendras (fuente 3)</t>
  </si>
  <si>
    <t>Avellana</t>
  </si>
  <si>
    <t>Castaña de cajú tostada</t>
  </si>
  <si>
    <t>Macadamia</t>
  </si>
  <si>
    <t>Maní</t>
  </si>
  <si>
    <t>Maní japonés</t>
  </si>
  <si>
    <t>Maní tostado salado</t>
  </si>
  <si>
    <t>Nueces (fuente 3)</t>
  </si>
  <si>
    <t>Nueces (fuente 1)</t>
  </si>
  <si>
    <t>Pistacho</t>
  </si>
  <si>
    <t>Castaña cruda pelada</t>
  </si>
  <si>
    <t>Piñón</t>
  </si>
  <si>
    <t>Piñón deshidratado</t>
  </si>
  <si>
    <t>Chía</t>
  </si>
  <si>
    <t>Semilla amapola</t>
  </si>
  <si>
    <t>Semilla tostada de sésamo</t>
  </si>
  <si>
    <t>Semilla maravilla tostada pelada</t>
  </si>
  <si>
    <t>Semilla zapallo</t>
  </si>
  <si>
    <t>Semillas de linaza</t>
  </si>
  <si>
    <t>Cereales y Derivados</t>
  </si>
  <si>
    <t>Crutones</t>
  </si>
  <si>
    <t>Pan blanco sin sal</t>
  </si>
  <si>
    <t>Pan de centeno</t>
  </si>
  <si>
    <t>Pan de miel</t>
  </si>
  <si>
    <t>Pan especial</t>
  </si>
  <si>
    <t>Pan hallulla</t>
  </si>
  <si>
    <t>Pan integral</t>
  </si>
  <si>
    <t>Pan marraqueta</t>
  </si>
  <si>
    <t>Pan molde (fuente 1)</t>
  </si>
  <si>
    <t>Pan molde (fuente 3)</t>
  </si>
  <si>
    <t>Pan pita blanco</t>
  </si>
  <si>
    <t>Pan rallado seco</t>
  </si>
  <si>
    <t>Pan salvado de trigo</t>
  </si>
  <si>
    <t>Pan trigo</t>
  </si>
  <si>
    <t>Tortilla para tacos</t>
  </si>
  <si>
    <t>Arroz blanco</t>
  </si>
  <si>
    <t>Arroz blanco cocido</t>
  </si>
  <si>
    <t>Arroz integral</t>
  </si>
  <si>
    <t>Arroz integral cocido</t>
  </si>
  <si>
    <t>Cabritas</t>
  </si>
  <si>
    <t>Choclo cocido</t>
  </si>
  <si>
    <t>Choclo congelado</t>
  </si>
  <si>
    <t>Choclo</t>
  </si>
  <si>
    <t>Mote trigo cocido</t>
  </si>
  <si>
    <t>Mote trigo</t>
  </si>
  <si>
    <t>Quinoa (fuente 1)</t>
  </si>
  <si>
    <t>Quinoa (fuente 3)</t>
  </si>
  <si>
    <t>Quinoa cocida</t>
  </si>
  <si>
    <t>Salvado de avena</t>
  </si>
  <si>
    <t>Salvado de trigo</t>
  </si>
  <si>
    <t>Avena</t>
  </si>
  <si>
    <t>Cereal de maíz (fuente 3)</t>
  </si>
  <si>
    <t>Cereal de maíz (fuente 1)</t>
  </si>
  <si>
    <t>Granola</t>
  </si>
  <si>
    <t>Burgol</t>
  </si>
  <si>
    <t>Cuscús cocido</t>
  </si>
  <si>
    <t>Cuscús seco</t>
  </si>
  <si>
    <t>Fideos</t>
  </si>
  <si>
    <t>Fideos cocidos</t>
  </si>
  <si>
    <t>Fideos de arroz cocido</t>
  </si>
  <si>
    <t>Galleta champaña</t>
  </si>
  <si>
    <t>Galleta cereal avena manzana</t>
  </si>
  <si>
    <t>Galleta cereal berries</t>
  </si>
  <si>
    <t>Galleta cereal cacao</t>
  </si>
  <si>
    <t>Galleta cereal clásica</t>
  </si>
  <si>
    <t>Galleta cereal fibra cacao</t>
  </si>
  <si>
    <t>Galleta chips de chocolate</t>
  </si>
  <si>
    <t>Galleta chocolate</t>
  </si>
  <si>
    <t>Galleta de arroz (fuente 3)</t>
  </si>
  <si>
    <t>Galleta de arroz (fuente 4)</t>
  </si>
  <si>
    <t>Galleta de arroz sésamo</t>
  </si>
  <si>
    <t>Galleta de arroz sin sal</t>
  </si>
  <si>
    <t>Galleta de arroz trigo avena</t>
  </si>
  <si>
    <t>Galleta mantequilla</t>
  </si>
  <si>
    <t>Galleta mini cocaditas</t>
  </si>
  <si>
    <t>Galleta mini limón</t>
  </si>
  <si>
    <t>Galleta mini mantequilla</t>
  </si>
  <si>
    <t>Galleta mini vino</t>
  </si>
  <si>
    <t>Galleta soda</t>
  </si>
  <si>
    <t>Galleta vainilla</t>
  </si>
  <si>
    <t>Galleta vino</t>
  </si>
  <si>
    <t>Galletas cracker</t>
  </si>
  <si>
    <t>Galletas de agua</t>
  </si>
  <si>
    <t>Galletas de arroz</t>
  </si>
  <si>
    <t>Harina de centeno</t>
  </si>
  <si>
    <t>Harina de trigo</t>
  </si>
  <si>
    <t>Harina de yuca</t>
  </si>
  <si>
    <t>Harina de trigo tostada</t>
  </si>
  <si>
    <t>Chuchoca</t>
  </si>
  <si>
    <t>Chuño</t>
  </si>
  <si>
    <t>Maicena</t>
  </si>
  <si>
    <t>Sémola (fuente 1)</t>
  </si>
  <si>
    <t>Sémola (fuente 4)</t>
  </si>
  <si>
    <t>Tapioca</t>
  </si>
  <si>
    <t>Papas</t>
  </si>
  <si>
    <t>Camote</t>
  </si>
  <si>
    <t>Papa cocida</t>
  </si>
  <si>
    <t>Papa cruda</t>
  </si>
  <si>
    <t>Papa entera rojiza</t>
  </si>
  <si>
    <t>Grasas y Aceites</t>
  </si>
  <si>
    <t>Aceite de canola</t>
  </si>
  <si>
    <t>Aceite de coco</t>
  </si>
  <si>
    <t>Aceite de maíz</t>
  </si>
  <si>
    <t>Aceite de maravilla (fuente 1)</t>
  </si>
  <si>
    <t>Aceite de maravilla (fuente 3)</t>
  </si>
  <si>
    <t>Aceite de maravilla (fuente 2)</t>
  </si>
  <si>
    <t>Aceite de oliva</t>
  </si>
  <si>
    <t>Aceite de oliva extra virgen</t>
  </si>
  <si>
    <t>Aceite de palma</t>
  </si>
  <si>
    <t>Aceite de soja (fuente 2)</t>
  </si>
  <si>
    <t>Aceite de soja (fuente 1)</t>
  </si>
  <si>
    <t>Aceite palta orgánico</t>
  </si>
  <si>
    <t>Crema ácida</t>
  </si>
  <si>
    <t>Crema chantilly</t>
  </si>
  <si>
    <t>Crema de leche light</t>
  </si>
  <si>
    <t>Grasa animal</t>
  </si>
  <si>
    <t>Manteca vegetal</t>
  </si>
  <si>
    <t>Mantequilla (fuente 1)</t>
  </si>
  <si>
    <t>Mantequilla (fuente 3)</t>
  </si>
  <si>
    <t>Margarina (fuente 1)</t>
  </si>
  <si>
    <t>Margarina (fuente 3)</t>
  </si>
  <si>
    <t>Margarina reducida en grasa (fuente 1)</t>
  </si>
  <si>
    <t>Margarina reducida en grasa (fuente 4)</t>
  </si>
  <si>
    <t>Mayonesa</t>
  </si>
  <si>
    <t>Mayonesa casera</t>
  </si>
  <si>
    <t>Verduras</t>
  </si>
  <si>
    <t>Acelga (fuente 3)</t>
  </si>
  <si>
    <t>Acelga cocida</t>
  </si>
  <si>
    <t>Acelga (fuente 1)</t>
  </si>
  <si>
    <t>Achicoria</t>
  </si>
  <si>
    <t>Ajo</t>
  </si>
  <si>
    <t>Alcachofa</t>
  </si>
  <si>
    <t>Alfalfa brotes</t>
  </si>
  <si>
    <t>Apio</t>
  </si>
  <si>
    <t>Berenjena</t>
  </si>
  <si>
    <t>Berro</t>
  </si>
  <si>
    <t>Betarraga</t>
  </si>
  <si>
    <t>Brócoli</t>
  </si>
  <si>
    <t>Cebolla</t>
  </si>
  <si>
    <t>Cebollín</t>
  </si>
  <si>
    <t>Champiñón blanco</t>
  </si>
  <si>
    <t>Champiñón blanco cocido con sal</t>
  </si>
  <si>
    <t>Champiñón ostra</t>
  </si>
  <si>
    <t>Champiñón portabella</t>
  </si>
  <si>
    <t>Champiñón shiitake</t>
  </si>
  <si>
    <t>Champiñón shiitake cocido con sal</t>
  </si>
  <si>
    <t>Champiñones en conserva</t>
  </si>
  <si>
    <t>Cochayuyo</t>
  </si>
  <si>
    <t>Coliflor</t>
  </si>
  <si>
    <t>Endivia</t>
  </si>
  <si>
    <t>Espárrago</t>
  </si>
  <si>
    <t>Espinaca cocida</t>
  </si>
  <si>
    <t>Espinaca</t>
  </si>
  <si>
    <t>Hinojo bulbo</t>
  </si>
  <si>
    <t>Lechuga</t>
  </si>
  <si>
    <t>Lechuga escarola</t>
  </si>
  <si>
    <t>Lechuga roja</t>
  </si>
  <si>
    <t>Luche</t>
  </si>
  <si>
    <t>Luche ahumado</t>
  </si>
  <si>
    <t>Nabos</t>
  </si>
  <si>
    <t>Penca</t>
  </si>
  <si>
    <t>Pepino</t>
  </si>
  <si>
    <t>Pepinillos en conserva</t>
  </si>
  <si>
    <t>Pickles</t>
  </si>
  <si>
    <t>Pimentón rojo</t>
  </si>
  <si>
    <t>Pimentón verde</t>
  </si>
  <si>
    <t>Poroto verde enlatado</t>
  </si>
  <si>
    <t>Porotos verdes</t>
  </si>
  <si>
    <t>Puerro</t>
  </si>
  <si>
    <t>Rabanito</t>
  </si>
  <si>
    <t>Repollitos de bruselas</t>
  </si>
  <si>
    <t>Repollitos de bruselas cocido con sal</t>
  </si>
  <si>
    <t>Repollo</t>
  </si>
  <si>
    <t>Repollo morado</t>
  </si>
  <si>
    <t>Tomate</t>
  </si>
  <si>
    <t>Ulte</t>
  </si>
  <si>
    <t>Zanahoria (fuente 1, 1)</t>
  </si>
  <si>
    <t>Zanahoria (fuente 1, 2)</t>
  </si>
  <si>
    <t>Zapallo italiano</t>
  </si>
  <si>
    <t>Zapallo italiano cocido con sal</t>
  </si>
  <si>
    <t>Zapallo</t>
  </si>
  <si>
    <t>Frutas</t>
  </si>
  <si>
    <t>Aceitunas negras</t>
  </si>
  <si>
    <t>Aceitunas verdes</t>
  </si>
  <si>
    <t>Arándanos azul</t>
  </si>
  <si>
    <t>Arándanos rojo</t>
  </si>
  <si>
    <t>Caqui</t>
  </si>
  <si>
    <t>Cerezas</t>
  </si>
  <si>
    <t>Chirimoya</t>
  </si>
  <si>
    <t>Ciruelas</t>
  </si>
  <si>
    <t>Ciruelas desecadas</t>
  </si>
  <si>
    <t>Clementinas</t>
  </si>
  <si>
    <t>Damasco</t>
  </si>
  <si>
    <t>Damascos secos</t>
  </si>
  <si>
    <t>Durazno</t>
  </si>
  <si>
    <t>Duraznos en conserva</t>
  </si>
  <si>
    <t>Frambuesa</t>
  </si>
  <si>
    <t>Frutilla</t>
  </si>
  <si>
    <t>Granada</t>
  </si>
  <si>
    <t>Grosella roja y blanca</t>
  </si>
  <si>
    <t>Guayaba</t>
  </si>
  <si>
    <t>Guindas</t>
  </si>
  <si>
    <t>Guindas ácidas rojas</t>
  </si>
  <si>
    <t>Higos frescos</t>
  </si>
  <si>
    <t>Higos secos</t>
  </si>
  <si>
    <t>Huesillo</t>
  </si>
  <si>
    <t>Kiwi</t>
  </si>
  <si>
    <t>Limón fruto</t>
  </si>
  <si>
    <t>Mandarina</t>
  </si>
  <si>
    <t>Mango</t>
  </si>
  <si>
    <t>Manzana</t>
  </si>
  <si>
    <t>Manzana fuji</t>
  </si>
  <si>
    <t>Manzana golden</t>
  </si>
  <si>
    <t>Manzana roja</t>
  </si>
  <si>
    <t>Manzana sin cáscara</t>
  </si>
  <si>
    <t>Manzana verde</t>
  </si>
  <si>
    <t>Melón</t>
  </si>
  <si>
    <t>Membrillo</t>
  </si>
  <si>
    <t>Mora</t>
  </si>
  <si>
    <t>Naranja</t>
  </si>
  <si>
    <t>Níspero</t>
  </si>
  <si>
    <t>Palta</t>
  </si>
  <si>
    <t>Palta hass</t>
  </si>
  <si>
    <t>Papaya</t>
  </si>
  <si>
    <t>Pasas</t>
  </si>
  <si>
    <t>Pepino dulce</t>
  </si>
  <si>
    <t>Azúcares y Miel</t>
  </si>
  <si>
    <t>Azúcar</t>
  </si>
  <si>
    <t>Azúcar (contiene sorbitol)</t>
  </si>
  <si>
    <t>Azúcar flor</t>
  </si>
  <si>
    <t>Azúcar light con estevia</t>
  </si>
  <si>
    <t>Azúcar light con sucralosa</t>
  </si>
  <si>
    <t>Miel de abeja (fuente 3)</t>
  </si>
  <si>
    <t>Miel de abeja (fuente 2)</t>
  </si>
  <si>
    <t>Miel de palma</t>
  </si>
  <si>
    <t>Alimentos Dulces</t>
  </si>
  <si>
    <t>Alfajor</t>
  </si>
  <si>
    <t>Barra cereal</t>
  </si>
  <si>
    <t>Barra sabor chocolate con relleno sabor frutilla</t>
  </si>
  <si>
    <t>Berlín</t>
  </si>
  <si>
    <t>Biscocho simple</t>
  </si>
  <si>
    <t>Cacao en polvo sin azúcar</t>
  </si>
  <si>
    <t>Chancaca</t>
  </si>
  <si>
    <t>Chocolate de leche con almendras</t>
  </si>
  <si>
    <t>Chocolate amargo 60-69% cacao</t>
  </si>
  <si>
    <t>Chocolate amargo 70-85% cacao</t>
  </si>
  <si>
    <t>Chocolate de leche</t>
  </si>
  <si>
    <t>Cacao en polvo con azúcar</t>
  </si>
  <si>
    <t>Fruta confitada</t>
  </si>
  <si>
    <t>Jalea polvo</t>
  </si>
  <si>
    <t>Jalea reconstituida (fuente 1)</t>
  </si>
  <si>
    <t>Jalea reconstituida (fuente 3)</t>
  </si>
  <si>
    <t>Jalea polvo sin azúcar</t>
  </si>
  <si>
    <t>Manjar</t>
  </si>
  <si>
    <t>Mermelada damasco</t>
  </si>
  <si>
    <t>Mermelada membrillo</t>
  </si>
  <si>
    <t>Mermelada sin azúcar adicionada</t>
  </si>
  <si>
    <t>Dulce de membrillo</t>
  </si>
  <si>
    <t>Mousse vainilla</t>
  </si>
  <si>
    <t>Muffins arándano</t>
  </si>
  <si>
    <t>Oblea bañada con cobertura sabor chocolate</t>
  </si>
  <si>
    <t>Cono de barquillo azucarado</t>
  </si>
  <si>
    <t>Pie de limón</t>
  </si>
  <si>
    <t>Strudel de manzana</t>
  </si>
  <si>
    <t>Marshmallow</t>
  </si>
  <si>
    <t>Sustancia simple (marshmallow)</t>
  </si>
  <si>
    <t>Sustancia (marshmallow) con chocolate</t>
  </si>
  <si>
    <t>Postres de Leche</t>
  </si>
  <si>
    <t>Arroz con leche</t>
  </si>
  <si>
    <t>Flan de leche sabor vainilla</t>
  </si>
  <si>
    <t>Flan vainilla reconstituido</t>
  </si>
  <si>
    <t>Flan polvo</t>
  </si>
  <si>
    <t>Leche asada con salsa de caramelo</t>
  </si>
  <si>
    <t>Sémola con leche con salsa caramelo</t>
  </si>
  <si>
    <t>Jugos y Néctares</t>
  </si>
  <si>
    <t>Bebida de soya sabor manzana</t>
  </si>
  <si>
    <t>Jugo de limón</t>
  </si>
  <si>
    <t>Jugo de mandarina</t>
  </si>
  <si>
    <t>Jugo de maqui</t>
  </si>
  <si>
    <t>Jugo de naranja</t>
  </si>
  <si>
    <t>Jugo de pomelo</t>
  </si>
  <si>
    <t>Néctar damasco</t>
  </si>
  <si>
    <t>Néctar damasco light</t>
  </si>
  <si>
    <t>Néctar durazno</t>
  </si>
  <si>
    <t>Néctar durazno light</t>
  </si>
  <si>
    <t>Néctar manzana</t>
  </si>
  <si>
    <t>Néctar naranja</t>
  </si>
  <si>
    <t>Néctar naranja light</t>
  </si>
  <si>
    <t>Néctar uva light</t>
  </si>
  <si>
    <t>Refrescos en Polvo</t>
  </si>
  <si>
    <t>Refresco polvo bajo en calorías</t>
  </si>
  <si>
    <t>Refresco polvo light durazno</t>
  </si>
  <si>
    <t>Refresco polvo light naranja</t>
  </si>
  <si>
    <t>Refresco polvo light piña</t>
  </si>
  <si>
    <t>Bebidas</t>
  </si>
  <si>
    <t>Agua tónica</t>
  </si>
  <si>
    <t>Bebida cola light</t>
  </si>
  <si>
    <t>Bebida cola tradicional</t>
  </si>
  <si>
    <t>Bebida energética</t>
  </si>
  <si>
    <t>Bebida gaseosa sabor limón</t>
  </si>
  <si>
    <t>Bebida gaseosa sabor naranja</t>
  </si>
  <si>
    <t>Bebida gaseosa sabor piña</t>
  </si>
  <si>
    <t>Bebida gaseosa sabor piña libre de azúcar</t>
  </si>
  <si>
    <t>Bebida isotónica</t>
  </si>
  <si>
    <t>Bebida isotónica sabor lima limón</t>
  </si>
  <si>
    <t>Bebidas Alcohólicas</t>
  </si>
  <si>
    <t>Cerveza</t>
  </si>
  <si>
    <t>Champagna</t>
  </si>
  <si>
    <t>Licor de café</t>
  </si>
  <si>
    <t>Licor de menta</t>
  </si>
  <si>
    <t>Martini</t>
  </si>
  <si>
    <t>Pisco</t>
  </si>
  <si>
    <t>Pisco sour</t>
  </si>
  <si>
    <t>Ron</t>
  </si>
  <si>
    <t>Vodka</t>
  </si>
  <si>
    <t>Whisky</t>
  </si>
  <si>
    <t>Vino blanco</t>
  </si>
  <si>
    <t>Vino tinto (fuente 1)</t>
  </si>
  <si>
    <t>Vino tinto (fuente 3)</t>
  </si>
  <si>
    <t>Productos Salados</t>
  </si>
  <si>
    <t>Hojuelas papas fritas</t>
  </si>
  <si>
    <t>Hojuelas papas fritas sabor crema y cebolla</t>
  </si>
  <si>
    <t>Suflé sabor queso</t>
  </si>
  <si>
    <t>Salsas</t>
  </si>
  <si>
    <t>Pesto</t>
  </si>
  <si>
    <t>Salsa barbecue</t>
  </si>
  <si>
    <t>Salsa blanca casera</t>
  </si>
  <si>
    <t>Salsa de tomates (fuente 1)</t>
  </si>
  <si>
    <t>Salsa de tomates (fuente 4)</t>
  </si>
  <si>
    <t>Salsa de tomates con cebolla</t>
  </si>
  <si>
    <t>Salsa tártara</t>
  </si>
  <si>
    <t>Salsa teriyaki</t>
  </si>
  <si>
    <t>Salsa verde</t>
  </si>
  <si>
    <t>Especias</t>
  </si>
  <si>
    <t>Ajo en polvo</t>
  </si>
  <si>
    <t>Albahaca fresca</t>
  </si>
  <si>
    <t>Albahaca seca</t>
  </si>
  <si>
    <t>Azafrán</t>
  </si>
  <si>
    <t>Canela</t>
  </si>
  <si>
    <t>Cardamomo</t>
  </si>
  <si>
    <t>Cebolla en polvo</t>
  </si>
  <si>
    <t>Clavo de olor</t>
  </si>
  <si>
    <t>Cúrcuma</t>
  </si>
  <si>
    <t>Curry en polvo</t>
  </si>
  <si>
    <t>Eneldo fresco</t>
  </si>
  <si>
    <t>Eneldo seco</t>
  </si>
  <si>
    <t>Estragón seco</t>
  </si>
  <si>
    <t>Hierbabuena</t>
  </si>
  <si>
    <t>Jengibre</t>
  </si>
  <si>
    <t>Laurel</t>
  </si>
  <si>
    <t>Locoto deshidratado</t>
  </si>
  <si>
    <t>Locoto fresco</t>
  </si>
  <si>
    <t>Menta verde fresca</t>
  </si>
  <si>
    <t>Menta verde seca</t>
  </si>
  <si>
    <t>Merkén</t>
  </si>
  <si>
    <t>Nuez moscada</t>
  </si>
  <si>
    <t>Orégano seco</t>
  </si>
  <si>
    <t>Paprika</t>
  </si>
  <si>
    <t>Pimentón deshidratado</t>
  </si>
  <si>
    <t>Perejil fresco</t>
  </si>
  <si>
    <t>Perejil seco</t>
  </si>
  <si>
    <t>Pimienta blanca</t>
  </si>
  <si>
    <t>Pimienta negra</t>
  </si>
  <si>
    <t>Pimienta roja</t>
  </si>
  <si>
    <t>Romero fresco</t>
  </si>
  <si>
    <t>Romero seco</t>
  </si>
  <si>
    <t>Sal de mar</t>
  </si>
  <si>
    <t>Sal de mesa</t>
  </si>
  <si>
    <t>Semilla de amapola</t>
  </si>
  <si>
    <t>Semilla de comino</t>
  </si>
  <si>
    <t>Semillas de hinojo</t>
  </si>
  <si>
    <t>Semilla de mostaza</t>
  </si>
  <si>
    <t>Tomillo fresco</t>
  </si>
  <si>
    <t>Tomillo seco</t>
  </si>
  <si>
    <t>Endulzantes</t>
  </si>
  <si>
    <t>Endulzante agave líquido</t>
  </si>
  <si>
    <t>Endulzante agave más sucralosa en tableta</t>
  </si>
  <si>
    <t>Endulzante stevia líquido</t>
  </si>
  <si>
    <t>Endulzante sucralosa líquido</t>
  </si>
  <si>
    <t>Platos Preparados</t>
  </si>
  <si>
    <t>Carne asada arvejada</t>
  </si>
  <si>
    <t>Cebolla en escabeche</t>
  </si>
  <si>
    <t>Cerdo a la mostaza</t>
  </si>
  <si>
    <t>Crema de cebolla</t>
  </si>
  <si>
    <t>Lentejas con arroz</t>
  </si>
  <si>
    <t>Manzana asada</t>
  </si>
  <si>
    <t>Puré manzana</t>
  </si>
  <si>
    <t>Puré manzana plátano</t>
  </si>
  <si>
    <t>Puré pera con canela</t>
  </si>
  <si>
    <t>Mariscal</t>
  </si>
  <si>
    <t>Pollo a la mostaza</t>
  </si>
  <si>
    <t>Sopa de sémola</t>
  </si>
  <si>
    <t>Tomate con papas</t>
  </si>
  <si>
    <t>Torta de durazno con crema</t>
  </si>
  <si>
    <t>Verduras guisadas</t>
  </si>
  <si>
    <t>Alimentos con Formulaciones Especiales</t>
  </si>
  <si>
    <t>Bebida láctea años dorados</t>
  </si>
  <si>
    <t>Crema años dorados arveja</t>
  </si>
  <si>
    <t>Crema años dorados espárrago</t>
  </si>
  <si>
    <t>Crema años dorados lentejas</t>
  </si>
  <si>
    <t>Crema años dorados verduras</t>
  </si>
  <si>
    <t>Cyclinex 1</t>
  </si>
  <si>
    <t>Cyclinex 2</t>
  </si>
  <si>
    <t>Dialamine</t>
  </si>
  <si>
    <t>Essential amino acid mix</t>
  </si>
  <si>
    <t>GA 1 Anamix infant</t>
  </si>
  <si>
    <t>Glutarex 1</t>
  </si>
  <si>
    <t>Glutarex 2</t>
  </si>
  <si>
    <t>IVA Anamix</t>
  </si>
  <si>
    <t>Ketonex 1</t>
  </si>
  <si>
    <t>Ketonex 2</t>
  </si>
  <si>
    <t>Leche continuación</t>
  </si>
  <si>
    <t>Fórmula láctea prematuro (A)</t>
  </si>
  <si>
    <t>Fórmula láctea prematuro (B)</t>
  </si>
  <si>
    <t>Fórmula láctea Purita Cereal</t>
  </si>
  <si>
    <t>Leche Purita Fortificada</t>
  </si>
  <si>
    <t>Bebida láctea Purita Mamá</t>
  </si>
  <si>
    <t>Sopa crema de ave Mi sopita</t>
  </si>
  <si>
    <t>Sopa crema de legumbres Mi sopita</t>
  </si>
  <si>
    <t>Sopa crema de verduras Mi sopita</t>
  </si>
  <si>
    <t>MMA - PA Anamix Infant</t>
  </si>
  <si>
    <t>Monogen</t>
  </si>
  <si>
    <t>MSUD Anamix Infant</t>
  </si>
  <si>
    <t>MSUD Maxamaid</t>
  </si>
  <si>
    <t>MSUD Maxamum</t>
  </si>
  <si>
    <t>MSUD Med A Plus</t>
  </si>
  <si>
    <t>MSUD Med B Plus</t>
  </si>
  <si>
    <t>OAc Med B Plus</t>
  </si>
  <si>
    <t>P-AM 2</t>
  </si>
  <si>
    <t>Phenex 1</t>
  </si>
  <si>
    <t>Phenex 2</t>
  </si>
  <si>
    <t>PKU 2 Nutri Concentrated</t>
  </si>
  <si>
    <t>PKU 2 Nutri Energy</t>
  </si>
  <si>
    <t>PKU Anamix Infant</t>
  </si>
  <si>
    <t>PKU Med B Fórmula</t>
  </si>
  <si>
    <t>PKU Med C Plus</t>
  </si>
  <si>
    <t>Portagen</t>
  </si>
  <si>
    <t>Propimex 1</t>
  </si>
  <si>
    <t>Propimex 2</t>
  </si>
  <si>
    <t>Tyr 3 Advanta</t>
  </si>
  <si>
    <t>Tyrex 1</t>
  </si>
  <si>
    <t>Tyrex 2</t>
  </si>
  <si>
    <t>XLEU Maxamaid</t>
  </si>
  <si>
    <t>XLEU Maxamum</t>
  </si>
  <si>
    <t>XLYS LOW TRY Maxamaid</t>
  </si>
  <si>
    <t>XLYS LOW TRY Maxamum</t>
  </si>
  <si>
    <t>XMTVI Maxamum</t>
  </si>
  <si>
    <t>XP Maxamaid</t>
  </si>
  <si>
    <t>XP Maxamum</t>
  </si>
  <si>
    <t>Trazas</t>
  </si>
  <si>
    <t>XPHEN TYR Maxamum</t>
  </si>
  <si>
    <t>Código</t>
  </si>
  <si>
    <t>USDA Food Composition Databases (EE.UU.)</t>
  </si>
  <si>
    <t>Tabla de Composición Química de Alimentos Chilenos (Schmidt-Hebbel y cols., 1990)</t>
  </si>
  <si>
    <t>Análisis del Centro de Alimentos INTA, Universidad de Chile</t>
  </si>
  <si>
    <t>Etiquetado nutricional de productos del mercado</t>
  </si>
  <si>
    <t>Jury G. y cols. Porciones de intercambio y composición química de los alimentos de la Pirámide Alimentaria Chilena, 1997</t>
  </si>
  <si>
    <t>Valores por 100 g/ml de alimento. Transcrito de: Tabla de Composición de Alimentos, INTA – Universidad de Chile, 2018.</t>
  </si>
  <si>
    <t>S/I = sin información. 'Trazas' = cantidad mínima no cuantificada.</t>
  </si>
  <si>
    <t>Alcohol (g) solo aparece en la sección Bebidas Alcohólicas; en el resto queda S/I.</t>
  </si>
  <si>
    <t>En Cyclinex, Dialamine, Glutarex, Ketonex, Phenex, Propimex, Tyrex, PKU y MMA-PA las proteínas son aminoácidos (proteína equivalente).</t>
  </si>
  <si>
    <t>VALORES COMPLETADOS (celdas lila en cursiva en la pestaña Datos):</t>
  </si>
  <si>
    <t>Los S/I se completaron con USDA FoodData Central, SR Legacy (abril 2018), dominio público: https://fdc.nal.usda.gov/</t>
  </si>
  <si>
    <t>Cada producto se emparejó con el alimento USDA más parecido; la pestaña 'Valores completados' lista cada valor, el método y el alimento USDA.</t>
  </si>
  <si>
    <t>Vitaminas y minerales se ajustaron por materia seca: valor USDA × (100 − humedad del producto) / (100 − humedad USDA).</t>
  </si>
  <si>
    <t>Ácidos grasos: proporción USDA aplicada a los lípidos totales del producto. Azúcares nunca superan los HdeC disponibles.</t>
  </si>
  <si>
    <t>Humedad y cenizas faltantes se calcularon por diferencia con el resto de la composición. Alcohol = 0 en alimentos no alcohólicos.</t>
  </si>
  <si>
    <t>Quedan S/I cuando no hubo equivalente razonable (fórmulas especiales, platos preparados, algunos productos locales).</t>
  </si>
  <si>
    <t>Los valores originales de la tabla INTA no se modificaron. Son estimaciones: verifícalas antes de un uso clínico.</t>
  </si>
  <si>
    <t>Coincidencia N°</t>
  </si>
  <si>
    <t>k</t>
  </si>
  <si>
    <t>Lista filtrada</t>
  </si>
  <si>
    <t>Nutriente</t>
  </si>
  <si>
    <t>Valor estimado</t>
  </si>
  <si>
    <t>Método</t>
  </si>
  <si>
    <t>Alimento USDA usado</t>
  </si>
  <si>
    <t>FDC ID</t>
  </si>
  <si>
    <t>0: no es bebida alcohólica</t>
  </si>
  <si>
    <t>USDA ajustado a materia seca</t>
  </si>
  <si>
    <t>Milk, whole, 3.25% milkfat, without added vitamin A and vitamin D</t>
  </si>
  <si>
    <t>Milk, chocolate, fluid, commercial, whole, with added vitamin A and vitamin D</t>
  </si>
  <si>
    <t>USDA, proporcional a los lípidos totales del producto</t>
  </si>
  <si>
    <t>Milk, reduced fat, fluid, 2% milkfat, with added vitamin A and vitamin D</t>
  </si>
  <si>
    <t>USDA</t>
  </si>
  <si>
    <t>Milk, chocolate, lowfat, reduced sugar</t>
  </si>
  <si>
    <t>por diferencia (100 − cenizas − proteínas − HdeC − fibra − lípidos − alcohol)</t>
  </si>
  <si>
    <t>Milk, lowfat, fluid, 1% milkfat, with added vitamin A and vitamin D</t>
  </si>
  <si>
    <t>Milk, nonfat, fluid, with added vitamin A and vitamin D (fat free or skim)</t>
  </si>
  <si>
    <t>Milk, dry, whole, without added vitamin D</t>
  </si>
  <si>
    <t>Milk, dry, whole, with added vitamin D</t>
  </si>
  <si>
    <t>Milk, dry, nonfat, regular, with added vitamin A and vitamin D</t>
  </si>
  <si>
    <t>por diferencia (100 − humedad − proteínas − HdeC − fibra − lípidos)</t>
  </si>
  <si>
    <t>Cheese, cottage, lowfat, 1% milkfat</t>
  </si>
  <si>
    <t>Cheese, cottage, nonfat, uncreamed, dry, large or small curd</t>
  </si>
  <si>
    <t>Cheese, cottage, lowfat, 2% milkfat</t>
  </si>
  <si>
    <t>Cheese, gouda</t>
  </si>
  <si>
    <t>Cheese, cheddar, sharp, sliced</t>
  </si>
  <si>
    <t>Cheese, cream</t>
  </si>
  <si>
    <t>Cheese, fresh, queso fresco</t>
  </si>
  <si>
    <t>Cheese, mozzarella, part skim milk</t>
  </si>
  <si>
    <t>Cheese, muenster</t>
  </si>
  <si>
    <t>Cheese, mozzarella, whole milk</t>
  </si>
  <si>
    <t>Cheese, parmesan, hard</t>
  </si>
  <si>
    <t>Cheese, edam</t>
  </si>
  <si>
    <t>Cheese, swiss</t>
  </si>
  <si>
    <t>Cheese spread, pasteurized process, American</t>
  </si>
  <si>
    <t>Cheese, ricotta, whole milk</t>
  </si>
  <si>
    <t>Yogurt, fruit, low fat, 9 grams protein per 8 ounce, fortified with vitamin D</t>
  </si>
  <si>
    <t>Yogurt, plain, skim milk</t>
  </si>
  <si>
    <t>Yogurt, fruit, low fat, 10 grams protein per 8 ounce</t>
  </si>
  <si>
    <t>Tofu, raw, regular, prepared with calcium sulfate</t>
  </si>
  <si>
    <t>Egg, whole, raw, fresh</t>
  </si>
  <si>
    <t>Chicken, broilers or fryers, meat and skin, cooked, roasted</t>
  </si>
  <si>
    <t>Chicken, broilers or fryers, leg, meat and skin, raw</t>
  </si>
  <si>
    <t>Chicken, broilers or fryers, breast, meat and skin, raw</t>
  </si>
  <si>
    <t>Chicken, broiler or fryers, breast, skinless, boneless, meat only, raw</t>
  </si>
  <si>
    <t>Turkey, whole, dark meat, meat only, raw</t>
  </si>
  <si>
    <t>Turkey, whole, meat only, cooked, roasted</t>
  </si>
  <si>
    <t>Pork, fresh, composite of trimmed retail cuts (loin and shoulder blade), separable lean and fat, raw</t>
  </si>
  <si>
    <t>Pork, fresh, shoulder, arm picnic, separable lean and fat, raw</t>
  </si>
  <si>
    <t>Pork, fresh, loin, tenderloin, separable lean only, raw</t>
  </si>
  <si>
    <t>Pork, fresh, leg (ham), whole, separable lean and fat, raw</t>
  </si>
  <si>
    <t>Pork, fresh, loin, center loin (chops), bone-in, separable lean and fat, raw</t>
  </si>
  <si>
    <t>Pork, fresh, loin, center rib (chops or roasts), bone-in, separable lean and fat, raw</t>
  </si>
  <si>
    <t>Pork, fresh, spareribs, separable lean and fat, raw</t>
  </si>
  <si>
    <t>Pork, fresh, leg (ham), whole, separable lean only, raw</t>
  </si>
  <si>
    <t>Lamb, shoulder, arm, separable lean and fat, trimmed to 1/4" fat, choice, raw</t>
  </si>
  <si>
    <t>Lamb, loin, separable lean and fat, trimmed to 1/4" fat, choice, raw</t>
  </si>
  <si>
    <t>Lamb, leg, shank half, separable lean only, trimmed to 1/4" fat, choice, raw</t>
  </si>
  <si>
    <t>Game meat, rabbit, domesticated, composite of cuts, raw</t>
  </si>
  <si>
    <t>Beef, tenderloin, steak, separable lean only, trimmed to 1/8" fat, all grades, raw</t>
  </si>
  <si>
    <t>Beef, chuck, arm pot roast, separable lean only, trimmed to 1/8" fat, all grades, raw</t>
  </si>
  <si>
    <t>Beef, short loin, top loin steak, separable lean only, trimmed to 1/8" fat, all grades, raw</t>
  </si>
  <si>
    <t>Beef, rib eye steak, boneless, lip off, separable lean only, trimmed to 0" fat, all grades, raw</t>
  </si>
  <si>
    <t>Beef, round, top round roast, boneless, separable lean only, trimmed to 0" fat, all grades, raw</t>
  </si>
  <si>
    <t>Beef, round, bottom round, roast, separable lean only, trimmed to 1/8" fat, all grades, raw</t>
  </si>
  <si>
    <t>Beef, round, eye of round, roast, separable lean only, trimmed to 1/8" fat, all grades, raw</t>
  </si>
  <si>
    <t>Beef, round, bottom round, steak, separable lean and fat, trimmed to 1/8" fat, all grades, raw</t>
  </si>
  <si>
    <t>Beef, round, tip round, roast, separable lean only, trimmed to 0" fat, all grades, raw</t>
  </si>
  <si>
    <t>Beef, shank crosscuts, separable lean only, trimmed to 1/4" fat, choice, raw</t>
  </si>
  <si>
    <t>Beef, ground, 95% lean meat / 5% fat, patty, cooked, broiled</t>
  </si>
  <si>
    <t>Beef, ground, 90% lean meat / 10% fat, raw</t>
  </si>
  <si>
    <t>Beef, variety meats and by-products, tripe, raw</t>
  </si>
  <si>
    <t>Chicken, gizzard, all classes, cooked, simmered</t>
  </si>
  <si>
    <t>Beef, variety meats and by-products, kidneys, cooked, simmered</t>
  </si>
  <si>
    <t>Lamb, New Zealand, imported, testes, raw</t>
  </si>
  <si>
    <t>Pork, fresh, belly, raw</t>
  </si>
  <si>
    <t>Soy protein concentrate, produced by alcohol extraction</t>
  </si>
  <si>
    <t>Beef, cured, dried</t>
  </si>
  <si>
    <t>Sausage, pork and beef, fresh, cooked</t>
  </si>
  <si>
    <t>Sausage, pork, chorizo, link or ground, raw</t>
  </si>
  <si>
    <t>Chicken, liver, all classes, cooked, simmered</t>
  </si>
  <si>
    <t>Beef, variety meats and by-products, liver, cooked, braised</t>
  </si>
  <si>
    <t>Beef, variety meats and by-products, tongue, raw</t>
  </si>
  <si>
    <t>Beef, variety meats and by-products, tongue, cooked, simmered</t>
  </si>
  <si>
    <t>Ham, sliced, regular (approximately 11% fat)</t>
  </si>
  <si>
    <t>Pork, cured, ham, steak, boneless, extra lean, unheated</t>
  </si>
  <si>
    <t>Pork, cured, ham, boneless, regular (approximately 11% fat), roasted</t>
  </si>
  <si>
    <t>Ham, turkey, sliced, extra lean, prepackaged or deli</t>
  </si>
  <si>
    <t>Pork sausage, link/patty, unprepared</t>
  </si>
  <si>
    <t>Bologna, beef and pork</t>
  </si>
  <si>
    <t>Chicken, broilers or fryers, breast, meat and skin, cooked, fried, batter</t>
  </si>
  <si>
    <t>Pate, liver, not specified, canned</t>
  </si>
  <si>
    <t>Turkey breast, sliced, prepackaged</t>
  </si>
  <si>
    <t>Chicken breast, oven-roasted, fat-free, sliced</t>
  </si>
  <si>
    <t>Pepperoni, beef and pork, sliced</t>
  </si>
  <si>
    <t>Pork, fresh, leg (ham), whole, separable lean and fat, cooked, roasted</t>
  </si>
  <si>
    <t>Blood sausage</t>
  </si>
  <si>
    <t>Headcheese, pork</t>
  </si>
  <si>
    <t>Salami, cooked, beef and pork</t>
  </si>
  <si>
    <t>Beef, variety meats and by-products, brain, cooked, simmered</t>
  </si>
  <si>
    <t>Pork, cured, bacon, cooked, baked</t>
  </si>
  <si>
    <t>Frankfurter, meat</t>
  </si>
  <si>
    <t>Frankfurter, turkey</t>
  </si>
  <si>
    <t>Frankfurter, chicken</t>
  </si>
  <si>
    <t>Mollusks, clam, mixed species, raw</t>
  </si>
  <si>
    <t>Mollusks, clam, mixed species, canned, drained solids</t>
  </si>
  <si>
    <t>Mollusks, whelk, unspecified, raw</t>
  </si>
  <si>
    <t>Mollusks, mussel, blue, raw</t>
  </si>
  <si>
    <t>Mollusks, mussel, blue, cooked, moist heat</t>
  </si>
  <si>
    <t>Mollusks, cuttlefish, mixed species, raw</t>
  </si>
  <si>
    <t>Mollusks, abalone, mixed species, raw</t>
  </si>
  <si>
    <t>Mollusks, oyster, eastern, wild, raw</t>
  </si>
  <si>
    <t>Crustaceans, shrimp, raw</t>
  </si>
  <si>
    <t>Crustaceans, crab, alaska king, raw</t>
  </si>
  <si>
    <t>Crustaceans, crab, blue, raw</t>
  </si>
  <si>
    <t>Fish, tuna, light, canned in water, drained solids (Includes foods for USDA's Food Distribution Program)</t>
  </si>
  <si>
    <t>Fish, butterfish, raw</t>
  </si>
  <si>
    <t>Fish, cusk, raw</t>
  </si>
  <si>
    <t>Fish, croaker, Atlantic, raw</t>
  </si>
  <si>
    <t>Fish, mackerel, Pacific and jack, mixed species, raw</t>
  </si>
  <si>
    <t>Fish, mackerel, jack, canned, drained solids</t>
  </si>
  <si>
    <t>Fish, flatfish (flounder and sole species), raw</t>
  </si>
  <si>
    <t>Fish, whiting, mixed species, raw</t>
  </si>
  <si>
    <t>Fish, grouper, mixed species, raw</t>
  </si>
  <si>
    <t>Fish, cod, Atlantic, raw</t>
  </si>
  <si>
    <t>Fish, smelt, rainbow, raw</t>
  </si>
  <si>
    <t>Fish, pompano, florida, raw</t>
  </si>
  <si>
    <t>Fish, salmon, coho, farmed, raw</t>
  </si>
  <si>
    <t>Fish, salmon, Atlantic, farmed, raw</t>
  </si>
  <si>
    <t>Fish, sardine, Atlantic, canned in oil, drained solids with bone</t>
  </si>
  <si>
    <t>Fish, mackerel, spanish, raw</t>
  </si>
  <si>
    <t>Fish, trout, rainbow, farmed, raw</t>
  </si>
  <si>
    <t>Fish, surimi</t>
  </si>
  <si>
    <t>Fish, roe, mixed species, raw</t>
  </si>
  <si>
    <t>Fish, salmon, chinook, smoked</t>
  </si>
  <si>
    <t>Peas, green, split, mature seeds, raw</t>
  </si>
  <si>
    <t>Peas, green, raw</t>
  </si>
  <si>
    <t>Peas, green (includes baby and lesuer types), canned, drained solids, unprepared</t>
  </si>
  <si>
    <t>Chickpeas (garbanzo beans, bengal gram), mature seeds, cooked, boiled, without salt</t>
  </si>
  <si>
    <t>Chickpeas (garbanzo beans, bengal gram), mature seeds, raw</t>
  </si>
  <si>
    <t>Chickpea flour (besan)</t>
  </si>
  <si>
    <t>Broadbeans (fava beans), mature seeds, raw</t>
  </si>
  <si>
    <t>Lentils, mature seeds, cooked, boiled, without salt</t>
  </si>
  <si>
    <t>Lentils, raw</t>
  </si>
  <si>
    <t>Beans, white, mature seeds, cooked, boiled, without salt</t>
  </si>
  <si>
    <t>Beans, white, mature seeds, raw</t>
  </si>
  <si>
    <t>Soybeans, green, cooked, boiled, drained, without salt</t>
  </si>
  <si>
    <t>Soybeans, green, raw</t>
  </si>
  <si>
    <t>Beans, cranberry (roman), mature seeds, cooked, boiled, without salt</t>
  </si>
  <si>
    <t>Beans, black, mature seeds, raw</t>
  </si>
  <si>
    <t>Nuts, almonds</t>
  </si>
  <si>
    <t>0: alimento vegetal sin grasas trans</t>
  </si>
  <si>
    <t>Peanuts, all types, raw</t>
  </si>
  <si>
    <t>Peanuts, all types, dry-roasted, with salt</t>
  </si>
  <si>
    <t>Nuts, walnuts, english</t>
  </si>
  <si>
    <t>Nuts, pistachio nuts, raw</t>
  </si>
  <si>
    <t>Nuts, pine nuts, pinyon, dried</t>
  </si>
  <si>
    <t>Seeds, chia seeds, dried</t>
  </si>
  <si>
    <t>Spices, poppy seed</t>
  </si>
  <si>
    <t>Seeds, sunflower seed kernels, dry roasted, without salt</t>
  </si>
  <si>
    <t>Seeds, pumpkin and squash seed kernels, dried</t>
  </si>
  <si>
    <t>Seeds, flaxseed</t>
  </si>
  <si>
    <t>Bread, wheat</t>
  </si>
  <si>
    <t>Bread, multi-grain (includes whole-grain)</t>
  </si>
  <si>
    <t>Bread, white, commercially prepared (includes soft bread crumbs)</t>
  </si>
  <si>
    <t>Bread, whole-wheat, commercially prepared</t>
  </si>
  <si>
    <t>Bread, french or vienna (includes sourdough)</t>
  </si>
  <si>
    <t>Bread, pita, white, enriched</t>
  </si>
  <si>
    <t>Tortillas, ready-to-bake or -fry, flour, refrigerated</t>
  </si>
  <si>
    <t>Rice, white, long-grain, regular, raw, enriched</t>
  </si>
  <si>
    <t>Rice, brown, long-grain, raw (Includes foods for USDA's Food Distribution Program)</t>
  </si>
  <si>
    <t>Rice, brown, long-grain, cooked (Includes foods for USDA's Food Distribution Program)</t>
  </si>
  <si>
    <t>Corn, sweet, yellow, cooked, boiled, drained, without salt</t>
  </si>
  <si>
    <t>Corn, sweet, yellow, frozen, kernels cut off cob, unprepared (Includes foods for USDA's Food Distribution Program)</t>
  </si>
  <si>
    <t>Corn, sweet, yellow, raw</t>
  </si>
  <si>
    <t>Bulgur, cooked</t>
  </si>
  <si>
    <t>Wheat, hard red winter</t>
  </si>
  <si>
    <t>Quinoa, uncooked</t>
  </si>
  <si>
    <t>Cereals, oats, regular and quick, not fortified, dry</t>
  </si>
  <si>
    <t>Cereals ready-to-eat, RALSTON Corn Flakes</t>
  </si>
  <si>
    <t>Cereals ready-to-eat, granola, homemade</t>
  </si>
  <si>
    <t>Bulgur, dry</t>
  </si>
  <si>
    <t>Pasta, dry, enriched</t>
  </si>
  <si>
    <t>Pasta, cooked, enriched, without added salt</t>
  </si>
  <si>
    <t>Cookies, ladyfingers, with lemon juice and rind</t>
  </si>
  <si>
    <t>Cookies, oatmeal, commercially prepared, regular</t>
  </si>
  <si>
    <t>Cookies, chocolate sandwich, with creme filling, regular</t>
  </si>
  <si>
    <t>Cookies, chocolate chip, commercially prepared, regular, higher fat, enriched</t>
  </si>
  <si>
    <t>Cookies, chocolate wafers</t>
  </si>
  <si>
    <t>Snacks, rice cakes, brown rice, plain, unsalted</t>
  </si>
  <si>
    <t>Snacks, rice cakes, brown rice, sesame seed</t>
  </si>
  <si>
    <t>Snacks, rice cakes, brown rice, multigrain</t>
  </si>
  <si>
    <t>Cookies, butter, commercially prepared, enriched</t>
  </si>
  <si>
    <t>Cookies, coconut macaroon</t>
  </si>
  <si>
    <t>Cookies, vanilla wafers, lower fat</t>
  </si>
  <si>
    <t>Cookies, shortbread, commercially prepared, plain</t>
  </si>
  <si>
    <t>Crackers, saltines (includes oyster, soda, soup)</t>
  </si>
  <si>
    <t>Cookies, vanilla wafers, higher fat</t>
  </si>
  <si>
    <t>Crackers, standard snack-type, regular</t>
  </si>
  <si>
    <t>Crackers, matzo, plain</t>
  </si>
  <si>
    <t>Rye flour, medium</t>
  </si>
  <si>
    <t>Cassava, raw</t>
  </si>
  <si>
    <t>Wheat flour, whole-grain, soft wheat</t>
  </si>
  <si>
    <t>Potato flour</t>
  </si>
  <si>
    <t>Semolina, enriched</t>
  </si>
  <si>
    <t>0: el producto no tiene lípidos</t>
  </si>
  <si>
    <t>Sweet potato, raw, unprepared (Includes foods for USDA's Food Distribution Program)</t>
  </si>
  <si>
    <t>Potatoes, boiled, cooked without skin, flesh, without salt</t>
  </si>
  <si>
    <t>Potatoes, flesh and skin, raw</t>
  </si>
  <si>
    <t>Potatoes, red, flesh and skin, raw</t>
  </si>
  <si>
    <t>Oil, canola</t>
  </si>
  <si>
    <t>Oil, coconut</t>
  </si>
  <si>
    <t>Oil, corn, industrial and retail, all purpose salad or cooking</t>
  </si>
  <si>
    <t>Oil, sunflower, linoleic, (approx. 65%)</t>
  </si>
  <si>
    <t>Oil, olive, salad or cooking</t>
  </si>
  <si>
    <t>Oil, soybean, salad or cooking</t>
  </si>
  <si>
    <t>Oil, avocado</t>
  </si>
  <si>
    <t>Cream, sour, cultured</t>
  </si>
  <si>
    <t>Cream, whipped, cream topping, pressurized</t>
  </si>
  <si>
    <t>Cream, fluid, light (coffee cream or table cream)</t>
  </si>
  <si>
    <t>Shortening, household, soybean (partially hydrogenated)-cottonseed (partially hydrogenated)</t>
  </si>
  <si>
    <t>Butter, salted</t>
  </si>
  <si>
    <t>Margarine, regular, 80% fat, composite, stick, with salt</t>
  </si>
  <si>
    <t>Margarine-like, vegetable oil spread, 60% fat, stick, with salt</t>
  </si>
  <si>
    <t>Margarine-like, vegetable oil spread, 20% fat, with salt</t>
  </si>
  <si>
    <t>Salad dressing, mayonnaise, regular</t>
  </si>
  <si>
    <t>Chard, swiss, raw</t>
  </si>
  <si>
    <t>Chard, swiss, cooked, boiled, drained, without salt</t>
  </si>
  <si>
    <t>Chicory greens, raw</t>
  </si>
  <si>
    <t>Garlic, raw</t>
  </si>
  <si>
    <t>Artichokes, (globe or french), raw</t>
  </si>
  <si>
    <t>Alfalfa seeds, sprouted, raw</t>
  </si>
  <si>
    <t>Celery, raw</t>
  </si>
  <si>
    <t>Eggplant, raw</t>
  </si>
  <si>
    <t>Watercress, raw</t>
  </si>
  <si>
    <t>Beets, raw</t>
  </si>
  <si>
    <t>Broccoli, raw</t>
  </si>
  <si>
    <t>Onions, raw</t>
  </si>
  <si>
    <t>Onions, spring or scallions (includes tops and bulb), raw</t>
  </si>
  <si>
    <t>Mushrooms, white, raw</t>
  </si>
  <si>
    <t>Mushrooms, white, cooked, boiled, drained, with salt</t>
  </si>
  <si>
    <t>Mushrooms, oyster, raw</t>
  </si>
  <si>
    <t>Mushrooms, portabella, raw</t>
  </si>
  <si>
    <t>Mushrooms, shiitake, raw</t>
  </si>
  <si>
    <t>Mushrooms, shiitake, cooked, with salt</t>
  </si>
  <si>
    <t>Mushrooms, canned, drained solids</t>
  </si>
  <si>
    <t>Seaweed, kelp, raw</t>
  </si>
  <si>
    <t>Cauliflower, raw</t>
  </si>
  <si>
    <t>Endive, raw</t>
  </si>
  <si>
    <t>Asparagus, raw</t>
  </si>
  <si>
    <t>Spinach, cooked, boiled, drained, without salt</t>
  </si>
  <si>
    <t>Spinach, raw</t>
  </si>
  <si>
    <t>Fennel, bulb, raw</t>
  </si>
  <si>
    <t>Lettuce, green leaf, raw</t>
  </si>
  <si>
    <t>Lettuce, red leaf, raw</t>
  </si>
  <si>
    <t>Seaweed, laver, raw</t>
  </si>
  <si>
    <t>Turnips, raw</t>
  </si>
  <si>
    <t>Cardoon, raw</t>
  </si>
  <si>
    <t>Cucumber, with peel, raw</t>
  </si>
  <si>
    <t>Pickles, cucumber, dill or kosher dill</t>
  </si>
  <si>
    <t>Pickle relish, sweet</t>
  </si>
  <si>
    <t>Peppers, sweet, red, raw</t>
  </si>
  <si>
    <t>Peppers, sweet, green, raw</t>
  </si>
  <si>
    <t>Beans, snap, green, canned, regular pack, drained solids</t>
  </si>
  <si>
    <t>Beans, snap, green, raw</t>
  </si>
  <si>
    <t>Leeks, (bulb and lower leaf-portion), raw</t>
  </si>
  <si>
    <t>Radishes, raw</t>
  </si>
  <si>
    <t>Brussels sprouts, raw</t>
  </si>
  <si>
    <t>Brussels sprouts, cooked, boiled, drained, with salt</t>
  </si>
  <si>
    <t>Cabbage, raw</t>
  </si>
  <si>
    <t>Cabbage, red, raw</t>
  </si>
  <si>
    <t>Tomatoes, red, ripe, raw, year round average</t>
  </si>
  <si>
    <t>Carrots, raw</t>
  </si>
  <si>
    <t>Carrots, cooked, boiled, drained, without salt</t>
  </si>
  <si>
    <t>Squash, summer, zucchini, includes skin, raw</t>
  </si>
  <si>
    <t>Squash, summer, zucchini, includes skin, cooked, boiled, drained, with salt</t>
  </si>
  <si>
    <t>Squash, winter, butternut, raw</t>
  </si>
  <si>
    <t>Olives, ripe, canned (small-extra large)</t>
  </si>
  <si>
    <t>Olives, pickled, canned or bottled, green</t>
  </si>
  <si>
    <t>Blueberries, raw</t>
  </si>
  <si>
    <t>Cranberries, raw</t>
  </si>
  <si>
    <t>Persimmons, japanese, raw</t>
  </si>
  <si>
    <t>Cherries, sweet, raw</t>
  </si>
  <si>
    <t>Cherimoya, raw</t>
  </si>
  <si>
    <t>Plums, raw</t>
  </si>
  <si>
    <t>Clementines, raw</t>
  </si>
  <si>
    <t>Apricots, raw</t>
  </si>
  <si>
    <t>Apricots, dried, sulfured, uncooked</t>
  </si>
  <si>
    <t>Peaches, yellow, raw</t>
  </si>
  <si>
    <t>Peaches, canned, light syrup pack, solids and liquids</t>
  </si>
  <si>
    <t>Raspberries, raw</t>
  </si>
  <si>
    <t>Strawberries, raw</t>
  </si>
  <si>
    <t>Pomegranates, raw</t>
  </si>
  <si>
    <t>Currants, red and white, raw</t>
  </si>
  <si>
    <t>Guavas, common, raw</t>
  </si>
  <si>
    <t>Cherries, sour, red, raw</t>
  </si>
  <si>
    <t>Figs, raw</t>
  </si>
  <si>
    <t>Kiwifruit, green, raw</t>
  </si>
  <si>
    <t>Lemons, raw, without peel</t>
  </si>
  <si>
    <t>Tangerines, (mandarin oranges), raw</t>
  </si>
  <si>
    <t>Mangos, raw</t>
  </si>
  <si>
    <t>Apples, raw, with skin (Includes foods for USDA's Food Distribution Program)</t>
  </si>
  <si>
    <t>Apples, raw, fuji, with skin (Includes foods for USDA's Food Distribution Program)</t>
  </si>
  <si>
    <t>Apples, raw, golden delicious, with skin</t>
  </si>
  <si>
    <t>Apples, raw, red delicious, with skin (Includes foods for USDA's Food Distribution Program)</t>
  </si>
  <si>
    <t>Apples, raw, without skin</t>
  </si>
  <si>
    <t>Apples, raw, granny smith, with skin (Includes foods for USDA's Food Distribution Program)</t>
  </si>
  <si>
    <t>Melons, cantaloupe, raw</t>
  </si>
  <si>
    <t>Quinces, raw</t>
  </si>
  <si>
    <t>Blackberries, raw</t>
  </si>
  <si>
    <t>Oranges, raw, all commercial varieties</t>
  </si>
  <si>
    <t>Loquats, raw</t>
  </si>
  <si>
    <t>Avocados, raw, all commercial varieties</t>
  </si>
  <si>
    <t>Avocados, raw, California</t>
  </si>
  <si>
    <t>Papayas, raw</t>
  </si>
  <si>
    <t>Raisins, golden, seedless</t>
  </si>
  <si>
    <t>Sugars, granulated</t>
  </si>
  <si>
    <t>Honey</t>
  </si>
  <si>
    <t>Syrups, maple</t>
  </si>
  <si>
    <t>Cookies, marshmallow, chocolate-coated (includes marshmallow pies)</t>
  </si>
  <si>
    <t>Snacks, granola bars, hard, plain</t>
  </si>
  <si>
    <t>Candies, milk chocolate</t>
  </si>
  <si>
    <t>Doughnuts, yeast-leavened, with jelly filling</t>
  </si>
  <si>
    <t>Cake, sponge, commercially prepared</t>
  </si>
  <si>
    <t>Sugars, brown</t>
  </si>
  <si>
    <t>Candies, milk chocolate, with almonds</t>
  </si>
  <si>
    <t>Chocolate, dark, 60-69% cacao solids</t>
  </si>
  <si>
    <t>Chocolate, dark, 70-85% cacao solids</t>
  </si>
  <si>
    <t>Beverages, Cocoa mix, powder</t>
  </si>
  <si>
    <t>Candied fruit</t>
  </si>
  <si>
    <t>Gelatin desserts, dry mix, prepared with water</t>
  </si>
  <si>
    <t>Gelatin desserts, dry mix, reduced calorie, with aspartame</t>
  </si>
  <si>
    <t>Dulce de Leche</t>
  </si>
  <si>
    <t>Jams and preserves, apricot</t>
  </si>
  <si>
    <t>Jams and preserves</t>
  </si>
  <si>
    <t>Jams and preserves, no sugar (with sodium saccharin), any flavor</t>
  </si>
  <si>
    <t>Puddings, vanilla, ready-to-eat</t>
  </si>
  <si>
    <t>Muffins, blueberry, commercially prepared (Includes mini-muffins)</t>
  </si>
  <si>
    <t>Candies, marshmallows</t>
  </si>
  <si>
    <t>Puddings, rice, ready-to-eat</t>
  </si>
  <si>
    <t>Puddings, vanilla, dry mix, regular</t>
  </si>
  <si>
    <t>Desserts, flan, caramel custard, prepared-from-recipe</t>
  </si>
  <si>
    <t>Soymilk, original and vanilla, unfortified</t>
  </si>
  <si>
    <t>Lemon juice, raw</t>
  </si>
  <si>
    <t>Tangerine juice, raw</t>
  </si>
  <si>
    <t>Orange juice, raw (Includes foods for USDA's Food Distribution Program)</t>
  </si>
  <si>
    <t>Grapefruit juice, white, raw</t>
  </si>
  <si>
    <t>Apricot nectar, canned, with added ascorbic acid</t>
  </si>
  <si>
    <t>Peach nectar, canned, with sucralose, without added ascorbic acid</t>
  </si>
  <si>
    <t>Apple juice, canned or bottled, unsweetened, without added ascorbic acid</t>
  </si>
  <si>
    <t>Beverages, Orange juice drink</t>
  </si>
  <si>
    <t>Beverages, grape drink, canned</t>
  </si>
  <si>
    <t>Beverages, orange-flavor drink, breakfast type, powder</t>
  </si>
  <si>
    <t>Beverages, carbonated, low calorie, cola or pepper-type, with aspartame, contains caffeine</t>
  </si>
  <si>
    <t>Beverages, carbonated, cola, regular</t>
  </si>
  <si>
    <t>Beverages, carbonated, low calorie, other than cola or pepper, with aspartame, contains caffeine</t>
  </si>
  <si>
    <t>Beverages, PEPSICO QUAKER, Gatorade, G performance O 2, ready-to-drink.</t>
  </si>
  <si>
    <t>Alcoholic beverage, wine, table, white</t>
  </si>
  <si>
    <t>Alcoholic beverage, liqueur, coffee, 53 proof</t>
  </si>
  <si>
    <t>Alcoholic beverage, creme de menthe, 72 proof</t>
  </si>
  <si>
    <t>Alcoholic beverage, distilled, all (gin, rum, vodka, whiskey) 80 proof</t>
  </si>
  <si>
    <t>Alcoholic beverage, wine, table, red</t>
  </si>
  <si>
    <t>Snacks, potato chips, plain, salted</t>
  </si>
  <si>
    <t>Snacks, potato chips, sour-cream-and-onion-flavor</t>
  </si>
  <si>
    <t>Cheese puffs and twists, corn based, baked, low fat</t>
  </si>
  <si>
    <t>Sauce, pesto, ready-to-serve, refrigerated</t>
  </si>
  <si>
    <t>Sauce, barbecue</t>
  </si>
  <si>
    <t>Sauce, white, thin, prepared-from-recipe, with butter</t>
  </si>
  <si>
    <t>Tomato sauce, canned, no salt added</t>
  </si>
  <si>
    <t>Tomato products, canned, sauce</t>
  </si>
  <si>
    <t>Sauce, pasta, spaghetti/marinara, ready-to-serve</t>
  </si>
  <si>
    <t>Sauce, teriyaki, ready-to-serve</t>
  </si>
  <si>
    <t>Spices, garlic powder</t>
  </si>
  <si>
    <t>Basil, fresh</t>
  </si>
  <si>
    <t>Spices, basil, dried</t>
  </si>
  <si>
    <t>Spices, saffron</t>
  </si>
  <si>
    <t>Spices, cinnamon, ground</t>
  </si>
  <si>
    <t>Spices, cardamom</t>
  </si>
  <si>
    <t>Spices, onion powder</t>
  </si>
  <si>
    <t>Spices, cloves, ground</t>
  </si>
  <si>
    <t>Spices, turmeric, ground</t>
  </si>
  <si>
    <t>Spices, curry powder</t>
  </si>
  <si>
    <t>Dill weed, fresh</t>
  </si>
  <si>
    <t>Spices, dill weed, dried</t>
  </si>
  <si>
    <t>Spices, tarragon, dried</t>
  </si>
  <si>
    <t>Spearmint, fresh</t>
  </si>
  <si>
    <t>Spices, ginger, ground</t>
  </si>
  <si>
    <t>Spices, bay leaf</t>
  </si>
  <si>
    <t>Spices, chili powder</t>
  </si>
  <si>
    <t>Peppers, hot chili, red, raw</t>
  </si>
  <si>
    <t>Spearmint, dried</t>
  </si>
  <si>
    <t>Spices, oregano, dried</t>
  </si>
  <si>
    <t>Spices, paprika</t>
  </si>
  <si>
    <t>Parsley, fresh</t>
  </si>
  <si>
    <t>Spices, parsley, dried</t>
  </si>
  <si>
    <t>Spices, pepper, white</t>
  </si>
  <si>
    <t>Spices, pepper, black</t>
  </si>
  <si>
    <t>Rosemary, fresh</t>
  </si>
  <si>
    <t>Salt, table</t>
  </si>
  <si>
    <t>Spices, mustard seed, ground</t>
  </si>
  <si>
    <t>Thyme, fresh</t>
  </si>
  <si>
    <t>Spices, thyme, dried</t>
  </si>
  <si>
    <t>Sweetener, syrup, agave</t>
  </si>
  <si>
    <t>Babyfood, fruit, applesauce, strained</t>
  </si>
  <si>
    <t>Babyfood, fruit, bananas and pineapple with tapioca, strained</t>
  </si>
  <si>
    <t>Babyfood, fruit, pears, strained</t>
  </si>
  <si>
    <t>Plátano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</si>
</sst>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##"/>
    <numFmt numFmtId="165" formatCode="0.0"/>
    <numFmt numFmtId="166" formatCode="0.00#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1F4E78"/>
      <name val="Arial"/>
    </font>
    <font>
      <b/>
      <sz val="10"/>
      <name val="Arial"/>
    </font>
    <font>
      <b/>
      <sz val="11"/>
      <color rgb="FF0000FF"/>
      <name val="Arial"/>
    </font>
    <font>
      <sz val="8"/>
      <color rgb="FFFFFFFF"/>
      <name val="Arial"/>
    </font>
    <font>
      <i/>
      <sz val="10"/>
      <color rgb="FF7F7F7F"/>
      <name val="Arial"/>
    </font>
    <font>
      <i/>
      <sz val="10"/>
      <color rgb="FF5B2A86"/>
      <name val="Arial"/>
    </font>
    <font>
      <b/>
      <sz val="10"/>
      <color rgb="FFFFFFFF"/>
      <name val="Arial"/>
    </font>
    <font>
      <i/>
      <sz val="9"/>
      <color rgb="FF5B2A86"/>
      <name val="Arial"/>
    </font>
    <font>
      <b/>
      <sz val="10"/>
      <color rgb="FF5B2A86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4D4F4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top" wrapText="1"/>
    </xf>
    <xf numFmtId="0" fontId="6" fillId="0" borderId="0" xfId="0" applyFont="1"/>
    <xf numFmtId="164" fontId="5" fillId="3" borderId="1" xfId="0" applyNumberFormat="1" applyFont="1" applyFill="1" applyBorder="1"/>
    <xf numFmtId="0" fontId="2" fillId="0" borderId="0" xfId="0" applyFont="1" applyAlignment="1">
      <alignment vertical="top" wrapText="1"/>
    </xf>
    <xf numFmtId="0" fontId="7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right"/>
    </xf>
    <xf numFmtId="2" fontId="2" fillId="4" borderId="1" xfId="0" applyNumberFormat="1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166" fontId="2" fillId="4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1" fillId="2" borderId="0" xfId="0" applyFont="1" applyFill="1"/>
    <xf numFmtId="0" fontId="2" fillId="0" borderId="0" xfId="0" applyFont="1"/>
    <xf numFmtId="0" fontId="9" fillId="6" borderId="0" xfId="0" applyFont="1" applyFill="1" applyAlignment="1">
      <alignment horizontal="center"/>
    </xf>
    <xf numFmtId="0" fontId="10" fillId="0" borderId="0" xfId="0" applyFont="1"/>
    <xf numFmtId="164" fontId="8" fillId="5" borderId="1" xfId="0" applyNumberFormat="1" applyFont="1" applyFill="1" applyBorder="1" applyAlignment="1">
      <alignment horizontal="right"/>
    </xf>
    <xf numFmtId="166" fontId="8" fillId="5" borderId="1" xfId="0" applyNumberFormat="1" applyFont="1" applyFill="1" applyBorder="1" applyAlignment="1">
      <alignment horizontal="right"/>
    </xf>
    <xf numFmtId="0" fontId="11" fillId="0" borderId="0" xfId="0" applyFont="1"/>
    <xf numFmtId="0" fontId="12" fillId="0" borderId="0" xfId="0" applyFont="1"/>
    <xf numFmtId="0" fontId="9" fillId="6" borderId="0" xfId="0" applyFont="1" applyFill="1"/>
    <xf numFmtId="0" fontId="5" fillId="3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3"/>
  <sheetViews>
    <sheetView showGridLines="0" workbookViewId="0">
      <pane ySplit="8" topLeftCell="A9" activePane="bottomLeft" state="frozen"/>
      <selection pane="bottomLeft" activeCell="C4" sqref="C4:E4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4" width="16" customWidth="1"/>
    <col min="5" max="5" width="18" customWidth="1"/>
    <col min="6" max="6" width="16" customWidth="1"/>
    <col min="7" max="7" width="60" customWidth="1"/>
  </cols>
  <sheetData>
    <row r="2" spans="2:8" ht="18" customHeight="1" x14ac:dyDescent="0.25">
      <c r="B2" s="1" t="s">
        <v>0</v>
      </c>
    </row>
    <row r="4" spans="2:8" x14ac:dyDescent="0.25">
      <c r="B4" s="2" t="s">
        <v>1</v>
      </c>
      <c r="C4" s="32" t="s">
        <v>2</v>
      </c>
      <c r="D4" s="33"/>
      <c r="E4" s="34"/>
      <c r="G4" s="3" t="s">
        <v>3</v>
      </c>
      <c r="H4" s="4">
        <f>IFERROR(MATCH(C4,Datos!$C$2:$C$648,0),0)</f>
        <v>15</v>
      </c>
    </row>
    <row r="5" spans="2:8" ht="25.5" customHeight="1" x14ac:dyDescent="0.25">
      <c r="B5" s="2" t="s">
        <v>4</v>
      </c>
      <c r="C5" s="5">
        <v>100</v>
      </c>
      <c r="D5" s="2" t="s">
        <v>5</v>
      </c>
      <c r="G5" s="6" t="s">
        <v>6</v>
      </c>
    </row>
    <row r="6" spans="2:8" ht="25.5" customHeight="1" x14ac:dyDescent="0.25">
      <c r="B6" s="2" t="s">
        <v>7</v>
      </c>
      <c r="C6" s="7" t="str">
        <f>IF($H$4=0,"⚠ Abre la lista de C4 y elige un producto",INDEX(Datos!$B$2:$B$648,$H$4)&amp;"  ·  Fuente "&amp;INDEX(Datos!$D$2:$D$648,$H$4))</f>
        <v>Leche y Derivados  ·  Fuente 1</v>
      </c>
      <c r="G6" s="6" t="s">
        <v>8</v>
      </c>
    </row>
    <row r="7" spans="2:8" ht="25.5" customHeight="1" x14ac:dyDescent="0.25">
      <c r="G7" s="6" t="s">
        <v>9</v>
      </c>
    </row>
    <row r="8" spans="2:8" ht="25.5" customHeight="1" x14ac:dyDescent="0.25">
      <c r="B8" s="8" t="s">
        <v>10</v>
      </c>
      <c r="C8" s="8" t="s">
        <v>11</v>
      </c>
      <c r="D8" s="8" t="s">
        <v>12</v>
      </c>
      <c r="E8" s="8" t="str">
        <f>"Por "&amp;$C$5&amp;" g"</f>
        <v>Por 100 g</v>
      </c>
      <c r="F8" s="25" t="s">
        <v>13</v>
      </c>
      <c r="G8" s="6" t="s">
        <v>14</v>
      </c>
    </row>
    <row r="9" spans="2:8" ht="25.5" customHeight="1" x14ac:dyDescent="0.25">
      <c r="B9" s="9" t="s">
        <v>15</v>
      </c>
      <c r="C9" s="10" t="s">
        <v>16</v>
      </c>
      <c r="D9" s="11">
        <f>IF($H$4=0,"",INDEX(Datos!$E$2:$E$648,$H$4))</f>
        <v>496</v>
      </c>
      <c r="E9" s="12">
        <f t="shared" ref="E9:E43" si="0">IF(ISNUMBER(D9),D9*$C$5/100,D9)</f>
        <v>496</v>
      </c>
      <c r="F9" s="26" t="str">
        <f>IF($H$4=0,"",IF(COUNTIFS('Valores completados'!$A$2:$A$6021,$C$4,'Valores completados'!$B$2:$B$6021,B9)&gt;0,"≈ estimado (USDA)",IF(ISNUMBER(D9),"Tabla INTA","")))</f>
        <v>Tabla INTA</v>
      </c>
      <c r="G9" s="6" t="s">
        <v>17</v>
      </c>
    </row>
    <row r="10" spans="2:8" ht="25.5" customHeight="1" x14ac:dyDescent="0.25">
      <c r="B10" s="13" t="s">
        <v>18</v>
      </c>
      <c r="C10" s="14" t="s">
        <v>5</v>
      </c>
      <c r="D10" s="15">
        <f>IF($H$4=0,"",INDEX(Datos!$F$2:$F$648,$H$4))</f>
        <v>2.5</v>
      </c>
      <c r="E10" s="16">
        <f t="shared" si="0"/>
        <v>2.5</v>
      </c>
      <c r="F10" s="26" t="str">
        <f>IF($H$4=0,"",IF(COUNTIFS('Valores completados'!$A$2:$A$6021,$C$4,'Valores completados'!$B$2:$B$6021,B10)&gt;0,"≈ estimado (USDA)",IF(ISNUMBER(D10),"Tabla INTA","")))</f>
        <v>Tabla INTA</v>
      </c>
      <c r="G10" s="6" t="s">
        <v>19</v>
      </c>
    </row>
    <row r="11" spans="2:8" x14ac:dyDescent="0.25">
      <c r="B11" s="9" t="s">
        <v>20</v>
      </c>
      <c r="C11" s="10" t="s">
        <v>5</v>
      </c>
      <c r="D11" s="17">
        <f>IF($H$4=0,"",INDEX(Datos!$G$2:$G$648,$H$4))</f>
        <v>6.1</v>
      </c>
      <c r="E11" s="18">
        <f t="shared" si="0"/>
        <v>6.1</v>
      </c>
      <c r="F11" s="26" t="str">
        <f>IF($H$4=0,"",IF(COUNTIFS('Valores completados'!$A$2:$A$6021,$C$4,'Valores completados'!$B$2:$B$6021,B11)&gt;0,"≈ estimado (USDA)",IF(ISNUMBER(D11),"Tabla INTA","")))</f>
        <v>Tabla INTA</v>
      </c>
    </row>
    <row r="12" spans="2:8" x14ac:dyDescent="0.25">
      <c r="B12" s="13" t="s">
        <v>21</v>
      </c>
      <c r="C12" s="14" t="s">
        <v>5</v>
      </c>
      <c r="D12" s="15">
        <f>IF($H$4=0,"",INDEX(Datos!$H$2:$H$648,$H$4))</f>
        <v>26.3</v>
      </c>
      <c r="E12" s="16">
        <f t="shared" si="0"/>
        <v>26.3</v>
      </c>
      <c r="F12" s="26" t="str">
        <f>IF($H$4=0,"",IF(COUNTIFS('Valores completados'!$A$2:$A$6021,$C$4,'Valores completados'!$B$2:$B$6021,B12)&gt;0,"≈ estimado (USDA)",IF(ISNUMBER(D12),"Tabla INTA","")))</f>
        <v>Tabla INTA</v>
      </c>
    </row>
    <row r="13" spans="2:8" x14ac:dyDescent="0.25">
      <c r="B13" s="9" t="s">
        <v>22</v>
      </c>
      <c r="C13" s="10" t="s">
        <v>5</v>
      </c>
      <c r="D13" s="17">
        <f>IF($H$4=0,"",INDEX(Datos!$I$2:$I$648,$H$4))</f>
        <v>38.4</v>
      </c>
      <c r="E13" s="18">
        <f t="shared" si="0"/>
        <v>38.4</v>
      </c>
      <c r="F13" s="26" t="str">
        <f>IF($H$4=0,"",IF(COUNTIFS('Valores completados'!$A$2:$A$6021,$C$4,'Valores completados'!$B$2:$B$6021,B13)&gt;0,"≈ estimado (USDA)",IF(ISNUMBER(D13),"Tabla INTA","")))</f>
        <v>Tabla INTA</v>
      </c>
    </row>
    <row r="14" spans="2:8" x14ac:dyDescent="0.25">
      <c r="B14" s="13" t="s">
        <v>23</v>
      </c>
      <c r="C14" s="14" t="s">
        <v>5</v>
      </c>
      <c r="D14" s="15">
        <f>IF($H$4=0,"",INDEX(Datos!$J$2:$J$648,$H$4))</f>
        <v>38.4</v>
      </c>
      <c r="E14" s="16">
        <f t="shared" si="0"/>
        <v>38.4</v>
      </c>
      <c r="F14" s="26" t="str">
        <f>IF($H$4=0,"",IF(COUNTIFS('Valores completados'!$A$2:$A$6021,$C$4,'Valores completados'!$B$2:$B$6021,B14)&gt;0,"≈ estimado (USDA)",IF(ISNUMBER(D14),"Tabla INTA","")))</f>
        <v>Tabla INTA</v>
      </c>
    </row>
    <row r="15" spans="2:8" x14ac:dyDescent="0.25">
      <c r="B15" s="9" t="s">
        <v>24</v>
      </c>
      <c r="C15" s="10" t="s">
        <v>5</v>
      </c>
      <c r="D15" s="17">
        <f>IF($H$4=0,"",INDEX(Datos!$K$2:$K$648,$H$4))</f>
        <v>0</v>
      </c>
      <c r="E15" s="18">
        <f t="shared" si="0"/>
        <v>0</v>
      </c>
      <c r="F15" s="26" t="str">
        <f>IF($H$4=0,"",IF(COUNTIFS('Valores completados'!$A$2:$A$6021,$C$4,'Valores completados'!$B$2:$B$6021,B15)&gt;0,"≈ estimado (USDA)",IF(ISNUMBER(D15),"Tabla INTA","")))</f>
        <v>Tabla INTA</v>
      </c>
    </row>
    <row r="16" spans="2:8" x14ac:dyDescent="0.25">
      <c r="B16" s="13" t="s">
        <v>25</v>
      </c>
      <c r="C16" s="14" t="s">
        <v>5</v>
      </c>
      <c r="D16" s="15">
        <f>IF($H$4=0,"",INDEX(Datos!$L$2:$L$648,$H$4))</f>
        <v>26.7</v>
      </c>
      <c r="E16" s="16">
        <f t="shared" si="0"/>
        <v>26.7</v>
      </c>
      <c r="F16" s="26" t="str">
        <f>IF($H$4=0,"",IF(COUNTIFS('Valores completados'!$A$2:$A$6021,$C$4,'Valores completados'!$B$2:$B$6021,B16)&gt;0,"≈ estimado (USDA)",IF(ISNUMBER(D16),"Tabla INTA","")))</f>
        <v>Tabla INTA</v>
      </c>
    </row>
    <row r="17" spans="2:6" x14ac:dyDescent="0.25">
      <c r="B17" s="9" t="s">
        <v>26</v>
      </c>
      <c r="C17" s="10" t="s">
        <v>5</v>
      </c>
      <c r="D17" s="19">
        <f>IF($H$4=0,"",INDEX(Datos!$M$2:$M$648,$H$4))</f>
        <v>16.739999999999998</v>
      </c>
      <c r="E17" s="18">
        <f t="shared" si="0"/>
        <v>16.739999999999998</v>
      </c>
      <c r="F17" s="26" t="str">
        <f>IF($H$4=0,"",IF(COUNTIFS('Valores completados'!$A$2:$A$6021,$C$4,'Valores completados'!$B$2:$B$6021,B17)&gt;0,"≈ estimado (USDA)",IF(ISNUMBER(D17),"Tabla INTA","")))</f>
        <v>Tabla INTA</v>
      </c>
    </row>
    <row r="18" spans="2:6" x14ac:dyDescent="0.25">
      <c r="B18" s="13" t="s">
        <v>27</v>
      </c>
      <c r="C18" s="14" t="s">
        <v>5</v>
      </c>
      <c r="D18" s="20">
        <f>IF($H$4=0,"",INDEX(Datos!$N$2:$N$648,$H$4))</f>
        <v>7.92</v>
      </c>
      <c r="E18" s="16">
        <f t="shared" si="0"/>
        <v>7.92</v>
      </c>
      <c r="F18" s="26" t="str">
        <f>IF($H$4=0,"",IF(COUNTIFS('Valores completados'!$A$2:$A$6021,$C$4,'Valores completados'!$B$2:$B$6021,B18)&gt;0,"≈ estimado (USDA)",IF(ISNUMBER(D18),"Tabla INTA","")))</f>
        <v>Tabla INTA</v>
      </c>
    </row>
    <row r="19" spans="2:6" x14ac:dyDescent="0.25">
      <c r="B19" s="9" t="s">
        <v>28</v>
      </c>
      <c r="C19" s="10" t="s">
        <v>5</v>
      </c>
      <c r="D19" s="19">
        <f>IF($H$4=0,"",INDEX(Datos!$O$2:$O$648,$H$4))</f>
        <v>0.67</v>
      </c>
      <c r="E19" s="18">
        <f t="shared" si="0"/>
        <v>0.67</v>
      </c>
      <c r="F19" s="26" t="str">
        <f>IF($H$4=0,"",IF(COUNTIFS('Valores completados'!$A$2:$A$6021,$C$4,'Valores completados'!$B$2:$B$6021,B19)&gt;0,"≈ estimado (USDA)",IF(ISNUMBER(D19),"Tabla INTA","")))</f>
        <v>Tabla INTA</v>
      </c>
    </row>
    <row r="20" spans="2:6" x14ac:dyDescent="0.25">
      <c r="B20" s="13" t="s">
        <v>29</v>
      </c>
      <c r="C20" s="14" t="s">
        <v>5</v>
      </c>
      <c r="D20" s="20" t="str">
        <f>IF($H$4=0,"",INDEX(Datos!$P$2:$P$648,$H$4))</f>
        <v>S/I</v>
      </c>
      <c r="E20" s="16" t="str">
        <f t="shared" si="0"/>
        <v>S/I</v>
      </c>
      <c r="F20" s="26" t="str">
        <f>IF($H$4=0,"",IF(COUNTIFS('Valores completados'!$A$2:$A$6021,$C$4,'Valores completados'!$B$2:$B$6021,B20)&gt;0,"≈ estimado (USDA)",IF(ISNUMBER(D20),"Tabla INTA","")))</f>
        <v/>
      </c>
    </row>
    <row r="21" spans="2:6" x14ac:dyDescent="0.25">
      <c r="B21" s="9" t="s">
        <v>30</v>
      </c>
      <c r="C21" s="10" t="s">
        <v>31</v>
      </c>
      <c r="D21" s="17">
        <f>IF($H$4=0,"",INDEX(Datos!$Q$2:$Q$648,$H$4))</f>
        <v>97</v>
      </c>
      <c r="E21" s="18">
        <f t="shared" si="0"/>
        <v>97</v>
      </c>
      <c r="F21" s="26" t="str">
        <f>IF($H$4=0,"",IF(COUNTIFS('Valores completados'!$A$2:$A$6021,$C$4,'Valores completados'!$B$2:$B$6021,B21)&gt;0,"≈ estimado (USDA)",IF(ISNUMBER(D21),"Tabla INTA","")))</f>
        <v>Tabla INTA</v>
      </c>
    </row>
    <row r="22" spans="2:6" x14ac:dyDescent="0.25">
      <c r="B22" s="13" t="s">
        <v>32</v>
      </c>
      <c r="C22" s="14" t="s">
        <v>33</v>
      </c>
      <c r="D22" s="15">
        <f>IF($H$4=0,"",INDEX(Datos!$R$2:$R$648,$H$4))</f>
        <v>258</v>
      </c>
      <c r="E22" s="16">
        <f t="shared" si="0"/>
        <v>258</v>
      </c>
      <c r="F22" s="26" t="str">
        <f>IF($H$4=0,"",IF(COUNTIFS('Valores completados'!$A$2:$A$6021,$C$4,'Valores completados'!$B$2:$B$6021,B22)&gt;0,"≈ estimado (USDA)",IF(ISNUMBER(D22),"Tabla INTA","")))</f>
        <v>Tabla INTA</v>
      </c>
    </row>
    <row r="23" spans="2:6" x14ac:dyDescent="0.25">
      <c r="B23" s="9" t="s">
        <v>34</v>
      </c>
      <c r="C23" s="10" t="s">
        <v>31</v>
      </c>
      <c r="D23" s="17">
        <f>IF($H$4=0,"",INDEX(Datos!$S$2:$S$648,$H$4))</f>
        <v>8.6</v>
      </c>
      <c r="E23" s="18">
        <f t="shared" si="0"/>
        <v>8.6</v>
      </c>
      <c r="F23" s="26" t="str">
        <f>IF($H$4=0,"",IF(COUNTIFS('Valores completados'!$A$2:$A$6021,$C$4,'Valores completados'!$B$2:$B$6021,B23)&gt;0,"≈ estimado (USDA)",IF(ISNUMBER(D23),"Tabla INTA","")))</f>
        <v>Tabla INTA</v>
      </c>
    </row>
    <row r="24" spans="2:6" x14ac:dyDescent="0.25">
      <c r="B24" s="13" t="s">
        <v>35</v>
      </c>
      <c r="C24" s="14" t="s">
        <v>36</v>
      </c>
      <c r="D24" s="15">
        <f>IF($H$4=0,"",INDEX(Datos!$T$2:$T$648,$H$4))</f>
        <v>10.5</v>
      </c>
      <c r="E24" s="16">
        <f t="shared" si="0"/>
        <v>10.5</v>
      </c>
      <c r="F24" s="26" t="str">
        <f>IF($H$4=0,"",IF(COUNTIFS('Valores completados'!$A$2:$A$6021,$C$4,'Valores completados'!$B$2:$B$6021,B24)&gt;0,"≈ estimado (USDA)",IF(ISNUMBER(D24),"Tabla INTA","")))</f>
        <v>Tabla INTA</v>
      </c>
    </row>
    <row r="25" spans="2:6" x14ac:dyDescent="0.25">
      <c r="B25" s="9" t="s">
        <v>37</v>
      </c>
      <c r="C25" s="10" t="s">
        <v>38</v>
      </c>
      <c r="D25" s="17">
        <f>IF($H$4=0,"",INDEX(Datos!$U$2:$U$648,$H$4))</f>
        <v>0.6</v>
      </c>
      <c r="E25" s="18">
        <f t="shared" si="0"/>
        <v>0.6</v>
      </c>
      <c r="F25" s="26" t="str">
        <f>IF($H$4=0,"",IF(COUNTIFS('Valores completados'!$A$2:$A$6021,$C$4,'Valores completados'!$B$2:$B$6021,B25)&gt;0,"≈ estimado (USDA)",IF(ISNUMBER(D25),"Tabla INTA","")))</f>
        <v>Tabla INTA</v>
      </c>
    </row>
    <row r="26" spans="2:6" x14ac:dyDescent="0.25">
      <c r="B26" s="13" t="s">
        <v>39</v>
      </c>
      <c r="C26" s="14" t="s">
        <v>36</v>
      </c>
      <c r="D26" s="15">
        <f>IF($H$4=0,"",INDEX(Datos!$V$2:$V$648,$H$4))</f>
        <v>2.2000000000000002</v>
      </c>
      <c r="E26" s="16">
        <f t="shared" si="0"/>
        <v>2.2000000000000002</v>
      </c>
      <c r="F26" s="26" t="str">
        <f>IF($H$4=0,"",IF(COUNTIFS('Valores completados'!$A$2:$A$6021,$C$4,'Valores completados'!$B$2:$B$6021,B26)&gt;0,"≈ estimado (USDA)",IF(ISNUMBER(D26),"Tabla INTA","")))</f>
        <v>Tabla INTA</v>
      </c>
    </row>
    <row r="27" spans="2:6" x14ac:dyDescent="0.25">
      <c r="B27" s="9" t="s">
        <v>40</v>
      </c>
      <c r="C27" s="10" t="s">
        <v>31</v>
      </c>
      <c r="D27" s="17">
        <f>IF($H$4=0,"",INDEX(Datos!$W$2:$W$648,$H$4))</f>
        <v>0.3</v>
      </c>
      <c r="E27" s="18">
        <f t="shared" si="0"/>
        <v>0.3</v>
      </c>
      <c r="F27" s="26" t="str">
        <f>IF($H$4=0,"",IF(COUNTIFS('Valores completados'!$A$2:$A$6021,$C$4,'Valores completados'!$B$2:$B$6021,B27)&gt;0,"≈ estimado (USDA)",IF(ISNUMBER(D27),"Tabla INTA","")))</f>
        <v>Tabla INTA</v>
      </c>
    </row>
    <row r="28" spans="2:6" x14ac:dyDescent="0.25">
      <c r="B28" s="13" t="s">
        <v>41</v>
      </c>
      <c r="C28" s="14" t="s">
        <v>31</v>
      </c>
      <c r="D28" s="15">
        <f>IF($H$4=0,"",INDEX(Datos!$X$2:$X$648,$H$4))</f>
        <v>1.2</v>
      </c>
      <c r="E28" s="16">
        <f t="shared" si="0"/>
        <v>1.2</v>
      </c>
      <c r="F28" s="26" t="str">
        <f>IF($H$4=0,"",IF(COUNTIFS('Valores completados'!$A$2:$A$6021,$C$4,'Valores completados'!$B$2:$B$6021,B28)&gt;0,"≈ estimado (USDA)",IF(ISNUMBER(D28),"Tabla INTA","")))</f>
        <v>Tabla INTA</v>
      </c>
    </row>
    <row r="29" spans="2:6" x14ac:dyDescent="0.25">
      <c r="B29" s="9" t="s">
        <v>42</v>
      </c>
      <c r="C29" s="10" t="s">
        <v>43</v>
      </c>
      <c r="D29" s="17">
        <f>IF($H$4=0,"",INDEX(Datos!$Y$2:$Y$648,$H$4))</f>
        <v>0.7</v>
      </c>
      <c r="E29" s="18">
        <f t="shared" si="0"/>
        <v>0.7</v>
      </c>
      <c r="F29" s="26" t="str">
        <f>IF($H$4=0,"",IF(COUNTIFS('Valores completados'!$A$2:$A$6021,$C$4,'Valores completados'!$B$2:$B$6021,B29)&gt;0,"≈ estimado (USDA)",IF(ISNUMBER(D29),"Tabla INTA","")))</f>
        <v>Tabla INTA</v>
      </c>
    </row>
    <row r="30" spans="2:6" x14ac:dyDescent="0.25">
      <c r="B30" s="13" t="s">
        <v>44</v>
      </c>
      <c r="C30" s="14" t="s">
        <v>31</v>
      </c>
      <c r="D30" s="15">
        <f>IF($H$4=0,"",INDEX(Datos!$Z$2:$Z$648,$H$4))</f>
        <v>0.3</v>
      </c>
      <c r="E30" s="16">
        <f t="shared" si="0"/>
        <v>0.3</v>
      </c>
      <c r="F30" s="26" t="str">
        <f>IF($H$4=0,"",IF(COUNTIFS('Valores completados'!$A$2:$A$6021,$C$4,'Valores completados'!$B$2:$B$6021,B30)&gt;0,"≈ estimado (USDA)",IF(ISNUMBER(D30),"Tabla INTA","")))</f>
        <v>Tabla INTA</v>
      </c>
    </row>
    <row r="31" spans="2:6" x14ac:dyDescent="0.25">
      <c r="B31" s="9" t="s">
        <v>45</v>
      </c>
      <c r="C31" s="10" t="s">
        <v>31</v>
      </c>
      <c r="D31" s="17">
        <f>IF($H$4=0,"",INDEX(Datos!$AA$2:$AA$648,$H$4))</f>
        <v>2.2999999999999998</v>
      </c>
      <c r="E31" s="18">
        <f t="shared" si="0"/>
        <v>2.2999999999999998</v>
      </c>
      <c r="F31" s="26" t="str">
        <f>IF($H$4=0,"",IF(COUNTIFS('Valores completados'!$A$2:$A$6021,$C$4,'Valores completados'!$B$2:$B$6021,B31)&gt;0,"≈ estimado (USDA)",IF(ISNUMBER(D31),"Tabla INTA","")))</f>
        <v>Tabla INTA</v>
      </c>
    </row>
    <row r="32" spans="2:6" x14ac:dyDescent="0.25">
      <c r="B32" s="13" t="s">
        <v>46</v>
      </c>
      <c r="C32" s="14" t="s">
        <v>36</v>
      </c>
      <c r="D32" s="15">
        <f>IF($H$4=0,"",INDEX(Datos!$AB$2:$AB$648,$H$4))</f>
        <v>3.3</v>
      </c>
      <c r="E32" s="16">
        <f t="shared" si="0"/>
        <v>3.3</v>
      </c>
      <c r="F32" s="26" t="str">
        <f>IF($H$4=0,"",IF(COUNTIFS('Valores completados'!$A$2:$A$6021,$C$4,'Valores completados'!$B$2:$B$6021,B32)&gt;0,"≈ estimado (USDA)",IF(ISNUMBER(D32),"Tabla INTA","")))</f>
        <v>Tabla INTA</v>
      </c>
    </row>
    <row r="33" spans="2:6" x14ac:dyDescent="0.25">
      <c r="B33" s="9" t="s">
        <v>47</v>
      </c>
      <c r="C33" s="10" t="s">
        <v>48</v>
      </c>
      <c r="D33" s="17">
        <f>IF($H$4=0,"",INDEX(Datos!$AC$2:$AC$648,$H$4))</f>
        <v>37</v>
      </c>
      <c r="E33" s="18">
        <f t="shared" si="0"/>
        <v>37</v>
      </c>
      <c r="F33" s="26" t="str">
        <f>IF($H$4=0,"",IF(COUNTIFS('Valores completados'!$A$2:$A$6021,$C$4,'Valores completados'!$B$2:$B$6021,B33)&gt;0,"≈ estimado (USDA)",IF(ISNUMBER(D33),"Tabla INTA","")))</f>
        <v>Tabla INTA</v>
      </c>
    </row>
    <row r="34" spans="2:6" x14ac:dyDescent="0.25">
      <c r="B34" s="13" t="s">
        <v>49</v>
      </c>
      <c r="C34" s="14" t="s">
        <v>31</v>
      </c>
      <c r="D34" s="15">
        <f>IF($H$4=0,"",INDEX(Datos!$AD$2:$AD$648,$H$4))</f>
        <v>371</v>
      </c>
      <c r="E34" s="16">
        <f t="shared" si="0"/>
        <v>371</v>
      </c>
      <c r="F34" s="26" t="str">
        <f>IF($H$4=0,"",IF(COUNTIFS('Valores completados'!$A$2:$A$6021,$C$4,'Valores completados'!$B$2:$B$6021,B34)&gt;0,"≈ estimado (USDA)",IF(ISNUMBER(D34),"Tabla INTA","")))</f>
        <v>Tabla INTA</v>
      </c>
    </row>
    <row r="35" spans="2:6" x14ac:dyDescent="0.25">
      <c r="B35" s="9" t="s">
        <v>50</v>
      </c>
      <c r="C35" s="10" t="s">
        <v>31</v>
      </c>
      <c r="D35" s="17">
        <f>IF($H$4=0,"",INDEX(Datos!$AE$2:$AE$648,$H$4))</f>
        <v>1330</v>
      </c>
      <c r="E35" s="18">
        <f t="shared" si="0"/>
        <v>1330</v>
      </c>
      <c r="F35" s="26" t="str">
        <f>IF($H$4=0,"",IF(COUNTIFS('Valores completados'!$A$2:$A$6021,$C$4,'Valores completados'!$B$2:$B$6021,B35)&gt;0,"≈ estimado (USDA)",IF(ISNUMBER(D35),"Tabla INTA","")))</f>
        <v>Tabla INTA</v>
      </c>
    </row>
    <row r="36" spans="2:6" x14ac:dyDescent="0.25">
      <c r="B36" s="13" t="s">
        <v>51</v>
      </c>
      <c r="C36" s="14" t="s">
        <v>31</v>
      </c>
      <c r="D36" s="15">
        <f>IF($H$4=0,"",INDEX(Datos!$AF$2:$AF$648,$H$4))</f>
        <v>912</v>
      </c>
      <c r="E36" s="16">
        <f t="shared" si="0"/>
        <v>912</v>
      </c>
      <c r="F36" s="26" t="str">
        <f>IF($H$4=0,"",IF(COUNTIFS('Valores completados'!$A$2:$A$6021,$C$4,'Valores completados'!$B$2:$B$6021,B36)&gt;0,"≈ estimado (USDA)",IF(ISNUMBER(D36),"Tabla INTA","")))</f>
        <v>Tabla INTA</v>
      </c>
    </row>
    <row r="37" spans="2:6" x14ac:dyDescent="0.25">
      <c r="B37" s="9" t="s">
        <v>52</v>
      </c>
      <c r="C37" s="10" t="s">
        <v>31</v>
      </c>
      <c r="D37" s="17">
        <f>IF($H$4=0,"",INDEX(Datos!$AG$2:$AG$648,$H$4))</f>
        <v>776</v>
      </c>
      <c r="E37" s="18">
        <f t="shared" si="0"/>
        <v>776</v>
      </c>
      <c r="F37" s="26" t="str">
        <f>IF($H$4=0,"",IF(COUNTIFS('Valores completados'!$A$2:$A$6021,$C$4,'Valores completados'!$B$2:$B$6021,B37)&gt;0,"≈ estimado (USDA)",IF(ISNUMBER(D37),"Tabla INTA","")))</f>
        <v>Tabla INTA</v>
      </c>
    </row>
    <row r="38" spans="2:6" x14ac:dyDescent="0.25">
      <c r="B38" s="13" t="s">
        <v>53</v>
      </c>
      <c r="C38" s="14" t="s">
        <v>31</v>
      </c>
      <c r="D38" s="15">
        <f>IF($H$4=0,"",INDEX(Datos!$AH$2:$AH$648,$H$4))</f>
        <v>85</v>
      </c>
      <c r="E38" s="16">
        <f t="shared" si="0"/>
        <v>85</v>
      </c>
      <c r="F38" s="26" t="str">
        <f>IF($H$4=0,"",IF(COUNTIFS('Valores completados'!$A$2:$A$6021,$C$4,'Valores completados'!$B$2:$B$6021,B38)&gt;0,"≈ estimado (USDA)",IF(ISNUMBER(D38),"Tabla INTA","")))</f>
        <v>Tabla INTA</v>
      </c>
    </row>
    <row r="39" spans="2:6" x14ac:dyDescent="0.25">
      <c r="B39" s="9" t="s">
        <v>54</v>
      </c>
      <c r="C39" s="10" t="s">
        <v>31</v>
      </c>
      <c r="D39" s="17">
        <f>IF($H$4=0,"",INDEX(Datos!$AI$2:$AI$648,$H$4))</f>
        <v>0.5</v>
      </c>
      <c r="E39" s="18">
        <f t="shared" si="0"/>
        <v>0.5</v>
      </c>
      <c r="F39" s="26" t="str">
        <f>IF($H$4=0,"",IF(COUNTIFS('Valores completados'!$A$2:$A$6021,$C$4,'Valores completados'!$B$2:$B$6021,B39)&gt;0,"≈ estimado (USDA)",IF(ISNUMBER(D39),"Tabla INTA","")))</f>
        <v>Tabla INTA</v>
      </c>
    </row>
    <row r="40" spans="2:6" x14ac:dyDescent="0.25">
      <c r="B40" s="13" t="s">
        <v>55</v>
      </c>
      <c r="C40" s="14" t="s">
        <v>31</v>
      </c>
      <c r="D40" s="15">
        <f>IF($H$4=0,"",INDEX(Datos!$AJ$2:$AJ$648,$H$4))</f>
        <v>3.3</v>
      </c>
      <c r="E40" s="16">
        <f t="shared" si="0"/>
        <v>3.3</v>
      </c>
      <c r="F40" s="26" t="str">
        <f>IF($H$4=0,"",IF(COUNTIFS('Valores completados'!$A$2:$A$6021,$C$4,'Valores completados'!$B$2:$B$6021,B40)&gt;0,"≈ estimado (USDA)",IF(ISNUMBER(D40),"Tabla INTA","")))</f>
        <v>Tabla INTA</v>
      </c>
    </row>
    <row r="41" spans="2:6" x14ac:dyDescent="0.25">
      <c r="B41" s="9" t="s">
        <v>56</v>
      </c>
      <c r="C41" s="10" t="s">
        <v>31</v>
      </c>
      <c r="D41" s="17">
        <f>IF($H$4=0,"",INDEX(Datos!$AK$2:$AK$648,$H$4))</f>
        <v>0.1</v>
      </c>
      <c r="E41" s="18">
        <f t="shared" si="0"/>
        <v>0.1</v>
      </c>
      <c r="F41" s="26" t="str">
        <f>IF($H$4=0,"",IF(COUNTIFS('Valores completados'!$A$2:$A$6021,$C$4,'Valores completados'!$B$2:$B$6021,B41)&gt;0,"≈ estimado (USDA)",IF(ISNUMBER(D41),"Tabla INTA","")))</f>
        <v>Tabla INTA</v>
      </c>
    </row>
    <row r="42" spans="2:6" x14ac:dyDescent="0.25">
      <c r="B42" s="13" t="s">
        <v>57</v>
      </c>
      <c r="C42" s="14" t="s">
        <v>36</v>
      </c>
      <c r="D42" s="15">
        <f>IF($H$4=0,"",INDEX(Datos!$AL$2:$AL$648,$H$4))</f>
        <v>16.3</v>
      </c>
      <c r="E42" s="16">
        <f t="shared" si="0"/>
        <v>16.3</v>
      </c>
      <c r="F42" s="26" t="str">
        <f>IF($H$4=0,"",IF(COUNTIFS('Valores completados'!$A$2:$A$6021,$C$4,'Valores completados'!$B$2:$B$6021,B42)&gt;0,"≈ estimado (USDA)",IF(ISNUMBER(D42),"Tabla INTA","")))</f>
        <v>Tabla INTA</v>
      </c>
    </row>
    <row r="43" spans="2:6" x14ac:dyDescent="0.25">
      <c r="B43" s="9" t="s">
        <v>58</v>
      </c>
      <c r="C43" s="10" t="s">
        <v>5</v>
      </c>
      <c r="D43" s="17">
        <f>IF($H$4=0,"",INDEX(Datos!$AM$2:$AM$648,$H$4))</f>
        <v>0</v>
      </c>
      <c r="E43" s="18">
        <f t="shared" si="0"/>
        <v>0</v>
      </c>
      <c r="F43" s="26" t="str">
        <f>IF($H$4=0,"",IF(COUNTIFS('Valores completados'!$A$2:$A$6021,$C$4,'Valores completados'!$B$2:$B$6021,B43)&gt;0,"≈ estimado (USDA)",IF(ISNUMBER(D43),"Tabla INTA","")))</f>
        <v>≈ estimado (USDA)</v>
      </c>
    </row>
  </sheetData>
  <mergeCells count="1">
    <mergeCell ref="C4:E4"/>
  </mergeCells>
  <dataValidations count="1">
    <dataValidation type="list" allowBlank="1" sqref="C4" xr:uid="{00000000-0002-0000-0000-000000000000}">
      <formula1>ListaFiltrada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48"/>
  <sheetViews>
    <sheetView tabSelected="1" workbookViewId="0">
      <pane xSplit="4" ySplit="1" topLeftCell="E616" activePane="bottomRight" state="frozen"/>
      <selection pane="topRight"/>
      <selection pane="bottomLeft"/>
      <selection pane="bottomRight" activeCell="A648" sqref="A648"/>
    </sheetView>
  </sheetViews>
  <sheetFormatPr baseColWidth="10" defaultColWidth="9.140625" defaultRowHeight="15" x14ac:dyDescent="0.25"/>
  <cols>
    <col min="1" max="1" width="5" customWidth="1"/>
    <col min="2" max="2" width="24" customWidth="1"/>
    <col min="3" max="3" width="42" customWidth="1"/>
    <col min="4" max="4" width="7" customWidth="1"/>
    <col min="5" max="39" width="11" customWidth="1"/>
  </cols>
  <sheetData>
    <row r="1" spans="1:39" ht="45" customHeight="1" x14ac:dyDescent="0.25">
      <c r="A1" s="21" t="s">
        <v>59</v>
      </c>
      <c r="B1" s="21" t="s">
        <v>60</v>
      </c>
      <c r="C1" s="21" t="s">
        <v>61</v>
      </c>
      <c r="D1" s="21" t="s">
        <v>62</v>
      </c>
      <c r="E1" s="21" t="s">
        <v>63</v>
      </c>
      <c r="F1" s="21" t="s">
        <v>64</v>
      </c>
      <c r="G1" s="21" t="s">
        <v>65</v>
      </c>
      <c r="H1" s="21" t="s">
        <v>66</v>
      </c>
      <c r="I1" s="21" t="s">
        <v>67</v>
      </c>
      <c r="J1" s="21" t="s">
        <v>68</v>
      </c>
      <c r="K1" s="21" t="s">
        <v>69</v>
      </c>
      <c r="L1" s="21" t="s">
        <v>70</v>
      </c>
      <c r="M1" s="21" t="s">
        <v>71</v>
      </c>
      <c r="N1" s="21" t="s">
        <v>72</v>
      </c>
      <c r="O1" s="21" t="s">
        <v>73</v>
      </c>
      <c r="P1" s="21" t="s">
        <v>74</v>
      </c>
      <c r="Q1" s="21" t="s">
        <v>75</v>
      </c>
      <c r="R1" s="21" t="s">
        <v>76</v>
      </c>
      <c r="S1" s="21" t="s">
        <v>77</v>
      </c>
      <c r="T1" s="21" t="s">
        <v>78</v>
      </c>
      <c r="U1" s="21" t="s">
        <v>79</v>
      </c>
      <c r="V1" s="21" t="s">
        <v>80</v>
      </c>
      <c r="W1" s="21" t="s">
        <v>81</v>
      </c>
      <c r="X1" s="21" t="s">
        <v>82</v>
      </c>
      <c r="Y1" s="21" t="s">
        <v>83</v>
      </c>
      <c r="Z1" s="21" t="s">
        <v>84</v>
      </c>
      <c r="AA1" s="21" t="s">
        <v>85</v>
      </c>
      <c r="AB1" s="21" t="s">
        <v>86</v>
      </c>
      <c r="AC1" s="21" t="s">
        <v>87</v>
      </c>
      <c r="AD1" s="21" t="s">
        <v>88</v>
      </c>
      <c r="AE1" s="21" t="s">
        <v>89</v>
      </c>
      <c r="AF1" s="21" t="s">
        <v>90</v>
      </c>
      <c r="AG1" s="21" t="s">
        <v>91</v>
      </c>
      <c r="AH1" s="21" t="s">
        <v>92</v>
      </c>
      <c r="AI1" s="21" t="s">
        <v>93</v>
      </c>
      <c r="AJ1" s="21" t="s">
        <v>94</v>
      </c>
      <c r="AK1" s="21" t="s">
        <v>95</v>
      </c>
      <c r="AL1" s="21" t="s">
        <v>96</v>
      </c>
      <c r="AM1" s="21" t="s">
        <v>97</v>
      </c>
    </row>
    <row r="2" spans="1:39" x14ac:dyDescent="0.25">
      <c r="A2" s="10">
        <v>1</v>
      </c>
      <c r="B2" s="9" t="s">
        <v>98</v>
      </c>
      <c r="C2" s="9" t="s">
        <v>99</v>
      </c>
      <c r="D2" s="10">
        <v>1</v>
      </c>
      <c r="E2" s="11">
        <v>70</v>
      </c>
      <c r="F2" s="17">
        <v>87.5</v>
      </c>
      <c r="G2" s="17">
        <v>0.2</v>
      </c>
      <c r="H2" s="17">
        <v>1</v>
      </c>
      <c r="I2" s="17">
        <v>6.9</v>
      </c>
      <c r="J2" s="17">
        <v>6.9</v>
      </c>
      <c r="K2" s="17">
        <v>0</v>
      </c>
      <c r="L2" s="17">
        <v>4.4000000000000004</v>
      </c>
      <c r="M2" s="19">
        <v>2.0099999999999998</v>
      </c>
      <c r="N2" s="19">
        <v>1.66</v>
      </c>
      <c r="O2" s="19">
        <v>0.5</v>
      </c>
      <c r="P2" s="22" t="s">
        <v>100</v>
      </c>
      <c r="Q2" s="17">
        <v>14</v>
      </c>
      <c r="R2" s="17">
        <v>61</v>
      </c>
      <c r="S2" s="17">
        <v>5</v>
      </c>
      <c r="T2" s="17">
        <v>0.1</v>
      </c>
      <c r="U2" s="17">
        <v>0.1</v>
      </c>
      <c r="V2" s="17">
        <v>0.3</v>
      </c>
      <c r="W2" s="17">
        <v>0</v>
      </c>
      <c r="X2" s="17">
        <v>0</v>
      </c>
      <c r="Y2" s="17">
        <v>0.2</v>
      </c>
      <c r="Z2" s="17">
        <v>0</v>
      </c>
      <c r="AA2" s="17">
        <v>0.2</v>
      </c>
      <c r="AB2" s="17">
        <v>0.1</v>
      </c>
      <c r="AC2" s="17">
        <v>5</v>
      </c>
      <c r="AD2" s="17">
        <v>17</v>
      </c>
      <c r="AE2" s="17">
        <v>51</v>
      </c>
      <c r="AF2" s="17">
        <v>32</v>
      </c>
      <c r="AG2" s="17">
        <v>14</v>
      </c>
      <c r="AH2" s="17">
        <v>3</v>
      </c>
      <c r="AI2" s="17">
        <v>0</v>
      </c>
      <c r="AJ2" s="17">
        <v>0.2</v>
      </c>
      <c r="AK2" s="17">
        <v>0.1</v>
      </c>
      <c r="AL2" s="17">
        <v>1.8</v>
      </c>
      <c r="AM2" s="27">
        <v>0</v>
      </c>
    </row>
    <row r="3" spans="1:39" x14ac:dyDescent="0.25">
      <c r="A3" s="10">
        <v>2</v>
      </c>
      <c r="B3" s="9" t="s">
        <v>98</v>
      </c>
      <c r="C3" s="9" t="s">
        <v>101</v>
      </c>
      <c r="D3" s="10">
        <v>2</v>
      </c>
      <c r="E3" s="11">
        <v>41</v>
      </c>
      <c r="F3" s="17">
        <v>90.4</v>
      </c>
      <c r="G3" s="17">
        <v>0.4</v>
      </c>
      <c r="H3" s="17">
        <v>1.6</v>
      </c>
      <c r="I3" s="17">
        <v>6.7</v>
      </c>
      <c r="J3" s="22" t="s">
        <v>100</v>
      </c>
      <c r="K3" s="17">
        <v>0</v>
      </c>
      <c r="L3" s="17">
        <v>0.9</v>
      </c>
      <c r="M3" s="22" t="s">
        <v>100</v>
      </c>
      <c r="N3" s="22" t="s">
        <v>100</v>
      </c>
      <c r="O3" s="22" t="s">
        <v>100</v>
      </c>
      <c r="P3" s="22" t="s">
        <v>100</v>
      </c>
      <c r="Q3" s="22" t="s">
        <v>100</v>
      </c>
      <c r="R3" s="22" t="s">
        <v>100</v>
      </c>
      <c r="S3" s="17">
        <v>1.7</v>
      </c>
      <c r="T3" s="22" t="s">
        <v>100</v>
      </c>
      <c r="U3" s="22" t="s">
        <v>100</v>
      </c>
      <c r="V3" s="22" t="s">
        <v>100</v>
      </c>
      <c r="W3" s="17">
        <v>0</v>
      </c>
      <c r="X3" s="17">
        <v>0.1</v>
      </c>
      <c r="Y3" s="17">
        <v>0.1</v>
      </c>
      <c r="Z3" s="22" t="s">
        <v>100</v>
      </c>
      <c r="AA3" s="22" t="s">
        <v>100</v>
      </c>
      <c r="AB3" s="22" t="s">
        <v>100</v>
      </c>
      <c r="AC3" s="22" t="s">
        <v>100</v>
      </c>
      <c r="AD3" s="22" t="s">
        <v>100</v>
      </c>
      <c r="AE3" s="22" t="s">
        <v>100</v>
      </c>
      <c r="AF3" s="17">
        <v>138</v>
      </c>
      <c r="AG3" s="17">
        <v>60</v>
      </c>
      <c r="AH3" s="22" t="s">
        <v>100</v>
      </c>
      <c r="AI3" s="22" t="s">
        <v>100</v>
      </c>
      <c r="AJ3" s="22" t="s">
        <v>100</v>
      </c>
      <c r="AK3" s="22" t="s">
        <v>100</v>
      </c>
      <c r="AL3" s="22" t="s">
        <v>100</v>
      </c>
      <c r="AM3" s="27">
        <v>0</v>
      </c>
    </row>
    <row r="4" spans="1:39" x14ac:dyDescent="0.25">
      <c r="A4" s="10">
        <v>3</v>
      </c>
      <c r="B4" s="9" t="s">
        <v>98</v>
      </c>
      <c r="C4" s="9" t="s">
        <v>102</v>
      </c>
      <c r="D4" s="10">
        <v>1</v>
      </c>
      <c r="E4" s="11">
        <v>69</v>
      </c>
      <c r="F4" s="17">
        <v>87</v>
      </c>
      <c r="G4" s="17">
        <v>0.8</v>
      </c>
      <c r="H4" s="17">
        <v>3.6</v>
      </c>
      <c r="I4" s="17">
        <v>4.5</v>
      </c>
      <c r="J4" s="17">
        <v>4.5</v>
      </c>
      <c r="K4" s="17">
        <v>0</v>
      </c>
      <c r="L4" s="17">
        <v>4.0999999999999996</v>
      </c>
      <c r="M4" s="19">
        <v>2.67</v>
      </c>
      <c r="N4" s="19">
        <v>1.1100000000000001</v>
      </c>
      <c r="O4" s="19">
        <v>0.15</v>
      </c>
      <c r="P4" s="22" t="s">
        <v>100</v>
      </c>
      <c r="Q4" s="17">
        <v>11</v>
      </c>
      <c r="R4" s="17">
        <v>57</v>
      </c>
      <c r="S4" s="17">
        <v>1.3</v>
      </c>
      <c r="T4" s="17">
        <v>1.3</v>
      </c>
      <c r="U4" s="17">
        <v>0.1</v>
      </c>
      <c r="V4" s="17">
        <v>0.3</v>
      </c>
      <c r="W4" s="17">
        <v>0.1</v>
      </c>
      <c r="X4" s="17">
        <v>0.1</v>
      </c>
      <c r="Y4" s="17">
        <v>0.3</v>
      </c>
      <c r="Z4" s="17">
        <v>0.1</v>
      </c>
      <c r="AA4" s="17">
        <v>0.3</v>
      </c>
      <c r="AB4" s="17">
        <v>0.1</v>
      </c>
      <c r="AC4" s="17">
        <v>1</v>
      </c>
      <c r="AD4" s="17">
        <v>50</v>
      </c>
      <c r="AE4" s="17">
        <v>204</v>
      </c>
      <c r="AF4" s="17">
        <v>134</v>
      </c>
      <c r="AG4" s="17">
        <v>111</v>
      </c>
      <c r="AH4" s="17">
        <v>14</v>
      </c>
      <c r="AI4" s="17">
        <v>0.1</v>
      </c>
      <c r="AJ4" s="17">
        <v>0.3</v>
      </c>
      <c r="AK4" s="17">
        <v>0.1</v>
      </c>
      <c r="AL4" s="17">
        <v>1.4</v>
      </c>
      <c r="AM4" s="27">
        <v>0</v>
      </c>
    </row>
    <row r="5" spans="1:39" x14ac:dyDescent="0.25">
      <c r="A5" s="10">
        <v>4</v>
      </c>
      <c r="B5" s="9" t="s">
        <v>98</v>
      </c>
      <c r="C5" s="9" t="s">
        <v>103</v>
      </c>
      <c r="D5" s="10">
        <v>1</v>
      </c>
      <c r="E5" s="11">
        <v>64</v>
      </c>
      <c r="F5" s="17">
        <v>87.7</v>
      </c>
      <c r="G5" s="17">
        <v>0.7</v>
      </c>
      <c r="H5" s="17">
        <v>3.3</v>
      </c>
      <c r="I5" s="17">
        <v>4.7</v>
      </c>
      <c r="J5" s="27">
        <v>4.7</v>
      </c>
      <c r="K5" s="17">
        <v>0</v>
      </c>
      <c r="L5" s="17">
        <v>3.7</v>
      </c>
      <c r="M5" s="19">
        <v>2.2799999999999998</v>
      </c>
      <c r="N5" s="19">
        <v>1.06</v>
      </c>
      <c r="O5" s="19">
        <v>0.14000000000000001</v>
      </c>
      <c r="P5" s="22" t="s">
        <v>100</v>
      </c>
      <c r="Q5" s="17">
        <v>14</v>
      </c>
      <c r="R5" s="17">
        <v>33</v>
      </c>
      <c r="S5" s="17">
        <v>1.5</v>
      </c>
      <c r="T5" s="27">
        <v>0.1</v>
      </c>
      <c r="U5" s="27">
        <v>0.1</v>
      </c>
      <c r="V5" s="27">
        <v>0.3</v>
      </c>
      <c r="W5" s="17">
        <v>0</v>
      </c>
      <c r="X5" s="17">
        <v>0.2</v>
      </c>
      <c r="Y5" s="17">
        <v>0.1</v>
      </c>
      <c r="Z5" s="17">
        <v>0</v>
      </c>
      <c r="AA5" s="17">
        <v>0.3</v>
      </c>
      <c r="AB5" s="17">
        <v>0.4</v>
      </c>
      <c r="AC5" s="17">
        <v>5</v>
      </c>
      <c r="AD5" s="17">
        <v>49</v>
      </c>
      <c r="AE5" s="17">
        <v>151</v>
      </c>
      <c r="AF5" s="17">
        <v>119</v>
      </c>
      <c r="AG5" s="17">
        <v>93</v>
      </c>
      <c r="AH5" s="17">
        <v>13</v>
      </c>
      <c r="AI5" s="17">
        <v>0.1</v>
      </c>
      <c r="AJ5" s="17">
        <v>0.4</v>
      </c>
      <c r="AK5" s="17">
        <v>0</v>
      </c>
      <c r="AL5" s="17">
        <v>2</v>
      </c>
      <c r="AM5" s="27">
        <v>0</v>
      </c>
    </row>
    <row r="6" spans="1:39" x14ac:dyDescent="0.25">
      <c r="A6" s="10">
        <v>5</v>
      </c>
      <c r="B6" s="9" t="s">
        <v>98</v>
      </c>
      <c r="C6" s="9" t="s">
        <v>104</v>
      </c>
      <c r="D6" s="10">
        <v>2</v>
      </c>
      <c r="E6" s="11">
        <v>58</v>
      </c>
      <c r="F6" s="17">
        <v>88.1</v>
      </c>
      <c r="G6" s="17">
        <v>0.6</v>
      </c>
      <c r="H6" s="17">
        <v>3.2</v>
      </c>
      <c r="I6" s="17">
        <v>5.6</v>
      </c>
      <c r="J6" s="27">
        <v>5.0999999999999996</v>
      </c>
      <c r="K6" s="17">
        <v>0</v>
      </c>
      <c r="L6" s="17">
        <v>2.5</v>
      </c>
      <c r="M6" s="19">
        <v>2.09</v>
      </c>
      <c r="N6" s="19">
        <v>0.96</v>
      </c>
      <c r="O6" s="19">
        <v>0.12</v>
      </c>
      <c r="P6" s="22" t="s">
        <v>100</v>
      </c>
      <c r="Q6" s="17">
        <v>13.5</v>
      </c>
      <c r="R6" s="17">
        <v>31.1</v>
      </c>
      <c r="S6" s="17">
        <v>1</v>
      </c>
      <c r="T6" s="27">
        <v>0.1</v>
      </c>
      <c r="U6" s="27">
        <v>0.1</v>
      </c>
      <c r="V6" s="27">
        <v>0.3</v>
      </c>
      <c r="W6" s="17">
        <v>0.1</v>
      </c>
      <c r="X6" s="17">
        <v>0.1</v>
      </c>
      <c r="Y6" s="17">
        <v>0.1</v>
      </c>
      <c r="Z6" s="17">
        <v>0</v>
      </c>
      <c r="AA6" s="17">
        <v>0.3</v>
      </c>
      <c r="AB6" s="17">
        <v>0.4</v>
      </c>
      <c r="AC6" s="17">
        <v>4.9000000000000004</v>
      </c>
      <c r="AD6" s="17">
        <v>59.7</v>
      </c>
      <c r="AE6" s="17">
        <v>141.80000000000001</v>
      </c>
      <c r="AF6" s="17">
        <v>123</v>
      </c>
      <c r="AG6" s="17">
        <v>95</v>
      </c>
      <c r="AH6" s="17">
        <v>13.5</v>
      </c>
      <c r="AI6" s="17">
        <v>0.1</v>
      </c>
      <c r="AJ6" s="17">
        <v>0.4</v>
      </c>
      <c r="AK6" s="17">
        <v>0</v>
      </c>
      <c r="AL6" s="27">
        <v>3.7</v>
      </c>
      <c r="AM6" s="27">
        <v>0</v>
      </c>
    </row>
    <row r="7" spans="1:39" x14ac:dyDescent="0.25">
      <c r="A7" s="10">
        <v>6</v>
      </c>
      <c r="B7" s="9" t="s">
        <v>98</v>
      </c>
      <c r="C7" s="9" t="s">
        <v>105</v>
      </c>
      <c r="D7" s="10">
        <v>3</v>
      </c>
      <c r="E7" s="11">
        <v>80</v>
      </c>
      <c r="F7" s="17">
        <v>82.9</v>
      </c>
      <c r="G7" s="17">
        <v>0.8</v>
      </c>
      <c r="H7" s="17">
        <v>2.4</v>
      </c>
      <c r="I7" s="17">
        <v>10.5</v>
      </c>
      <c r="J7" s="27">
        <v>9.1999999999999993</v>
      </c>
      <c r="K7" s="17">
        <v>0.5</v>
      </c>
      <c r="L7" s="17">
        <v>2.9</v>
      </c>
      <c r="M7" s="19">
        <v>1.84</v>
      </c>
      <c r="N7" s="19">
        <v>0.87</v>
      </c>
      <c r="O7" s="19">
        <v>0.15</v>
      </c>
      <c r="P7" s="22" t="s">
        <v>100</v>
      </c>
      <c r="Q7" s="17">
        <v>6.4</v>
      </c>
      <c r="R7" s="17">
        <v>29</v>
      </c>
      <c r="S7" s="17">
        <v>0.9</v>
      </c>
      <c r="T7" s="27">
        <v>1.3</v>
      </c>
      <c r="U7" s="17">
        <v>0.1</v>
      </c>
      <c r="V7" s="27">
        <v>0.3</v>
      </c>
      <c r="W7" s="17">
        <v>0</v>
      </c>
      <c r="X7" s="17">
        <v>0.2</v>
      </c>
      <c r="Y7" s="17">
        <v>0.1</v>
      </c>
      <c r="Z7" s="17">
        <v>0</v>
      </c>
      <c r="AA7" s="17">
        <v>0.3</v>
      </c>
      <c r="AB7" s="17">
        <v>0.3</v>
      </c>
      <c r="AC7" s="17">
        <v>4.7</v>
      </c>
      <c r="AD7" s="17">
        <v>59.6</v>
      </c>
      <c r="AE7" s="17">
        <v>167</v>
      </c>
      <c r="AF7" s="17">
        <v>112</v>
      </c>
      <c r="AG7" s="17">
        <v>100</v>
      </c>
      <c r="AH7" s="17">
        <v>13</v>
      </c>
      <c r="AI7" s="17">
        <v>0.2</v>
      </c>
      <c r="AJ7" s="17">
        <v>0.4</v>
      </c>
      <c r="AK7" s="17">
        <v>0.1</v>
      </c>
      <c r="AL7" s="17">
        <v>1.2</v>
      </c>
      <c r="AM7" s="27">
        <v>0</v>
      </c>
    </row>
    <row r="8" spans="1:39" x14ac:dyDescent="0.25">
      <c r="A8" s="10">
        <v>7</v>
      </c>
      <c r="B8" s="9" t="s">
        <v>98</v>
      </c>
      <c r="C8" s="9" t="s">
        <v>106</v>
      </c>
      <c r="D8" s="10">
        <v>3</v>
      </c>
      <c r="E8" s="11">
        <v>42</v>
      </c>
      <c r="F8" s="17">
        <v>90.2</v>
      </c>
      <c r="G8" s="17">
        <v>0.8</v>
      </c>
      <c r="H8" s="17">
        <v>2.6</v>
      </c>
      <c r="I8" s="17">
        <v>5.0999999999999996</v>
      </c>
      <c r="J8" s="17">
        <v>3.2</v>
      </c>
      <c r="K8" s="17">
        <v>0</v>
      </c>
      <c r="L8" s="17">
        <v>1.3</v>
      </c>
      <c r="M8" s="28">
        <v>0.83</v>
      </c>
      <c r="N8" s="28">
        <v>0.37</v>
      </c>
      <c r="O8" s="28">
        <v>0.05</v>
      </c>
      <c r="P8" s="28">
        <v>0.06</v>
      </c>
      <c r="Q8" s="27">
        <v>8</v>
      </c>
      <c r="R8" s="27">
        <v>50</v>
      </c>
      <c r="S8" s="27">
        <v>0.2</v>
      </c>
      <c r="T8" s="27">
        <v>1.1000000000000001</v>
      </c>
      <c r="U8" s="27">
        <v>0</v>
      </c>
      <c r="V8" s="27">
        <v>0.2</v>
      </c>
      <c r="W8" s="27">
        <v>0</v>
      </c>
      <c r="X8" s="27">
        <v>0.2</v>
      </c>
      <c r="Y8" s="27">
        <v>0.1</v>
      </c>
      <c r="Z8" s="27">
        <v>0</v>
      </c>
      <c r="AA8" s="27">
        <v>0.3</v>
      </c>
      <c r="AB8" s="27">
        <v>0.5</v>
      </c>
      <c r="AC8" s="27">
        <v>4.5</v>
      </c>
      <c r="AD8" s="27">
        <v>42.7</v>
      </c>
      <c r="AE8" s="27">
        <v>127.2</v>
      </c>
      <c r="AF8" s="27">
        <v>109</v>
      </c>
      <c r="AG8" s="27">
        <v>83.6</v>
      </c>
      <c r="AH8" s="27">
        <v>10</v>
      </c>
      <c r="AI8" s="27">
        <v>0</v>
      </c>
      <c r="AJ8" s="27">
        <v>0.4</v>
      </c>
      <c r="AK8" s="27">
        <v>0</v>
      </c>
      <c r="AL8" s="27">
        <v>2.2999999999999998</v>
      </c>
      <c r="AM8" s="27">
        <v>0</v>
      </c>
    </row>
    <row r="9" spans="1:39" x14ac:dyDescent="0.25">
      <c r="A9" s="10">
        <v>8</v>
      </c>
      <c r="B9" s="9" t="s">
        <v>98</v>
      </c>
      <c r="C9" s="9" t="s">
        <v>107</v>
      </c>
      <c r="D9" s="10">
        <v>1</v>
      </c>
      <c r="E9" s="11">
        <v>76</v>
      </c>
      <c r="F9" s="17">
        <v>82.2</v>
      </c>
      <c r="G9" s="17">
        <v>0.8</v>
      </c>
      <c r="H9" s="17">
        <v>3</v>
      </c>
      <c r="I9" s="17">
        <v>11.4</v>
      </c>
      <c r="J9" s="17">
        <v>9.6</v>
      </c>
      <c r="K9" s="17">
        <v>0.7</v>
      </c>
      <c r="L9" s="17">
        <v>1.9</v>
      </c>
      <c r="M9" s="19">
        <v>1.18</v>
      </c>
      <c r="N9" s="19">
        <v>0.46</v>
      </c>
      <c r="O9" s="19">
        <v>0.09</v>
      </c>
      <c r="P9" s="22" t="s">
        <v>100</v>
      </c>
      <c r="Q9" s="17">
        <v>8</v>
      </c>
      <c r="R9" s="17">
        <v>64</v>
      </c>
      <c r="S9" s="17">
        <v>0</v>
      </c>
      <c r="T9" s="17">
        <v>1.2</v>
      </c>
      <c r="U9" s="17">
        <v>0</v>
      </c>
      <c r="V9" s="17">
        <v>0.2</v>
      </c>
      <c r="W9" s="17">
        <v>0.1</v>
      </c>
      <c r="X9" s="17">
        <v>0.2</v>
      </c>
      <c r="Y9" s="17">
        <v>0.2</v>
      </c>
      <c r="Z9" s="17">
        <v>0</v>
      </c>
      <c r="AA9" s="17">
        <v>0.5</v>
      </c>
      <c r="AB9" s="17">
        <v>0.3</v>
      </c>
      <c r="AC9" s="17">
        <v>2</v>
      </c>
      <c r="AD9" s="17">
        <v>66</v>
      </c>
      <c r="AE9" s="17">
        <v>169</v>
      </c>
      <c r="AF9" s="17">
        <v>109</v>
      </c>
      <c r="AG9" s="17">
        <v>102</v>
      </c>
      <c r="AH9" s="17">
        <v>14</v>
      </c>
      <c r="AI9" s="17">
        <v>0.2</v>
      </c>
      <c r="AJ9" s="17">
        <v>0.4</v>
      </c>
      <c r="AK9" s="17">
        <v>0.1</v>
      </c>
      <c r="AL9" s="17">
        <v>3.4</v>
      </c>
      <c r="AM9" s="27">
        <v>0</v>
      </c>
    </row>
    <row r="10" spans="1:39" x14ac:dyDescent="0.25">
      <c r="A10" s="10">
        <v>9</v>
      </c>
      <c r="B10" s="9" t="s">
        <v>98</v>
      </c>
      <c r="C10" s="9" t="s">
        <v>108</v>
      </c>
      <c r="D10" s="10">
        <v>4</v>
      </c>
      <c r="E10" s="11">
        <v>52</v>
      </c>
      <c r="F10" s="27">
        <v>88.6</v>
      </c>
      <c r="G10" s="27">
        <v>0.8</v>
      </c>
      <c r="H10" s="17">
        <v>3.2</v>
      </c>
      <c r="I10" s="17">
        <v>5.6</v>
      </c>
      <c r="J10" s="17">
        <v>5</v>
      </c>
      <c r="K10" s="27">
        <v>0</v>
      </c>
      <c r="L10" s="17">
        <v>1.8</v>
      </c>
      <c r="M10" s="19">
        <v>1.1499999999999999</v>
      </c>
      <c r="N10" s="19">
        <v>0.52</v>
      </c>
      <c r="O10" s="19">
        <v>0.05</v>
      </c>
      <c r="P10" s="19">
        <v>0.1</v>
      </c>
      <c r="Q10" s="17">
        <v>6</v>
      </c>
      <c r="R10" s="17">
        <v>40</v>
      </c>
      <c r="S10" s="27">
        <v>0</v>
      </c>
      <c r="T10" s="17">
        <v>0.3</v>
      </c>
      <c r="U10" s="17">
        <v>1</v>
      </c>
      <c r="V10" s="27">
        <v>0.1</v>
      </c>
      <c r="W10" s="27">
        <v>0</v>
      </c>
      <c r="X10" s="27">
        <v>0.2</v>
      </c>
      <c r="Y10" s="27">
        <v>0.1</v>
      </c>
      <c r="Z10" s="27">
        <v>0.1</v>
      </c>
      <c r="AA10" s="27">
        <v>0.5</v>
      </c>
      <c r="AB10" s="27">
        <v>0.2</v>
      </c>
      <c r="AC10" s="27">
        <v>5</v>
      </c>
      <c r="AD10" s="17">
        <v>70</v>
      </c>
      <c r="AE10" s="27">
        <v>168</v>
      </c>
      <c r="AF10" s="17">
        <v>93</v>
      </c>
      <c r="AG10" s="17">
        <v>84</v>
      </c>
      <c r="AH10" s="27">
        <v>13</v>
      </c>
      <c r="AI10" s="27">
        <v>0.2</v>
      </c>
      <c r="AJ10" s="27">
        <v>0.5</v>
      </c>
      <c r="AK10" s="27">
        <v>0</v>
      </c>
      <c r="AL10" s="27">
        <v>1.9</v>
      </c>
      <c r="AM10" s="27">
        <v>0</v>
      </c>
    </row>
    <row r="11" spans="1:39" x14ac:dyDescent="0.25">
      <c r="A11" s="10">
        <v>10</v>
      </c>
      <c r="B11" s="9" t="s">
        <v>98</v>
      </c>
      <c r="C11" s="9" t="s">
        <v>109</v>
      </c>
      <c r="D11" s="10">
        <v>4</v>
      </c>
      <c r="E11" s="11">
        <v>54</v>
      </c>
      <c r="F11" s="27">
        <v>88.2</v>
      </c>
      <c r="G11" s="27">
        <v>0.8</v>
      </c>
      <c r="H11" s="17">
        <v>3.1</v>
      </c>
      <c r="I11" s="17">
        <v>6</v>
      </c>
      <c r="J11" s="17">
        <v>5.5</v>
      </c>
      <c r="K11" s="27">
        <v>0</v>
      </c>
      <c r="L11" s="17">
        <v>1.9</v>
      </c>
      <c r="M11" s="19">
        <v>1.22</v>
      </c>
      <c r="N11" s="19">
        <v>0.55000000000000004</v>
      </c>
      <c r="O11" s="19">
        <v>0.05</v>
      </c>
      <c r="P11" s="19">
        <v>0.1</v>
      </c>
      <c r="Q11" s="17">
        <v>6</v>
      </c>
      <c r="R11" s="17">
        <v>40</v>
      </c>
      <c r="S11" s="27">
        <v>0</v>
      </c>
      <c r="T11" s="17">
        <v>0.3</v>
      </c>
      <c r="U11" s="17">
        <v>1</v>
      </c>
      <c r="V11" s="27">
        <v>0.1</v>
      </c>
      <c r="W11" s="27">
        <v>0</v>
      </c>
      <c r="X11" s="27">
        <v>0.2</v>
      </c>
      <c r="Y11" s="27">
        <v>0.1</v>
      </c>
      <c r="Z11" s="27">
        <v>0</v>
      </c>
      <c r="AA11" s="27">
        <v>0.4</v>
      </c>
      <c r="AB11" s="27">
        <v>0.5</v>
      </c>
      <c r="AC11" s="27">
        <v>5</v>
      </c>
      <c r="AD11" s="17">
        <v>60</v>
      </c>
      <c r="AE11" s="27">
        <v>150</v>
      </c>
      <c r="AF11" s="17">
        <v>104</v>
      </c>
      <c r="AG11" s="17">
        <v>84</v>
      </c>
      <c r="AH11" s="27">
        <v>11</v>
      </c>
      <c r="AI11" s="27">
        <v>0</v>
      </c>
      <c r="AJ11" s="27">
        <v>0.4</v>
      </c>
      <c r="AK11" s="27">
        <v>0</v>
      </c>
      <c r="AL11" s="27">
        <v>3.3</v>
      </c>
      <c r="AM11" s="27">
        <v>0</v>
      </c>
    </row>
    <row r="12" spans="1:39" x14ac:dyDescent="0.25">
      <c r="A12" s="10">
        <v>11</v>
      </c>
      <c r="B12" s="9" t="s">
        <v>98</v>
      </c>
      <c r="C12" s="9" t="s">
        <v>110</v>
      </c>
      <c r="D12" s="10">
        <v>4</v>
      </c>
      <c r="E12" s="11">
        <v>44</v>
      </c>
      <c r="F12" s="27">
        <v>90.2</v>
      </c>
      <c r="G12" s="27">
        <v>0.8</v>
      </c>
      <c r="H12" s="17">
        <v>3.1</v>
      </c>
      <c r="I12" s="17">
        <v>4.5999999999999996</v>
      </c>
      <c r="J12" s="17">
        <v>4.5999999999999996</v>
      </c>
      <c r="K12" s="27">
        <v>0</v>
      </c>
      <c r="L12" s="17">
        <v>1.3</v>
      </c>
      <c r="M12" s="19">
        <v>1</v>
      </c>
      <c r="N12" s="19">
        <v>0.35</v>
      </c>
      <c r="O12" s="19">
        <v>0.05</v>
      </c>
      <c r="P12" s="19">
        <v>0.1</v>
      </c>
      <c r="Q12" s="17">
        <v>6</v>
      </c>
      <c r="R12" s="17">
        <v>50</v>
      </c>
      <c r="S12" s="27">
        <v>0</v>
      </c>
      <c r="T12" s="17">
        <v>0.4</v>
      </c>
      <c r="U12" s="27">
        <v>0</v>
      </c>
      <c r="V12" s="27">
        <v>0.1</v>
      </c>
      <c r="W12" s="27">
        <v>0</v>
      </c>
      <c r="X12" s="27">
        <v>0.2</v>
      </c>
      <c r="Y12" s="27">
        <v>0.1</v>
      </c>
      <c r="Z12" s="27">
        <v>0</v>
      </c>
      <c r="AA12" s="27">
        <v>0.4</v>
      </c>
      <c r="AB12" s="27">
        <v>0.5</v>
      </c>
      <c r="AC12" s="27">
        <v>5</v>
      </c>
      <c r="AD12" s="17">
        <v>60</v>
      </c>
      <c r="AE12" s="27">
        <v>150</v>
      </c>
      <c r="AF12" s="17">
        <v>101</v>
      </c>
      <c r="AG12" s="27">
        <v>95</v>
      </c>
      <c r="AH12" s="27">
        <v>11</v>
      </c>
      <c r="AI12" s="27">
        <v>0</v>
      </c>
      <c r="AJ12" s="27">
        <v>0.4</v>
      </c>
      <c r="AK12" s="27">
        <v>0</v>
      </c>
      <c r="AL12" s="27">
        <v>3.3</v>
      </c>
      <c r="AM12" s="27">
        <v>0</v>
      </c>
    </row>
    <row r="13" spans="1:39" x14ac:dyDescent="0.25">
      <c r="A13" s="10">
        <v>12</v>
      </c>
      <c r="B13" s="9" t="s">
        <v>98</v>
      </c>
      <c r="C13" s="9" t="s">
        <v>111</v>
      </c>
      <c r="D13" s="10">
        <v>4</v>
      </c>
      <c r="E13" s="11">
        <v>32</v>
      </c>
      <c r="F13" s="27">
        <v>91.1</v>
      </c>
      <c r="G13" s="27">
        <v>0.8</v>
      </c>
      <c r="H13" s="17">
        <v>3.3</v>
      </c>
      <c r="I13" s="17">
        <v>4.7</v>
      </c>
      <c r="J13" s="17">
        <v>4.7</v>
      </c>
      <c r="K13" s="27">
        <v>0</v>
      </c>
      <c r="L13" s="17">
        <v>0.1</v>
      </c>
      <c r="M13" s="19">
        <v>0.03</v>
      </c>
      <c r="N13" s="19">
        <v>0.01</v>
      </c>
      <c r="O13" s="19">
        <v>0</v>
      </c>
      <c r="P13" s="19">
        <v>0</v>
      </c>
      <c r="Q13" s="17">
        <v>0.2</v>
      </c>
      <c r="R13" s="27">
        <v>61</v>
      </c>
      <c r="S13" s="27">
        <v>0</v>
      </c>
      <c r="T13" s="27">
        <v>1.2</v>
      </c>
      <c r="U13" s="27">
        <v>0</v>
      </c>
      <c r="V13" s="27">
        <v>0</v>
      </c>
      <c r="W13" s="27">
        <v>0</v>
      </c>
      <c r="X13" s="27">
        <v>0.2</v>
      </c>
      <c r="Y13" s="27">
        <v>0.1</v>
      </c>
      <c r="Z13" s="27">
        <v>0</v>
      </c>
      <c r="AA13" s="27">
        <v>0.4</v>
      </c>
      <c r="AB13" s="27">
        <v>0.5</v>
      </c>
      <c r="AC13" s="27">
        <v>5</v>
      </c>
      <c r="AD13" s="17">
        <v>32</v>
      </c>
      <c r="AE13" s="27">
        <v>156</v>
      </c>
      <c r="AF13" s="17">
        <v>115</v>
      </c>
      <c r="AG13" s="17">
        <v>90</v>
      </c>
      <c r="AH13" s="27">
        <v>11</v>
      </c>
      <c r="AI13" s="27">
        <v>0</v>
      </c>
      <c r="AJ13" s="27">
        <v>0.4</v>
      </c>
      <c r="AK13" s="27">
        <v>0</v>
      </c>
      <c r="AL13" s="27">
        <v>3.1</v>
      </c>
      <c r="AM13" s="27">
        <v>0</v>
      </c>
    </row>
    <row r="14" spans="1:39" x14ac:dyDescent="0.25">
      <c r="A14" s="10">
        <v>13</v>
      </c>
      <c r="B14" s="9" t="s">
        <v>98</v>
      </c>
      <c r="C14" s="9" t="s">
        <v>112</v>
      </c>
      <c r="D14" s="10">
        <v>1</v>
      </c>
      <c r="E14" s="11">
        <v>42</v>
      </c>
      <c r="F14" s="17">
        <v>89.9</v>
      </c>
      <c r="G14" s="17">
        <v>0.8</v>
      </c>
      <c r="H14" s="17">
        <v>3.4</v>
      </c>
      <c r="I14" s="17">
        <v>5</v>
      </c>
      <c r="J14" s="17">
        <v>5.2</v>
      </c>
      <c r="K14" s="17">
        <v>0</v>
      </c>
      <c r="L14" s="17">
        <v>1</v>
      </c>
      <c r="M14" s="19">
        <v>0.63</v>
      </c>
      <c r="N14" s="19">
        <v>0.28000000000000003</v>
      </c>
      <c r="O14" s="19">
        <v>0.04</v>
      </c>
      <c r="P14" s="22" t="s">
        <v>100</v>
      </c>
      <c r="Q14" s="17">
        <v>5</v>
      </c>
      <c r="R14" s="17">
        <v>14</v>
      </c>
      <c r="S14" s="17">
        <v>0</v>
      </c>
      <c r="T14" s="17">
        <v>0</v>
      </c>
      <c r="U14" s="17">
        <v>0</v>
      </c>
      <c r="V14" s="17">
        <v>0.1</v>
      </c>
      <c r="W14" s="17">
        <v>0</v>
      </c>
      <c r="X14" s="17">
        <v>0.2</v>
      </c>
      <c r="Y14" s="17">
        <v>0.1</v>
      </c>
      <c r="Z14" s="17">
        <v>0</v>
      </c>
      <c r="AA14" s="17">
        <v>0.4</v>
      </c>
      <c r="AB14" s="17">
        <v>0.5</v>
      </c>
      <c r="AC14" s="17">
        <v>5</v>
      </c>
      <c r="AD14" s="17">
        <v>44</v>
      </c>
      <c r="AE14" s="17">
        <v>150</v>
      </c>
      <c r="AF14" s="17">
        <v>125</v>
      </c>
      <c r="AG14" s="17">
        <v>95</v>
      </c>
      <c r="AH14" s="17">
        <v>11</v>
      </c>
      <c r="AI14" s="17">
        <v>0</v>
      </c>
      <c r="AJ14" s="17">
        <v>0.4</v>
      </c>
      <c r="AK14" s="17">
        <v>0</v>
      </c>
      <c r="AL14" s="17">
        <v>3.3</v>
      </c>
      <c r="AM14" s="27">
        <v>0</v>
      </c>
    </row>
    <row r="15" spans="1:39" x14ac:dyDescent="0.25">
      <c r="A15" s="10">
        <v>14</v>
      </c>
      <c r="B15" s="9" t="s">
        <v>98</v>
      </c>
      <c r="C15" s="9" t="s">
        <v>113</v>
      </c>
      <c r="D15" s="10">
        <v>2</v>
      </c>
      <c r="E15" s="11">
        <v>489</v>
      </c>
      <c r="F15" s="17">
        <v>3.2</v>
      </c>
      <c r="G15" s="17">
        <v>6.2</v>
      </c>
      <c r="H15" s="17">
        <v>28.6</v>
      </c>
      <c r="I15" s="17">
        <v>36.700000000000003</v>
      </c>
      <c r="J15" s="27">
        <v>36.700000000000003</v>
      </c>
      <c r="K15" s="17">
        <v>0</v>
      </c>
      <c r="L15" s="17">
        <v>25.3</v>
      </c>
      <c r="M15" s="19">
        <v>16.190000000000001</v>
      </c>
      <c r="N15" s="19">
        <v>7.62</v>
      </c>
      <c r="O15" s="19">
        <v>1.44</v>
      </c>
      <c r="P15" s="22" t="s">
        <v>100</v>
      </c>
      <c r="Q15" s="17">
        <v>80</v>
      </c>
      <c r="R15" s="17">
        <v>281.3</v>
      </c>
      <c r="S15" s="17">
        <v>9.4</v>
      </c>
      <c r="T15" s="27">
        <v>0.5</v>
      </c>
      <c r="U15" s="27">
        <v>0.6</v>
      </c>
      <c r="V15" s="27">
        <v>2.2000000000000002</v>
      </c>
      <c r="W15" s="17">
        <v>0.3</v>
      </c>
      <c r="X15" s="17">
        <v>2.1</v>
      </c>
      <c r="Y15" s="17">
        <v>0.6</v>
      </c>
      <c r="Z15" s="17">
        <v>0.3</v>
      </c>
      <c r="AA15" s="17">
        <v>2.2999999999999998</v>
      </c>
      <c r="AB15" s="17">
        <v>3.3</v>
      </c>
      <c r="AC15" s="17">
        <v>37.5</v>
      </c>
      <c r="AD15" s="17">
        <v>394.6</v>
      </c>
      <c r="AE15" s="17">
        <v>1307</v>
      </c>
      <c r="AF15" s="17">
        <v>912.5</v>
      </c>
      <c r="AG15" s="17">
        <v>775</v>
      </c>
      <c r="AH15" s="17">
        <v>84.4</v>
      </c>
      <c r="AI15" s="17">
        <v>0.5</v>
      </c>
      <c r="AJ15" s="17">
        <v>3.3</v>
      </c>
      <c r="AK15" s="27">
        <v>0.1</v>
      </c>
      <c r="AL15" s="27">
        <v>16.2</v>
      </c>
      <c r="AM15" s="27">
        <v>0</v>
      </c>
    </row>
    <row r="16" spans="1:39" x14ac:dyDescent="0.25">
      <c r="A16" s="10">
        <v>15</v>
      </c>
      <c r="B16" s="9" t="s">
        <v>98</v>
      </c>
      <c r="C16" s="9" t="s">
        <v>2</v>
      </c>
      <c r="D16" s="10">
        <v>1</v>
      </c>
      <c r="E16" s="11">
        <v>496</v>
      </c>
      <c r="F16" s="17">
        <v>2.5</v>
      </c>
      <c r="G16" s="17">
        <v>6.1</v>
      </c>
      <c r="H16" s="17">
        <v>26.3</v>
      </c>
      <c r="I16" s="17">
        <v>38.4</v>
      </c>
      <c r="J16" s="17">
        <v>38.4</v>
      </c>
      <c r="K16" s="17">
        <v>0</v>
      </c>
      <c r="L16" s="17">
        <v>26.7</v>
      </c>
      <c r="M16" s="19">
        <v>16.739999999999998</v>
      </c>
      <c r="N16" s="19">
        <v>7.92</v>
      </c>
      <c r="O16" s="19">
        <v>0.67</v>
      </c>
      <c r="P16" s="22" t="s">
        <v>100</v>
      </c>
      <c r="Q16" s="17">
        <v>97</v>
      </c>
      <c r="R16" s="17">
        <v>258</v>
      </c>
      <c r="S16" s="17">
        <v>8.6</v>
      </c>
      <c r="T16" s="17">
        <v>10.5</v>
      </c>
      <c r="U16" s="17">
        <v>0.6</v>
      </c>
      <c r="V16" s="17">
        <v>2.2000000000000002</v>
      </c>
      <c r="W16" s="17">
        <v>0.3</v>
      </c>
      <c r="X16" s="17">
        <v>1.2</v>
      </c>
      <c r="Y16" s="17">
        <v>0.7</v>
      </c>
      <c r="Z16" s="17">
        <v>0.3</v>
      </c>
      <c r="AA16" s="17">
        <v>2.2999999999999998</v>
      </c>
      <c r="AB16" s="17">
        <v>3.3</v>
      </c>
      <c r="AC16" s="17">
        <v>37</v>
      </c>
      <c r="AD16" s="17">
        <v>371</v>
      </c>
      <c r="AE16" s="17">
        <v>1330</v>
      </c>
      <c r="AF16" s="17">
        <v>912</v>
      </c>
      <c r="AG16" s="17">
        <v>776</v>
      </c>
      <c r="AH16" s="17">
        <v>85</v>
      </c>
      <c r="AI16" s="17">
        <v>0.5</v>
      </c>
      <c r="AJ16" s="17">
        <v>3.3</v>
      </c>
      <c r="AK16" s="17">
        <v>0.1</v>
      </c>
      <c r="AL16" s="17">
        <v>16.3</v>
      </c>
      <c r="AM16" s="27">
        <v>0</v>
      </c>
    </row>
    <row r="17" spans="1:39" x14ac:dyDescent="0.25">
      <c r="A17" s="10">
        <v>16</v>
      </c>
      <c r="B17" s="9" t="s">
        <v>98</v>
      </c>
      <c r="C17" s="9" t="s">
        <v>114</v>
      </c>
      <c r="D17" s="10">
        <v>2</v>
      </c>
      <c r="E17" s="11">
        <v>454</v>
      </c>
      <c r="F17" s="27">
        <v>4.2</v>
      </c>
      <c r="G17" s="27">
        <v>6.1</v>
      </c>
      <c r="H17" s="17">
        <v>29.1</v>
      </c>
      <c r="I17" s="17">
        <v>42.7</v>
      </c>
      <c r="J17" s="27">
        <v>38.4</v>
      </c>
      <c r="K17" s="17">
        <v>0</v>
      </c>
      <c r="L17" s="17">
        <v>17.899999999999999</v>
      </c>
      <c r="M17" s="19">
        <v>11.46</v>
      </c>
      <c r="N17" s="19">
        <v>5.39</v>
      </c>
      <c r="O17" s="19">
        <v>1.02</v>
      </c>
      <c r="P17" s="22" t="s">
        <v>100</v>
      </c>
      <c r="Q17" s="17">
        <v>32</v>
      </c>
      <c r="R17" s="27">
        <v>258</v>
      </c>
      <c r="S17" s="17">
        <v>75</v>
      </c>
      <c r="T17" s="27">
        <v>10.5</v>
      </c>
      <c r="U17" s="27">
        <v>0.6</v>
      </c>
      <c r="V17" s="27">
        <v>2.2000000000000002</v>
      </c>
      <c r="W17" s="27">
        <v>0.3</v>
      </c>
      <c r="X17" s="27">
        <v>1.2</v>
      </c>
      <c r="Y17" s="27">
        <v>0.6</v>
      </c>
      <c r="Z17" s="27">
        <v>0.3</v>
      </c>
      <c r="AA17" s="27">
        <v>2.2999999999999998</v>
      </c>
      <c r="AB17" s="27">
        <v>3.2</v>
      </c>
      <c r="AC17" s="27">
        <v>37</v>
      </c>
      <c r="AD17" s="27">
        <v>371</v>
      </c>
      <c r="AE17" s="27">
        <v>1330</v>
      </c>
      <c r="AF17" s="17">
        <v>1610</v>
      </c>
      <c r="AG17" s="17">
        <v>865</v>
      </c>
      <c r="AH17" s="27">
        <v>85</v>
      </c>
      <c r="AI17" s="17">
        <v>15</v>
      </c>
      <c r="AJ17" s="27">
        <v>3.3</v>
      </c>
      <c r="AK17" s="27">
        <v>0.1</v>
      </c>
      <c r="AL17" s="27">
        <v>16.3</v>
      </c>
      <c r="AM17" s="27">
        <v>0</v>
      </c>
    </row>
    <row r="18" spans="1:39" x14ac:dyDescent="0.25">
      <c r="A18" s="10">
        <v>17</v>
      </c>
      <c r="B18" s="9" t="s">
        <v>98</v>
      </c>
      <c r="C18" s="9" t="s">
        <v>115</v>
      </c>
      <c r="D18" s="10">
        <v>2</v>
      </c>
      <c r="E18" s="11">
        <v>406</v>
      </c>
      <c r="F18" s="17">
        <v>5.4</v>
      </c>
      <c r="G18" s="17">
        <v>7.1</v>
      </c>
      <c r="H18" s="17">
        <v>34.6</v>
      </c>
      <c r="I18" s="17">
        <v>41.8</v>
      </c>
      <c r="J18" s="27">
        <v>37.299999999999997</v>
      </c>
      <c r="K18" s="17">
        <v>0</v>
      </c>
      <c r="L18" s="17">
        <v>11.1</v>
      </c>
      <c r="M18" s="19">
        <v>7.1</v>
      </c>
      <c r="N18" s="19">
        <v>3.34</v>
      </c>
      <c r="O18" s="19">
        <v>0.63</v>
      </c>
      <c r="P18" s="22" t="s">
        <v>100</v>
      </c>
      <c r="Q18" s="17">
        <v>19.8</v>
      </c>
      <c r="R18" s="17">
        <v>111</v>
      </c>
      <c r="S18" s="27">
        <v>8.3000000000000007</v>
      </c>
      <c r="T18" s="27">
        <v>10.199999999999999</v>
      </c>
      <c r="U18" s="27">
        <v>0.6</v>
      </c>
      <c r="V18" s="27">
        <v>2.1</v>
      </c>
      <c r="W18" s="17">
        <v>0.2</v>
      </c>
      <c r="X18" s="17">
        <v>1.7</v>
      </c>
      <c r="Y18" s="27">
        <v>0.6</v>
      </c>
      <c r="Z18" s="27">
        <v>0.3</v>
      </c>
      <c r="AA18" s="27">
        <v>2.2000000000000002</v>
      </c>
      <c r="AB18" s="27">
        <v>3.2</v>
      </c>
      <c r="AC18" s="27">
        <v>35.9</v>
      </c>
      <c r="AD18" s="17">
        <v>534.9</v>
      </c>
      <c r="AE18" s="17">
        <v>1521.6</v>
      </c>
      <c r="AF18" s="27">
        <v>884.6</v>
      </c>
      <c r="AG18" s="17">
        <v>946</v>
      </c>
      <c r="AH18" s="27">
        <v>82.4</v>
      </c>
      <c r="AI18" s="27">
        <v>0.5</v>
      </c>
      <c r="AJ18" s="27">
        <v>3.2</v>
      </c>
      <c r="AK18" s="27">
        <v>0.1</v>
      </c>
      <c r="AL18" s="27">
        <v>15.8</v>
      </c>
      <c r="AM18" s="27">
        <v>0</v>
      </c>
    </row>
    <row r="19" spans="1:39" x14ac:dyDescent="0.25">
      <c r="A19" s="10">
        <v>18</v>
      </c>
      <c r="B19" s="9" t="s">
        <v>98</v>
      </c>
      <c r="C19" s="9" t="s">
        <v>116</v>
      </c>
      <c r="D19" s="10">
        <v>1</v>
      </c>
      <c r="E19" s="11">
        <v>358</v>
      </c>
      <c r="F19" s="17">
        <v>4</v>
      </c>
      <c r="G19" s="17">
        <v>8</v>
      </c>
      <c r="H19" s="17">
        <v>35.1</v>
      </c>
      <c r="I19" s="17">
        <v>52.2</v>
      </c>
      <c r="J19" s="17">
        <v>52.2</v>
      </c>
      <c r="K19" s="17">
        <v>0</v>
      </c>
      <c r="L19" s="17">
        <v>0.7</v>
      </c>
      <c r="M19" s="19">
        <v>0.47</v>
      </c>
      <c r="N19" s="19">
        <v>0.19</v>
      </c>
      <c r="O19" s="19">
        <v>0.03</v>
      </c>
      <c r="P19" s="22" t="s">
        <v>100</v>
      </c>
      <c r="Q19" s="17">
        <v>18</v>
      </c>
      <c r="R19" s="17">
        <v>4</v>
      </c>
      <c r="S19" s="17">
        <v>5.6</v>
      </c>
      <c r="T19" s="17">
        <v>0</v>
      </c>
      <c r="U19" s="17">
        <v>0</v>
      </c>
      <c r="V19" s="17">
        <v>0</v>
      </c>
      <c r="W19" s="17">
        <v>0.4</v>
      </c>
      <c r="X19" s="17">
        <v>1.7</v>
      </c>
      <c r="Y19" s="17">
        <v>0.9</v>
      </c>
      <c r="Z19" s="17">
        <v>0.4</v>
      </c>
      <c r="AA19" s="17">
        <v>3.2</v>
      </c>
      <c r="AB19" s="17">
        <v>4</v>
      </c>
      <c r="AC19" s="17">
        <v>50</v>
      </c>
      <c r="AD19" s="17">
        <v>549</v>
      </c>
      <c r="AE19" s="17">
        <v>1705</v>
      </c>
      <c r="AF19" s="17">
        <v>1231</v>
      </c>
      <c r="AG19" s="17">
        <v>985</v>
      </c>
      <c r="AH19" s="17">
        <v>117</v>
      </c>
      <c r="AI19" s="17">
        <v>0.3</v>
      </c>
      <c r="AJ19" s="17">
        <v>4.4000000000000004</v>
      </c>
      <c r="AK19" s="17">
        <v>0</v>
      </c>
      <c r="AL19" s="17">
        <v>27.3</v>
      </c>
      <c r="AM19" s="27">
        <v>0</v>
      </c>
    </row>
    <row r="20" spans="1:39" x14ac:dyDescent="0.25">
      <c r="A20" s="10">
        <v>19</v>
      </c>
      <c r="B20" s="9" t="s">
        <v>98</v>
      </c>
      <c r="C20" s="9" t="s">
        <v>117</v>
      </c>
      <c r="D20" s="10">
        <v>4</v>
      </c>
      <c r="E20" s="11">
        <v>349</v>
      </c>
      <c r="F20" s="27">
        <v>6.8</v>
      </c>
      <c r="G20" s="27">
        <v>7.9</v>
      </c>
      <c r="H20" s="17">
        <v>31</v>
      </c>
      <c r="I20" s="17">
        <v>52.8</v>
      </c>
      <c r="J20" s="17">
        <v>52.5</v>
      </c>
      <c r="K20" s="27">
        <v>0</v>
      </c>
      <c r="L20" s="17">
        <v>1.5</v>
      </c>
      <c r="M20" s="19">
        <v>0.9</v>
      </c>
      <c r="N20" s="19">
        <v>0.2</v>
      </c>
      <c r="O20" s="19">
        <v>0.03</v>
      </c>
      <c r="P20" s="19">
        <v>0.1</v>
      </c>
      <c r="Q20" s="17">
        <v>20</v>
      </c>
      <c r="R20" s="17">
        <v>450</v>
      </c>
      <c r="S20" s="17">
        <v>85</v>
      </c>
      <c r="T20" s="17">
        <v>6</v>
      </c>
      <c r="U20" s="17">
        <v>18</v>
      </c>
      <c r="V20" s="17">
        <v>100</v>
      </c>
      <c r="W20" s="27">
        <v>0.4</v>
      </c>
      <c r="X20" s="27">
        <v>1.6</v>
      </c>
      <c r="Y20" s="27">
        <v>1</v>
      </c>
      <c r="Z20" s="27">
        <v>0.4</v>
      </c>
      <c r="AA20" s="27">
        <v>3.6</v>
      </c>
      <c r="AB20" s="27">
        <v>4</v>
      </c>
      <c r="AC20" s="27">
        <v>50</v>
      </c>
      <c r="AD20" s="17">
        <v>450</v>
      </c>
      <c r="AE20" s="27">
        <v>1794</v>
      </c>
      <c r="AF20" s="17">
        <v>2000</v>
      </c>
      <c r="AG20" s="17">
        <v>900</v>
      </c>
      <c r="AH20" s="17">
        <v>240</v>
      </c>
      <c r="AI20" s="17">
        <v>17</v>
      </c>
      <c r="AJ20" s="17">
        <v>10</v>
      </c>
      <c r="AK20" s="27">
        <v>0</v>
      </c>
      <c r="AL20" s="27">
        <v>27.3</v>
      </c>
      <c r="AM20" s="27">
        <v>0</v>
      </c>
    </row>
    <row r="21" spans="1:39" x14ac:dyDescent="0.25">
      <c r="A21" s="10">
        <v>20</v>
      </c>
      <c r="B21" s="9" t="s">
        <v>98</v>
      </c>
      <c r="C21" s="9" t="s">
        <v>118</v>
      </c>
      <c r="D21" s="10">
        <v>4</v>
      </c>
      <c r="E21" s="11">
        <v>454</v>
      </c>
      <c r="F21" s="22" t="s">
        <v>100</v>
      </c>
      <c r="G21" s="22" t="s">
        <v>100</v>
      </c>
      <c r="H21" s="17">
        <v>19.399999999999999</v>
      </c>
      <c r="I21" s="17">
        <v>51.2</v>
      </c>
      <c r="J21" s="17">
        <v>36.799999999999997</v>
      </c>
      <c r="K21" s="17">
        <v>1.7</v>
      </c>
      <c r="L21" s="17">
        <v>19.100000000000001</v>
      </c>
      <c r="M21" s="19">
        <v>7.9</v>
      </c>
      <c r="N21" s="19">
        <v>8.3000000000000007</v>
      </c>
      <c r="O21" s="19">
        <v>2.9</v>
      </c>
      <c r="P21" s="19">
        <v>0</v>
      </c>
      <c r="Q21" s="17">
        <v>56.3</v>
      </c>
      <c r="R21" s="17">
        <v>538</v>
      </c>
      <c r="S21" s="17">
        <v>65.8</v>
      </c>
      <c r="T21" s="17">
        <v>8.6</v>
      </c>
      <c r="U21" s="17">
        <v>10.199999999999999</v>
      </c>
      <c r="V21" s="22" t="s">
        <v>100</v>
      </c>
      <c r="W21" s="17">
        <v>0.4</v>
      </c>
      <c r="X21" s="17">
        <v>0.7</v>
      </c>
      <c r="Y21" s="17">
        <v>5.9</v>
      </c>
      <c r="Z21" s="17">
        <v>0.8</v>
      </c>
      <c r="AA21" s="22" t="s">
        <v>100</v>
      </c>
      <c r="AB21" s="17">
        <v>1.9</v>
      </c>
      <c r="AC21" s="17">
        <v>167</v>
      </c>
      <c r="AD21" s="17">
        <v>207</v>
      </c>
      <c r="AE21" s="22" t="s">
        <v>100</v>
      </c>
      <c r="AF21" s="17">
        <v>1066</v>
      </c>
      <c r="AG21" s="17">
        <v>644</v>
      </c>
      <c r="AH21" s="17">
        <v>92.6</v>
      </c>
      <c r="AI21" s="17">
        <v>7.1</v>
      </c>
      <c r="AJ21" s="17">
        <v>6.7</v>
      </c>
      <c r="AK21" s="17">
        <v>0.3</v>
      </c>
      <c r="AL21" s="22" t="s">
        <v>100</v>
      </c>
      <c r="AM21" s="27">
        <v>0</v>
      </c>
    </row>
    <row r="22" spans="1:39" x14ac:dyDescent="0.25">
      <c r="A22" s="10">
        <v>21</v>
      </c>
      <c r="B22" s="9" t="s">
        <v>98</v>
      </c>
      <c r="C22" s="9" t="s">
        <v>119</v>
      </c>
      <c r="D22" s="10">
        <v>1</v>
      </c>
      <c r="E22" s="11">
        <v>321</v>
      </c>
      <c r="F22" s="17">
        <v>27.2</v>
      </c>
      <c r="G22" s="17">
        <v>1.8</v>
      </c>
      <c r="H22" s="17">
        <v>7.9</v>
      </c>
      <c r="I22" s="17">
        <v>54.4</v>
      </c>
      <c r="J22" s="17">
        <v>54.4</v>
      </c>
      <c r="K22" s="17">
        <v>0</v>
      </c>
      <c r="L22" s="17">
        <v>8.6999999999999993</v>
      </c>
      <c r="M22" s="19">
        <v>5.49</v>
      </c>
      <c r="N22" s="19">
        <v>2.4300000000000002</v>
      </c>
      <c r="O22" s="19">
        <v>0.34</v>
      </c>
      <c r="P22" s="22" t="s">
        <v>100</v>
      </c>
      <c r="Q22" s="17">
        <v>34</v>
      </c>
      <c r="R22" s="17">
        <v>74</v>
      </c>
      <c r="S22" s="17">
        <v>2.6</v>
      </c>
      <c r="T22" s="17">
        <v>0.2</v>
      </c>
      <c r="U22" s="17">
        <v>0.2</v>
      </c>
      <c r="V22" s="17">
        <v>0.6</v>
      </c>
      <c r="W22" s="17">
        <v>0.1</v>
      </c>
      <c r="X22" s="17">
        <v>0.4</v>
      </c>
      <c r="Y22" s="17">
        <v>0.2</v>
      </c>
      <c r="Z22" s="17">
        <v>0.1</v>
      </c>
      <c r="AA22" s="17">
        <v>0.8</v>
      </c>
      <c r="AB22" s="17">
        <v>0.4</v>
      </c>
      <c r="AC22" s="17">
        <v>11</v>
      </c>
      <c r="AD22" s="17">
        <v>127</v>
      </c>
      <c r="AE22" s="17">
        <v>371</v>
      </c>
      <c r="AF22" s="17">
        <v>284</v>
      </c>
      <c r="AG22" s="17">
        <v>253</v>
      </c>
      <c r="AH22" s="17">
        <v>26</v>
      </c>
      <c r="AI22" s="17">
        <v>0.2</v>
      </c>
      <c r="AJ22" s="17">
        <v>0.9</v>
      </c>
      <c r="AK22" s="17">
        <v>0</v>
      </c>
      <c r="AL22" s="17">
        <v>14.8</v>
      </c>
      <c r="AM22" s="27">
        <v>0</v>
      </c>
    </row>
    <row r="23" spans="1:39" x14ac:dyDescent="0.25">
      <c r="A23" s="10">
        <v>22</v>
      </c>
      <c r="B23" s="9" t="s">
        <v>98</v>
      </c>
      <c r="C23" s="9" t="s">
        <v>120</v>
      </c>
      <c r="D23" s="10">
        <v>1</v>
      </c>
      <c r="E23" s="11">
        <v>134</v>
      </c>
      <c r="F23" s="17">
        <v>74</v>
      </c>
      <c r="G23" s="17">
        <v>1.6</v>
      </c>
      <c r="H23" s="17">
        <v>6.8</v>
      </c>
      <c r="I23" s="17">
        <v>10</v>
      </c>
      <c r="J23" s="17">
        <v>10</v>
      </c>
      <c r="K23" s="17">
        <v>0</v>
      </c>
      <c r="L23" s="17">
        <v>7.6</v>
      </c>
      <c r="M23" s="19">
        <v>4.59</v>
      </c>
      <c r="N23" s="19">
        <v>2.34</v>
      </c>
      <c r="O23" s="19">
        <v>0.25</v>
      </c>
      <c r="P23" s="22" t="s">
        <v>100</v>
      </c>
      <c r="Q23" s="17">
        <v>29</v>
      </c>
      <c r="R23" s="17">
        <v>65</v>
      </c>
      <c r="S23" s="17">
        <v>1.9</v>
      </c>
      <c r="T23" s="17">
        <v>2</v>
      </c>
      <c r="U23" s="17">
        <v>0.1</v>
      </c>
      <c r="V23" s="17">
        <v>0.5</v>
      </c>
      <c r="W23" s="17">
        <v>0.1</v>
      </c>
      <c r="X23" s="17">
        <v>0.3</v>
      </c>
      <c r="Y23" s="17">
        <v>0.2</v>
      </c>
      <c r="Z23" s="17">
        <v>0.1</v>
      </c>
      <c r="AA23" s="17">
        <v>0.6</v>
      </c>
      <c r="AB23" s="17">
        <v>0.2</v>
      </c>
      <c r="AC23" s="17">
        <v>8</v>
      </c>
      <c r="AD23" s="17">
        <v>106</v>
      </c>
      <c r="AE23" s="17">
        <v>303</v>
      </c>
      <c r="AF23" s="17">
        <v>261</v>
      </c>
      <c r="AG23" s="17">
        <v>203</v>
      </c>
      <c r="AH23" s="17">
        <v>24</v>
      </c>
      <c r="AI23" s="17">
        <v>0.2</v>
      </c>
      <c r="AJ23" s="17">
        <v>0.8</v>
      </c>
      <c r="AK23" s="17">
        <v>0</v>
      </c>
      <c r="AL23" s="17">
        <v>2.2999999999999998</v>
      </c>
      <c r="AM23" s="27">
        <v>0</v>
      </c>
    </row>
    <row r="24" spans="1:39" x14ac:dyDescent="0.25">
      <c r="A24" s="10">
        <v>23</v>
      </c>
      <c r="B24" s="9" t="s">
        <v>98</v>
      </c>
      <c r="C24" s="9" t="s">
        <v>121</v>
      </c>
      <c r="D24" s="10">
        <v>1</v>
      </c>
      <c r="E24" s="11">
        <v>103</v>
      </c>
      <c r="F24" s="17">
        <v>79</v>
      </c>
      <c r="G24" s="27">
        <v>1.3</v>
      </c>
      <c r="H24" s="17">
        <v>12.5</v>
      </c>
      <c r="I24" s="17">
        <v>2.7</v>
      </c>
      <c r="J24" s="27">
        <v>2.7</v>
      </c>
      <c r="K24" s="17">
        <v>0</v>
      </c>
      <c r="L24" s="17">
        <v>4.5</v>
      </c>
      <c r="M24" s="19">
        <v>2.85</v>
      </c>
      <c r="N24" s="19">
        <v>1.29</v>
      </c>
      <c r="O24" s="19">
        <v>0.14000000000000001</v>
      </c>
      <c r="P24" s="22" t="s">
        <v>100</v>
      </c>
      <c r="Q24" s="17">
        <v>14.9</v>
      </c>
      <c r="R24" s="17">
        <v>48.1</v>
      </c>
      <c r="S24" s="17">
        <v>0</v>
      </c>
      <c r="T24" s="27">
        <v>0</v>
      </c>
      <c r="U24" s="17">
        <v>0.6</v>
      </c>
      <c r="V24" s="27">
        <v>0.1</v>
      </c>
      <c r="W24" s="17">
        <v>0</v>
      </c>
      <c r="X24" s="17">
        <v>0.2</v>
      </c>
      <c r="Y24" s="17">
        <v>0.1</v>
      </c>
      <c r="Z24" s="17">
        <v>0.1</v>
      </c>
      <c r="AA24" s="17">
        <v>0.2</v>
      </c>
      <c r="AB24" s="17">
        <v>0.6</v>
      </c>
      <c r="AC24" s="17">
        <v>12.2</v>
      </c>
      <c r="AD24" s="17">
        <v>405</v>
      </c>
      <c r="AE24" s="17">
        <v>84.3</v>
      </c>
      <c r="AF24" s="17">
        <v>60</v>
      </c>
      <c r="AG24" s="17">
        <v>131</v>
      </c>
      <c r="AH24" s="17">
        <v>5.2</v>
      </c>
      <c r="AI24" s="17">
        <v>0.1</v>
      </c>
      <c r="AJ24" s="17">
        <v>0.4</v>
      </c>
      <c r="AK24" s="17">
        <v>0</v>
      </c>
      <c r="AL24" s="17">
        <v>6</v>
      </c>
      <c r="AM24" s="27">
        <v>0</v>
      </c>
    </row>
    <row r="25" spans="1:39" x14ac:dyDescent="0.25">
      <c r="A25" s="10">
        <v>24</v>
      </c>
      <c r="B25" s="9" t="s">
        <v>98</v>
      </c>
      <c r="C25" s="9" t="s">
        <v>122</v>
      </c>
      <c r="D25" s="10">
        <v>4</v>
      </c>
      <c r="E25" s="11">
        <v>85</v>
      </c>
      <c r="F25" s="27">
        <v>78.7</v>
      </c>
      <c r="G25" s="27">
        <v>1.7</v>
      </c>
      <c r="H25" s="17">
        <v>13.9</v>
      </c>
      <c r="I25" s="17">
        <v>4.4000000000000004</v>
      </c>
      <c r="J25" s="17">
        <v>3.8</v>
      </c>
      <c r="K25" s="27">
        <v>0</v>
      </c>
      <c r="L25" s="17">
        <v>1.3</v>
      </c>
      <c r="M25" s="19">
        <v>0.83</v>
      </c>
      <c r="N25" s="19">
        <v>0.38</v>
      </c>
      <c r="O25" s="19">
        <v>0.03</v>
      </c>
      <c r="P25" s="19">
        <v>0.06</v>
      </c>
      <c r="Q25" s="17">
        <v>4</v>
      </c>
      <c r="R25" s="27">
        <v>2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0.2</v>
      </c>
      <c r="Y25" s="27">
        <v>0.1</v>
      </c>
      <c r="Z25" s="27">
        <v>0</v>
      </c>
      <c r="AA25" s="27">
        <v>0.4</v>
      </c>
      <c r="AB25" s="27">
        <v>0.5</v>
      </c>
      <c r="AC25" s="27">
        <v>9</v>
      </c>
      <c r="AD25" s="17">
        <v>260</v>
      </c>
      <c r="AE25" s="27">
        <v>137</v>
      </c>
      <c r="AF25" s="17">
        <v>434</v>
      </c>
      <c r="AG25" s="27">
        <v>190</v>
      </c>
      <c r="AH25" s="27">
        <v>11</v>
      </c>
      <c r="AI25" s="27">
        <v>0.1</v>
      </c>
      <c r="AJ25" s="27">
        <v>0.5</v>
      </c>
      <c r="AK25" s="27">
        <v>0</v>
      </c>
      <c r="AL25" s="27">
        <v>9.4</v>
      </c>
      <c r="AM25" s="27">
        <v>0</v>
      </c>
    </row>
    <row r="26" spans="1:39" x14ac:dyDescent="0.25">
      <c r="A26" s="10">
        <v>25</v>
      </c>
      <c r="B26" s="9" t="s">
        <v>98</v>
      </c>
      <c r="C26" s="9" t="s">
        <v>123</v>
      </c>
      <c r="D26" s="10">
        <v>4</v>
      </c>
      <c r="E26" s="11">
        <v>151</v>
      </c>
      <c r="F26" s="27">
        <v>72.2</v>
      </c>
      <c r="G26" s="27">
        <v>1.3</v>
      </c>
      <c r="H26" s="17">
        <v>13</v>
      </c>
      <c r="I26" s="17">
        <v>4.5</v>
      </c>
      <c r="J26" s="17">
        <v>3.8</v>
      </c>
      <c r="K26" s="27">
        <v>0</v>
      </c>
      <c r="L26" s="17">
        <v>9</v>
      </c>
      <c r="M26" s="19">
        <v>5.76</v>
      </c>
      <c r="N26" s="19">
        <v>2.62</v>
      </c>
      <c r="O26" s="19">
        <v>0.23</v>
      </c>
      <c r="P26" s="19">
        <v>0.39</v>
      </c>
      <c r="Q26" s="17">
        <v>29</v>
      </c>
      <c r="R26" s="27">
        <v>68</v>
      </c>
      <c r="S26" s="27">
        <v>0</v>
      </c>
      <c r="T26" s="27">
        <v>0</v>
      </c>
      <c r="U26" s="27">
        <v>0.1</v>
      </c>
      <c r="V26" s="27">
        <v>0</v>
      </c>
      <c r="W26" s="27">
        <v>0</v>
      </c>
      <c r="X26" s="27">
        <v>0.3</v>
      </c>
      <c r="Y26" s="27">
        <v>0.1</v>
      </c>
      <c r="Z26" s="27">
        <v>0.1</v>
      </c>
      <c r="AA26" s="27">
        <v>0.5</v>
      </c>
      <c r="AB26" s="27">
        <v>0.5</v>
      </c>
      <c r="AC26" s="27">
        <v>8</v>
      </c>
      <c r="AD26" s="17">
        <v>51</v>
      </c>
      <c r="AE26" s="27">
        <v>125</v>
      </c>
      <c r="AF26" s="17">
        <v>420</v>
      </c>
      <c r="AG26" s="27">
        <v>150</v>
      </c>
      <c r="AH26" s="27">
        <v>9</v>
      </c>
      <c r="AI26" s="27">
        <v>0.1</v>
      </c>
      <c r="AJ26" s="27">
        <v>0.5</v>
      </c>
      <c r="AK26" s="27">
        <v>0</v>
      </c>
      <c r="AL26" s="27">
        <v>11.9</v>
      </c>
      <c r="AM26" s="27">
        <v>0</v>
      </c>
    </row>
    <row r="27" spans="1:39" x14ac:dyDescent="0.25">
      <c r="A27" s="10">
        <v>26</v>
      </c>
      <c r="B27" s="9" t="s">
        <v>98</v>
      </c>
      <c r="C27" s="9" t="s">
        <v>124</v>
      </c>
      <c r="D27" s="10">
        <v>1</v>
      </c>
      <c r="E27" s="11">
        <v>364</v>
      </c>
      <c r="F27" s="17">
        <v>45.5</v>
      </c>
      <c r="G27" s="17">
        <v>2.9</v>
      </c>
      <c r="H27" s="17">
        <v>21.6</v>
      </c>
      <c r="I27" s="17">
        <v>0.1</v>
      </c>
      <c r="J27" s="17">
        <v>0.1</v>
      </c>
      <c r="K27" s="17">
        <v>0</v>
      </c>
      <c r="L27" s="17">
        <v>29.8</v>
      </c>
      <c r="M27" s="19">
        <v>20.64</v>
      </c>
      <c r="N27" s="19">
        <v>6.81</v>
      </c>
      <c r="O27" s="19">
        <v>0.71</v>
      </c>
      <c r="P27" s="22" t="s">
        <v>100</v>
      </c>
      <c r="Q27" s="17">
        <v>79</v>
      </c>
      <c r="R27" s="17">
        <v>407</v>
      </c>
      <c r="S27" s="17">
        <v>0</v>
      </c>
      <c r="T27" s="17">
        <v>0.5</v>
      </c>
      <c r="U27" s="17">
        <v>0.3</v>
      </c>
      <c r="V27" s="17">
        <v>2.5</v>
      </c>
      <c r="W27" s="17">
        <v>0.1</v>
      </c>
      <c r="X27" s="17">
        <v>0.7</v>
      </c>
      <c r="Y27" s="17">
        <v>1.2</v>
      </c>
      <c r="Z27" s="17">
        <v>0.1</v>
      </c>
      <c r="AA27" s="17">
        <v>0.19</v>
      </c>
      <c r="AB27" s="17">
        <v>0.2</v>
      </c>
      <c r="AC27" s="17">
        <v>2</v>
      </c>
      <c r="AD27" s="17">
        <v>415</v>
      </c>
      <c r="AE27" s="17">
        <v>158</v>
      </c>
      <c r="AF27" s="17">
        <v>298</v>
      </c>
      <c r="AG27" s="17">
        <v>375</v>
      </c>
      <c r="AH27" s="17">
        <v>29</v>
      </c>
      <c r="AI27" s="17">
        <v>1.6</v>
      </c>
      <c r="AJ27" s="17">
        <v>0.7</v>
      </c>
      <c r="AK27" s="17">
        <v>0.6</v>
      </c>
      <c r="AL27" s="17">
        <v>3.8</v>
      </c>
      <c r="AM27" s="27">
        <v>0</v>
      </c>
    </row>
    <row r="28" spans="1:39" x14ac:dyDescent="0.25">
      <c r="A28" s="10">
        <v>27</v>
      </c>
      <c r="B28" s="9" t="s">
        <v>98</v>
      </c>
      <c r="C28" s="9" t="s">
        <v>125</v>
      </c>
      <c r="D28" s="10">
        <v>3</v>
      </c>
      <c r="E28" s="11">
        <v>356</v>
      </c>
      <c r="F28" s="17">
        <v>42.8</v>
      </c>
      <c r="G28" s="17">
        <v>3.3</v>
      </c>
      <c r="H28" s="17">
        <v>20.8</v>
      </c>
      <c r="I28" s="17">
        <v>5.0999999999999996</v>
      </c>
      <c r="J28" s="17">
        <v>0.1</v>
      </c>
      <c r="K28" s="17">
        <v>0</v>
      </c>
      <c r="L28" s="17">
        <v>28</v>
      </c>
      <c r="M28" s="19">
        <v>16.34</v>
      </c>
      <c r="N28" s="19">
        <v>8.82</v>
      </c>
      <c r="O28" s="19">
        <v>0.44</v>
      </c>
      <c r="P28" s="19">
        <v>0.9</v>
      </c>
      <c r="Q28" s="17">
        <v>83</v>
      </c>
      <c r="R28" s="27">
        <v>161.19999999999999</v>
      </c>
      <c r="S28" s="27">
        <v>0</v>
      </c>
      <c r="T28" s="27">
        <v>0.5</v>
      </c>
      <c r="U28" s="27">
        <v>0.2</v>
      </c>
      <c r="V28" s="27">
        <v>2.2000000000000002</v>
      </c>
      <c r="W28" s="27">
        <v>0</v>
      </c>
      <c r="X28" s="27">
        <v>0.3</v>
      </c>
      <c r="Y28" s="27">
        <v>0.1</v>
      </c>
      <c r="Z28" s="27">
        <v>0.1</v>
      </c>
      <c r="AA28" s="27">
        <v>0.3</v>
      </c>
      <c r="AB28" s="27">
        <v>1.5</v>
      </c>
      <c r="AC28" s="27">
        <v>20.5</v>
      </c>
      <c r="AD28" s="17">
        <v>536</v>
      </c>
      <c r="AE28" s="27">
        <v>118.2</v>
      </c>
      <c r="AF28" s="17">
        <v>822</v>
      </c>
      <c r="AG28" s="27">
        <v>533.5</v>
      </c>
      <c r="AH28" s="27">
        <v>28.3</v>
      </c>
      <c r="AI28" s="27">
        <v>0.2</v>
      </c>
      <c r="AJ28" s="27">
        <v>3.8</v>
      </c>
      <c r="AK28" s="27">
        <v>0</v>
      </c>
      <c r="AL28" s="27">
        <v>14.2</v>
      </c>
      <c r="AM28" s="27">
        <v>0</v>
      </c>
    </row>
    <row r="29" spans="1:39" x14ac:dyDescent="0.25">
      <c r="A29" s="10">
        <v>28</v>
      </c>
      <c r="B29" s="9" t="s">
        <v>98</v>
      </c>
      <c r="C29" s="9" t="s">
        <v>126</v>
      </c>
      <c r="D29" s="10">
        <v>1</v>
      </c>
      <c r="E29" s="11">
        <v>404</v>
      </c>
      <c r="F29" s="17">
        <v>37</v>
      </c>
      <c r="G29" s="17">
        <v>3.7</v>
      </c>
      <c r="H29" s="17">
        <v>22.9</v>
      </c>
      <c r="I29" s="17">
        <v>3.1</v>
      </c>
      <c r="J29" s="17">
        <v>0.5</v>
      </c>
      <c r="K29" s="17">
        <v>0</v>
      </c>
      <c r="L29" s="17">
        <v>33.299999999999997</v>
      </c>
      <c r="M29" s="19">
        <v>18.87</v>
      </c>
      <c r="N29" s="19">
        <v>9.25</v>
      </c>
      <c r="O29" s="19">
        <v>1.42</v>
      </c>
      <c r="P29" s="28">
        <v>1.1599999999999999</v>
      </c>
      <c r="Q29" s="17">
        <v>99</v>
      </c>
      <c r="R29" s="17">
        <v>330</v>
      </c>
      <c r="S29" s="17">
        <v>0</v>
      </c>
      <c r="T29" s="17">
        <v>0.6</v>
      </c>
      <c r="U29" s="17">
        <v>0.7</v>
      </c>
      <c r="V29" s="17">
        <v>2.4</v>
      </c>
      <c r="W29" s="17">
        <v>0</v>
      </c>
      <c r="X29" s="17">
        <v>0.4</v>
      </c>
      <c r="Y29" s="17">
        <v>0.1</v>
      </c>
      <c r="Z29" s="17">
        <v>0.1</v>
      </c>
      <c r="AA29" s="17">
        <v>0.41</v>
      </c>
      <c r="AB29" s="17">
        <v>1.1000000000000001</v>
      </c>
      <c r="AC29" s="17">
        <v>27</v>
      </c>
      <c r="AD29" s="17">
        <v>653</v>
      </c>
      <c r="AE29" s="17">
        <v>76</v>
      </c>
      <c r="AF29" s="17">
        <v>710</v>
      </c>
      <c r="AG29" s="17">
        <v>455</v>
      </c>
      <c r="AH29" s="17">
        <v>27</v>
      </c>
      <c r="AI29" s="17">
        <v>0.1</v>
      </c>
      <c r="AJ29" s="17">
        <v>3.6</v>
      </c>
      <c r="AK29" s="17">
        <v>0</v>
      </c>
      <c r="AL29" s="17">
        <v>28.5</v>
      </c>
      <c r="AM29" s="27">
        <v>0</v>
      </c>
    </row>
    <row r="30" spans="1:39" x14ac:dyDescent="0.25">
      <c r="A30" s="10">
        <v>29</v>
      </c>
      <c r="B30" s="9" t="s">
        <v>98</v>
      </c>
      <c r="C30" s="9" t="s">
        <v>127</v>
      </c>
      <c r="D30" s="10">
        <v>1</v>
      </c>
      <c r="E30" s="11">
        <v>350</v>
      </c>
      <c r="F30" s="17">
        <v>52.6</v>
      </c>
      <c r="G30" s="17">
        <v>1.3</v>
      </c>
      <c r="H30" s="17">
        <v>6.2</v>
      </c>
      <c r="I30" s="17">
        <v>5.5</v>
      </c>
      <c r="J30" s="17">
        <v>3.8</v>
      </c>
      <c r="K30" s="17">
        <v>0</v>
      </c>
      <c r="L30" s="17">
        <v>34.4</v>
      </c>
      <c r="M30" s="19">
        <v>20.21</v>
      </c>
      <c r="N30" s="19">
        <v>8.91</v>
      </c>
      <c r="O30" s="19">
        <v>1.48</v>
      </c>
      <c r="P30" s="28">
        <v>1.17</v>
      </c>
      <c r="Q30" s="17">
        <v>101</v>
      </c>
      <c r="R30" s="17">
        <v>308</v>
      </c>
      <c r="S30" s="17">
        <v>0</v>
      </c>
      <c r="T30" s="17">
        <v>0</v>
      </c>
      <c r="U30" s="17">
        <v>0.9</v>
      </c>
      <c r="V30" s="17">
        <v>2.1</v>
      </c>
      <c r="W30" s="17">
        <v>0</v>
      </c>
      <c r="X30" s="17">
        <v>0.2</v>
      </c>
      <c r="Y30" s="17">
        <v>0.1</v>
      </c>
      <c r="Z30" s="17">
        <v>0.1</v>
      </c>
      <c r="AA30" s="17">
        <v>0.52</v>
      </c>
      <c r="AB30" s="17">
        <v>0.2</v>
      </c>
      <c r="AC30" s="17">
        <v>9</v>
      </c>
      <c r="AD30" s="17">
        <v>314</v>
      </c>
      <c r="AE30" s="17">
        <v>132</v>
      </c>
      <c r="AF30" s="17">
        <v>97</v>
      </c>
      <c r="AG30" s="17">
        <v>107</v>
      </c>
      <c r="AH30" s="17">
        <v>9</v>
      </c>
      <c r="AI30" s="17">
        <v>0.1</v>
      </c>
      <c r="AJ30" s="17">
        <v>0.5</v>
      </c>
      <c r="AK30" s="17">
        <v>0</v>
      </c>
      <c r="AL30" s="17">
        <v>8.6</v>
      </c>
      <c r="AM30" s="27">
        <v>0</v>
      </c>
    </row>
    <row r="31" spans="1:39" x14ac:dyDescent="0.25">
      <c r="A31" s="10">
        <v>30</v>
      </c>
      <c r="B31" s="9" t="s">
        <v>98</v>
      </c>
      <c r="C31" s="9" t="s">
        <v>128</v>
      </c>
      <c r="D31" s="10">
        <v>3</v>
      </c>
      <c r="E31" s="11">
        <v>218</v>
      </c>
      <c r="F31" s="17">
        <v>61.6</v>
      </c>
      <c r="G31" s="17">
        <v>3.5</v>
      </c>
      <c r="H31" s="17">
        <v>12</v>
      </c>
      <c r="I31" s="17">
        <v>7.3</v>
      </c>
      <c r="J31" s="17">
        <v>0</v>
      </c>
      <c r="K31" s="17">
        <v>0</v>
      </c>
      <c r="L31" s="17">
        <v>15.6</v>
      </c>
      <c r="M31" s="19">
        <v>9.85</v>
      </c>
      <c r="N31" s="19">
        <v>3.94</v>
      </c>
      <c r="O31" s="19">
        <v>0.25</v>
      </c>
      <c r="P31" s="19">
        <v>0.7</v>
      </c>
      <c r="Q31" s="17">
        <v>58.3</v>
      </c>
      <c r="R31" s="27">
        <v>249.6</v>
      </c>
      <c r="S31" s="27">
        <v>0</v>
      </c>
      <c r="T31" s="27">
        <v>0</v>
      </c>
      <c r="U31" s="27">
        <v>0.7</v>
      </c>
      <c r="V31" s="27">
        <v>1.7</v>
      </c>
      <c r="W31" s="27">
        <v>0</v>
      </c>
      <c r="X31" s="27">
        <v>0.2</v>
      </c>
      <c r="Y31" s="27">
        <v>0.1</v>
      </c>
      <c r="Z31" s="27">
        <v>0</v>
      </c>
      <c r="AA31" s="27">
        <v>0.4</v>
      </c>
      <c r="AB31" s="27">
        <v>0.2</v>
      </c>
      <c r="AC31" s="27">
        <v>7.3</v>
      </c>
      <c r="AD31" s="17">
        <v>763</v>
      </c>
      <c r="AE31" s="27">
        <v>107</v>
      </c>
      <c r="AF31" s="17">
        <v>430</v>
      </c>
      <c r="AG31" s="27">
        <v>86.7</v>
      </c>
      <c r="AH31" s="27">
        <v>7.3</v>
      </c>
      <c r="AI31" s="27">
        <v>0.1</v>
      </c>
      <c r="AJ31" s="27">
        <v>0.4</v>
      </c>
      <c r="AK31" s="27">
        <v>0</v>
      </c>
      <c r="AL31" s="27">
        <v>7</v>
      </c>
      <c r="AM31" s="27">
        <v>0</v>
      </c>
    </row>
    <row r="32" spans="1:39" x14ac:dyDescent="0.25">
      <c r="A32" s="10">
        <v>31</v>
      </c>
      <c r="B32" s="9" t="s">
        <v>98</v>
      </c>
      <c r="C32" s="9" t="s">
        <v>129</v>
      </c>
      <c r="D32" s="10">
        <v>3</v>
      </c>
      <c r="E32" s="11">
        <v>228</v>
      </c>
      <c r="F32" s="17">
        <v>61.7</v>
      </c>
      <c r="G32" s="17">
        <v>2.7</v>
      </c>
      <c r="H32" s="17">
        <v>16.899999999999999</v>
      </c>
      <c r="I32" s="17">
        <v>1.6</v>
      </c>
      <c r="J32" s="27">
        <v>1.6</v>
      </c>
      <c r="K32" s="22" t="s">
        <v>100</v>
      </c>
      <c r="L32" s="17">
        <v>17.100000000000001</v>
      </c>
      <c r="M32" s="19">
        <v>11.37</v>
      </c>
      <c r="N32" s="19">
        <v>4.62</v>
      </c>
      <c r="O32" s="19">
        <v>0.17</v>
      </c>
      <c r="P32" s="19">
        <v>0</v>
      </c>
      <c r="Q32" s="17">
        <v>61</v>
      </c>
      <c r="R32" s="27">
        <v>176.6</v>
      </c>
      <c r="S32" s="27">
        <v>0</v>
      </c>
      <c r="T32" s="27">
        <v>2.1</v>
      </c>
      <c r="U32" s="27">
        <v>0.3</v>
      </c>
      <c r="V32" s="27">
        <v>0.8</v>
      </c>
      <c r="W32" s="27">
        <v>0</v>
      </c>
      <c r="X32" s="27">
        <v>0.1</v>
      </c>
      <c r="Y32" s="27">
        <v>0</v>
      </c>
      <c r="Z32" s="27">
        <v>0.1</v>
      </c>
      <c r="AA32" s="27">
        <v>0.3</v>
      </c>
      <c r="AB32" s="27">
        <v>1.3</v>
      </c>
      <c r="AC32" s="27">
        <v>5.5</v>
      </c>
      <c r="AD32" s="17">
        <v>401</v>
      </c>
      <c r="AE32" s="27">
        <v>101.7</v>
      </c>
      <c r="AF32" s="27">
        <v>446.2</v>
      </c>
      <c r="AG32" s="27">
        <v>303.5</v>
      </c>
      <c r="AH32" s="27">
        <v>18.899999999999999</v>
      </c>
      <c r="AI32" s="27">
        <v>0.2</v>
      </c>
      <c r="AJ32" s="27">
        <v>2</v>
      </c>
      <c r="AK32" s="27">
        <v>0</v>
      </c>
      <c r="AL32" s="27">
        <v>15.2</v>
      </c>
      <c r="AM32" s="27">
        <v>0</v>
      </c>
    </row>
    <row r="33" spans="1:39" x14ac:dyDescent="0.25">
      <c r="A33" s="10">
        <v>32</v>
      </c>
      <c r="B33" s="9" t="s">
        <v>98</v>
      </c>
      <c r="C33" s="9" t="s">
        <v>130</v>
      </c>
      <c r="D33" s="10">
        <v>4</v>
      </c>
      <c r="E33" s="11">
        <v>177</v>
      </c>
      <c r="F33" s="27">
        <v>67.099999999999994</v>
      </c>
      <c r="G33" s="27">
        <v>3.7</v>
      </c>
      <c r="H33" s="17">
        <v>12.6</v>
      </c>
      <c r="I33" s="17">
        <v>4.5</v>
      </c>
      <c r="J33" s="17">
        <v>3.3</v>
      </c>
      <c r="K33" s="27">
        <v>0</v>
      </c>
      <c r="L33" s="17">
        <v>12.1</v>
      </c>
      <c r="M33" s="19">
        <v>7.74</v>
      </c>
      <c r="N33" s="19">
        <v>3.52</v>
      </c>
      <c r="O33" s="19">
        <v>0.3</v>
      </c>
      <c r="P33" s="19">
        <v>0.5</v>
      </c>
      <c r="Q33" s="17">
        <v>39</v>
      </c>
      <c r="R33" s="27">
        <v>224</v>
      </c>
      <c r="S33" s="27">
        <v>0</v>
      </c>
      <c r="T33" s="27">
        <v>2.7</v>
      </c>
      <c r="U33" s="27">
        <v>0.4</v>
      </c>
      <c r="V33" s="27">
        <v>1</v>
      </c>
      <c r="W33" s="27">
        <v>0</v>
      </c>
      <c r="X33" s="27">
        <v>0.2</v>
      </c>
      <c r="Y33" s="27">
        <v>0</v>
      </c>
      <c r="Z33" s="27">
        <v>0.1</v>
      </c>
      <c r="AA33" s="27">
        <v>0.4</v>
      </c>
      <c r="AB33" s="27">
        <v>1.7</v>
      </c>
      <c r="AC33" s="27">
        <v>7</v>
      </c>
      <c r="AD33" s="17">
        <v>254</v>
      </c>
      <c r="AE33" s="27">
        <v>129</v>
      </c>
      <c r="AF33" s="17">
        <v>383</v>
      </c>
      <c r="AG33" s="27">
        <v>385</v>
      </c>
      <c r="AH33" s="27">
        <v>24</v>
      </c>
      <c r="AI33" s="27">
        <v>0.2</v>
      </c>
      <c r="AJ33" s="27">
        <v>2.6</v>
      </c>
      <c r="AK33" s="27">
        <v>0</v>
      </c>
      <c r="AL33" s="27">
        <v>19.3</v>
      </c>
      <c r="AM33" s="27">
        <v>0</v>
      </c>
    </row>
    <row r="34" spans="1:39" x14ac:dyDescent="0.25">
      <c r="A34" s="10">
        <v>33</v>
      </c>
      <c r="B34" s="9" t="s">
        <v>98</v>
      </c>
      <c r="C34" s="9" t="s">
        <v>131</v>
      </c>
      <c r="D34" s="10">
        <v>3</v>
      </c>
      <c r="E34" s="11">
        <v>193</v>
      </c>
      <c r="F34" s="17">
        <v>66.5</v>
      </c>
      <c r="G34" s="17">
        <v>2.6</v>
      </c>
      <c r="H34" s="17">
        <v>13.8</v>
      </c>
      <c r="I34" s="17">
        <v>3.2</v>
      </c>
      <c r="J34" s="27">
        <v>0.8</v>
      </c>
      <c r="K34" s="22" t="s">
        <v>100</v>
      </c>
      <c r="L34" s="17">
        <v>13.9</v>
      </c>
      <c r="M34" s="28">
        <v>8.83</v>
      </c>
      <c r="N34" s="28">
        <v>3.94</v>
      </c>
      <c r="O34" s="28">
        <v>0.41</v>
      </c>
      <c r="P34" s="22" t="s">
        <v>100</v>
      </c>
      <c r="Q34" s="27">
        <v>64</v>
      </c>
      <c r="R34" s="27">
        <v>92</v>
      </c>
      <c r="S34" s="27">
        <v>0</v>
      </c>
      <c r="T34" s="27">
        <v>0.2</v>
      </c>
      <c r="U34" s="27">
        <v>0.1</v>
      </c>
      <c r="V34" s="27">
        <v>1.2</v>
      </c>
      <c r="W34" s="27">
        <v>0</v>
      </c>
      <c r="X34" s="27">
        <v>0.2</v>
      </c>
      <c r="Y34" s="27">
        <v>0.1</v>
      </c>
      <c r="Z34" s="27">
        <v>0.1</v>
      </c>
      <c r="AA34" s="27">
        <v>0.1</v>
      </c>
      <c r="AB34" s="27">
        <v>0.6</v>
      </c>
      <c r="AC34" s="27">
        <v>6.5</v>
      </c>
      <c r="AD34" s="17">
        <v>363</v>
      </c>
      <c r="AE34" s="27">
        <v>60.9</v>
      </c>
      <c r="AF34" s="27">
        <v>566.79999999999995</v>
      </c>
      <c r="AG34" s="27">
        <v>335.6</v>
      </c>
      <c r="AH34" s="27">
        <v>16.7</v>
      </c>
      <c r="AI34" s="27">
        <v>0.2</v>
      </c>
      <c r="AJ34" s="27">
        <v>2</v>
      </c>
      <c r="AK34" s="27">
        <v>0</v>
      </c>
      <c r="AL34" s="27">
        <v>10.4</v>
      </c>
      <c r="AM34" s="27">
        <v>0</v>
      </c>
    </row>
    <row r="35" spans="1:39" x14ac:dyDescent="0.25">
      <c r="A35" s="10">
        <v>34</v>
      </c>
      <c r="B35" s="9" t="s">
        <v>98</v>
      </c>
      <c r="C35" s="9" t="s">
        <v>132</v>
      </c>
      <c r="D35" s="10">
        <v>1</v>
      </c>
      <c r="E35" s="11">
        <v>356</v>
      </c>
      <c r="F35" s="17">
        <v>41.5</v>
      </c>
      <c r="G35" s="17">
        <v>3.9</v>
      </c>
      <c r="H35" s="17">
        <v>24.9</v>
      </c>
      <c r="I35" s="17">
        <v>2.2000000000000002</v>
      </c>
      <c r="J35" s="17">
        <v>2.2000000000000002</v>
      </c>
      <c r="K35" s="17">
        <v>0</v>
      </c>
      <c r="L35" s="17">
        <v>27.4</v>
      </c>
      <c r="M35" s="19">
        <v>17.61</v>
      </c>
      <c r="N35" s="19">
        <v>7.75</v>
      </c>
      <c r="O35" s="19">
        <v>0.66</v>
      </c>
      <c r="P35" s="22" t="s">
        <v>100</v>
      </c>
      <c r="Q35" s="17">
        <v>114</v>
      </c>
      <c r="R35" s="17">
        <v>165</v>
      </c>
      <c r="S35" s="17">
        <v>0</v>
      </c>
      <c r="T35" s="17">
        <v>0.5</v>
      </c>
      <c r="U35" s="17">
        <v>0.2</v>
      </c>
      <c r="V35" s="17">
        <v>2.2999999999999998</v>
      </c>
      <c r="W35" s="17">
        <v>0</v>
      </c>
      <c r="X35" s="17">
        <v>0.3</v>
      </c>
      <c r="Y35" s="17">
        <v>0.1</v>
      </c>
      <c r="Z35" s="17">
        <v>0.1</v>
      </c>
      <c r="AA35" s="17">
        <v>0.3</v>
      </c>
      <c r="AB35" s="17">
        <v>1.5</v>
      </c>
      <c r="AC35" s="17">
        <v>21</v>
      </c>
      <c r="AD35" s="17">
        <v>819</v>
      </c>
      <c r="AE35" s="17">
        <v>121</v>
      </c>
      <c r="AF35" s="17">
        <v>700</v>
      </c>
      <c r="AG35" s="17">
        <v>546</v>
      </c>
      <c r="AH35" s="17">
        <v>29</v>
      </c>
      <c r="AI35" s="17">
        <v>0.2</v>
      </c>
      <c r="AJ35" s="17">
        <v>3.9</v>
      </c>
      <c r="AK35" s="17">
        <v>0</v>
      </c>
      <c r="AL35" s="17">
        <v>14.5</v>
      </c>
      <c r="AM35" s="27">
        <v>0</v>
      </c>
    </row>
    <row r="36" spans="1:39" x14ac:dyDescent="0.25">
      <c r="A36" s="10">
        <v>35</v>
      </c>
      <c r="B36" s="9" t="s">
        <v>98</v>
      </c>
      <c r="C36" s="9" t="s">
        <v>133</v>
      </c>
      <c r="D36" s="10">
        <v>3</v>
      </c>
      <c r="E36" s="11">
        <v>341</v>
      </c>
      <c r="F36" s="17">
        <v>42.7</v>
      </c>
      <c r="G36" s="17">
        <v>3</v>
      </c>
      <c r="H36" s="17">
        <v>24.8</v>
      </c>
      <c r="I36" s="17">
        <v>4.8</v>
      </c>
      <c r="J36" s="17">
        <v>0</v>
      </c>
      <c r="K36" s="17">
        <v>0</v>
      </c>
      <c r="L36" s="17">
        <v>24.7</v>
      </c>
      <c r="M36" s="19">
        <v>15.55</v>
      </c>
      <c r="N36" s="19">
        <v>6.79</v>
      </c>
      <c r="O36" s="19">
        <v>0.47</v>
      </c>
      <c r="P36" s="19">
        <v>0.5</v>
      </c>
      <c r="Q36" s="27">
        <v>114</v>
      </c>
      <c r="R36" s="27">
        <v>161.5</v>
      </c>
      <c r="S36" s="27">
        <v>0</v>
      </c>
      <c r="T36" s="27">
        <v>0.5</v>
      </c>
      <c r="U36" s="27">
        <v>0.2</v>
      </c>
      <c r="V36" s="27">
        <v>2.2999999999999998</v>
      </c>
      <c r="W36" s="27">
        <v>0</v>
      </c>
      <c r="X36" s="27">
        <v>0.3</v>
      </c>
      <c r="Y36" s="27">
        <v>0.1</v>
      </c>
      <c r="Z36" s="27">
        <v>0.1</v>
      </c>
      <c r="AA36" s="27">
        <v>0.3</v>
      </c>
      <c r="AB36" s="27">
        <v>1.5</v>
      </c>
      <c r="AC36" s="27">
        <v>20.6</v>
      </c>
      <c r="AD36" s="17">
        <v>259</v>
      </c>
      <c r="AE36" s="27">
        <v>118.4</v>
      </c>
      <c r="AF36" s="17">
        <v>850</v>
      </c>
      <c r="AG36" s="27">
        <v>534.4</v>
      </c>
      <c r="AH36" s="27">
        <v>28.4</v>
      </c>
      <c r="AI36" s="27">
        <v>0.2</v>
      </c>
      <c r="AJ36" s="27">
        <v>3.8</v>
      </c>
      <c r="AK36" s="27">
        <v>0</v>
      </c>
      <c r="AL36" s="27">
        <v>14.2</v>
      </c>
      <c r="AM36" s="27">
        <v>0</v>
      </c>
    </row>
    <row r="37" spans="1:39" x14ac:dyDescent="0.25">
      <c r="A37" s="10">
        <v>36</v>
      </c>
      <c r="B37" s="9" t="s">
        <v>98</v>
      </c>
      <c r="C37" s="9" t="s">
        <v>134</v>
      </c>
      <c r="D37" s="10">
        <v>3</v>
      </c>
      <c r="E37" s="11">
        <v>394</v>
      </c>
      <c r="F37" s="17">
        <v>35.200000000000003</v>
      </c>
      <c r="G37" s="17">
        <v>2.9</v>
      </c>
      <c r="H37" s="17">
        <v>24.7</v>
      </c>
      <c r="I37" s="17">
        <v>8</v>
      </c>
      <c r="J37" s="17">
        <v>0</v>
      </c>
      <c r="K37" s="22" t="s">
        <v>100</v>
      </c>
      <c r="L37" s="17">
        <v>29.2</v>
      </c>
      <c r="M37" s="19">
        <v>18.93</v>
      </c>
      <c r="N37" s="19">
        <v>7.13</v>
      </c>
      <c r="O37" s="19">
        <v>0.66</v>
      </c>
      <c r="P37" s="19">
        <v>0.9</v>
      </c>
      <c r="Q37" s="17">
        <v>85.4</v>
      </c>
      <c r="R37" s="27">
        <v>331.6</v>
      </c>
      <c r="S37" s="27">
        <v>0</v>
      </c>
      <c r="T37" s="27">
        <v>0.7</v>
      </c>
      <c r="U37" s="27">
        <v>0.3</v>
      </c>
      <c r="V37" s="27">
        <v>2.8</v>
      </c>
      <c r="W37" s="27">
        <v>0</v>
      </c>
      <c r="X37" s="27">
        <v>0.4</v>
      </c>
      <c r="Y37" s="27">
        <v>0.1</v>
      </c>
      <c r="Z37" s="27">
        <v>0.1</v>
      </c>
      <c r="AA37" s="27">
        <v>0.2</v>
      </c>
      <c r="AB37" s="27">
        <v>1.6</v>
      </c>
      <c r="AC37" s="27">
        <v>13.4</v>
      </c>
      <c r="AD37" s="17">
        <v>452</v>
      </c>
      <c r="AE37" s="27">
        <v>149.1</v>
      </c>
      <c r="AF37" s="27">
        <v>797.9</v>
      </c>
      <c r="AG37" s="27">
        <v>520.79999999999995</v>
      </c>
      <c r="AH37" s="27">
        <v>30</v>
      </c>
      <c r="AI37" s="27">
        <v>0.5</v>
      </c>
      <c r="AJ37" s="27">
        <v>3.1</v>
      </c>
      <c r="AK37" s="27">
        <v>0</v>
      </c>
      <c r="AL37" s="27">
        <v>16.100000000000001</v>
      </c>
      <c r="AM37" s="27">
        <v>0</v>
      </c>
    </row>
    <row r="38" spans="1:39" x14ac:dyDescent="0.25">
      <c r="A38" s="10">
        <v>37</v>
      </c>
      <c r="B38" s="9" t="s">
        <v>98</v>
      </c>
      <c r="C38" s="9" t="s">
        <v>135</v>
      </c>
      <c r="D38" s="10">
        <v>3</v>
      </c>
      <c r="E38" s="11">
        <v>199</v>
      </c>
      <c r="F38" s="17">
        <v>66.7</v>
      </c>
      <c r="G38" s="17">
        <v>2.4</v>
      </c>
      <c r="H38" s="17">
        <v>13.5</v>
      </c>
      <c r="I38" s="17">
        <v>2.2999999999999998</v>
      </c>
      <c r="J38" s="17">
        <v>1.3</v>
      </c>
      <c r="K38" s="17">
        <v>0</v>
      </c>
      <c r="L38" s="17">
        <v>15.1</v>
      </c>
      <c r="M38" s="19">
        <v>9.4</v>
      </c>
      <c r="N38" s="19">
        <v>3.92</v>
      </c>
      <c r="O38" s="19">
        <v>0.59</v>
      </c>
      <c r="P38" s="19">
        <v>0.4</v>
      </c>
      <c r="Q38" s="17">
        <v>44.9</v>
      </c>
      <c r="R38" s="27">
        <v>119.2</v>
      </c>
      <c r="S38" s="27">
        <v>0</v>
      </c>
      <c r="T38" s="27">
        <v>0.3</v>
      </c>
      <c r="U38" s="27">
        <v>0.1</v>
      </c>
      <c r="V38" s="27">
        <v>1.5</v>
      </c>
      <c r="W38" s="27">
        <v>0</v>
      </c>
      <c r="X38" s="27">
        <v>0.2</v>
      </c>
      <c r="Y38" s="27">
        <v>0.1</v>
      </c>
      <c r="Z38" s="27">
        <v>0</v>
      </c>
      <c r="AA38" s="27">
        <v>0.1</v>
      </c>
      <c r="AB38" s="27">
        <v>1.5</v>
      </c>
      <c r="AC38" s="27">
        <v>4.7</v>
      </c>
      <c r="AD38" s="17">
        <v>507</v>
      </c>
      <c r="AE38" s="27">
        <v>50.6</v>
      </c>
      <c r="AF38" s="27">
        <v>336.4</v>
      </c>
      <c r="AG38" s="27">
        <v>235.8</v>
      </c>
      <c r="AH38" s="27">
        <v>13.3</v>
      </c>
      <c r="AI38" s="27">
        <v>0.3</v>
      </c>
      <c r="AJ38" s="27">
        <v>1.9</v>
      </c>
      <c r="AK38" s="27">
        <v>0</v>
      </c>
      <c r="AL38" s="27">
        <v>11.3</v>
      </c>
      <c r="AM38" s="27">
        <v>0</v>
      </c>
    </row>
    <row r="39" spans="1:39" x14ac:dyDescent="0.25">
      <c r="A39" s="10">
        <v>38</v>
      </c>
      <c r="B39" s="9" t="s">
        <v>98</v>
      </c>
      <c r="C39" s="9" t="s">
        <v>136</v>
      </c>
      <c r="D39" s="10">
        <v>2</v>
      </c>
      <c r="E39" s="11">
        <v>476</v>
      </c>
      <c r="F39" s="17">
        <v>10.3</v>
      </c>
      <c r="G39" s="17">
        <v>7.6</v>
      </c>
      <c r="H39" s="17">
        <v>47.1</v>
      </c>
      <c r="I39" s="17">
        <v>5.5</v>
      </c>
      <c r="J39" s="27">
        <v>0.1</v>
      </c>
      <c r="K39" s="22" t="s">
        <v>100</v>
      </c>
      <c r="L39" s="17">
        <v>29.5</v>
      </c>
      <c r="M39" s="28">
        <v>17.52</v>
      </c>
      <c r="N39" s="28">
        <v>8.8699999999999992</v>
      </c>
      <c r="O39" s="28">
        <v>0.67</v>
      </c>
      <c r="P39" s="22" t="s">
        <v>100</v>
      </c>
      <c r="Q39" s="27">
        <v>68</v>
      </c>
      <c r="R39" s="17">
        <v>142</v>
      </c>
      <c r="S39" s="27">
        <v>0</v>
      </c>
      <c r="T39" s="27">
        <v>0.6</v>
      </c>
      <c r="U39" s="27">
        <v>0.3</v>
      </c>
      <c r="V39" s="27">
        <v>2.2000000000000002</v>
      </c>
      <c r="W39" s="27">
        <v>0</v>
      </c>
      <c r="X39" s="27">
        <v>0.4</v>
      </c>
      <c r="Y39" s="27">
        <v>0.3</v>
      </c>
      <c r="Z39" s="27">
        <v>0.1</v>
      </c>
      <c r="AA39" s="27">
        <v>0.6</v>
      </c>
      <c r="AB39" s="27">
        <v>1.5</v>
      </c>
      <c r="AC39" s="27">
        <v>9</v>
      </c>
      <c r="AD39" s="17">
        <v>1176</v>
      </c>
      <c r="AE39" s="27">
        <v>117.9</v>
      </c>
      <c r="AF39" s="17">
        <v>1653</v>
      </c>
      <c r="AG39" s="27">
        <v>889.3</v>
      </c>
      <c r="AH39" s="27">
        <v>56.4</v>
      </c>
      <c r="AI39" s="27">
        <v>1.1000000000000001</v>
      </c>
      <c r="AJ39" s="27">
        <v>3.5</v>
      </c>
      <c r="AK39" s="27">
        <v>0</v>
      </c>
      <c r="AL39" s="27">
        <v>28.8</v>
      </c>
      <c r="AM39" s="27">
        <v>0</v>
      </c>
    </row>
    <row r="40" spans="1:39" x14ac:dyDescent="0.25">
      <c r="A40" s="10">
        <v>39</v>
      </c>
      <c r="B40" s="9" t="s">
        <v>98</v>
      </c>
      <c r="C40" s="9" t="s">
        <v>137</v>
      </c>
      <c r="D40" s="10">
        <v>1</v>
      </c>
      <c r="E40" s="11">
        <v>420</v>
      </c>
      <c r="F40" s="17">
        <v>22.7</v>
      </c>
      <c r="G40" s="17">
        <v>7.2</v>
      </c>
      <c r="H40" s="17">
        <v>28.4</v>
      </c>
      <c r="I40" s="17">
        <v>13.9</v>
      </c>
      <c r="J40" s="17">
        <v>0.1</v>
      </c>
      <c r="K40" s="17">
        <v>0</v>
      </c>
      <c r="L40" s="17">
        <v>27.8</v>
      </c>
      <c r="M40" s="19">
        <v>15.37</v>
      </c>
      <c r="N40" s="19">
        <v>7.13</v>
      </c>
      <c r="O40" s="19">
        <v>1.39</v>
      </c>
      <c r="P40" s="22" t="s">
        <v>100</v>
      </c>
      <c r="Q40" s="17">
        <v>86</v>
      </c>
      <c r="R40" s="17">
        <v>262</v>
      </c>
      <c r="S40" s="17">
        <v>0</v>
      </c>
      <c r="T40" s="17">
        <v>0.5</v>
      </c>
      <c r="U40" s="17">
        <v>0.5</v>
      </c>
      <c r="V40" s="17">
        <v>1.7</v>
      </c>
      <c r="W40" s="17">
        <v>0</v>
      </c>
      <c r="X40" s="17">
        <v>0.4</v>
      </c>
      <c r="Y40" s="17">
        <v>0.1</v>
      </c>
      <c r="Z40" s="17">
        <v>0.1</v>
      </c>
      <c r="AA40" s="17">
        <v>0.5</v>
      </c>
      <c r="AB40" s="17">
        <v>1.4</v>
      </c>
      <c r="AC40" s="17">
        <v>6</v>
      </c>
      <c r="AD40" s="17">
        <v>1804</v>
      </c>
      <c r="AE40" s="17">
        <v>180</v>
      </c>
      <c r="AF40" s="17">
        <v>853</v>
      </c>
      <c r="AG40" s="17">
        <v>627</v>
      </c>
      <c r="AH40" s="17">
        <v>34</v>
      </c>
      <c r="AI40" s="17">
        <v>0.5</v>
      </c>
      <c r="AJ40" s="17">
        <v>4.2</v>
      </c>
      <c r="AK40" s="17">
        <v>0</v>
      </c>
      <c r="AL40" s="17">
        <v>34.4</v>
      </c>
      <c r="AM40" s="27">
        <v>0</v>
      </c>
    </row>
    <row r="41" spans="1:39" x14ac:dyDescent="0.25">
      <c r="A41" s="10">
        <v>40</v>
      </c>
      <c r="B41" s="9" t="s">
        <v>98</v>
      </c>
      <c r="C41" s="9" t="s">
        <v>138</v>
      </c>
      <c r="D41" s="10">
        <v>2</v>
      </c>
      <c r="E41" s="11">
        <v>394</v>
      </c>
      <c r="F41" s="17">
        <v>37</v>
      </c>
      <c r="G41" s="17">
        <v>3.8</v>
      </c>
      <c r="H41" s="17">
        <v>25.7</v>
      </c>
      <c r="I41" s="17">
        <v>2.2999999999999998</v>
      </c>
      <c r="J41" s="27">
        <v>0</v>
      </c>
      <c r="K41" s="17">
        <v>0</v>
      </c>
      <c r="L41" s="17">
        <v>31.2</v>
      </c>
      <c r="M41" s="19">
        <v>19.97</v>
      </c>
      <c r="N41" s="19">
        <v>9.39</v>
      </c>
      <c r="O41" s="19">
        <v>1.78</v>
      </c>
      <c r="P41" s="22" t="s">
        <v>100</v>
      </c>
      <c r="Q41" s="17">
        <v>55.8</v>
      </c>
      <c r="R41" s="27">
        <v>259.5</v>
      </c>
      <c r="S41" s="27">
        <v>0</v>
      </c>
      <c r="T41" s="27">
        <v>0.5</v>
      </c>
      <c r="U41" s="27">
        <v>0.3</v>
      </c>
      <c r="V41" s="27">
        <v>2.5</v>
      </c>
      <c r="W41" s="17">
        <v>0</v>
      </c>
      <c r="X41" s="17">
        <v>0.3</v>
      </c>
      <c r="Y41" s="17">
        <v>0.3</v>
      </c>
      <c r="Z41" s="27">
        <v>0.1</v>
      </c>
      <c r="AA41" s="27">
        <v>0.3</v>
      </c>
      <c r="AB41" s="27">
        <v>1.6</v>
      </c>
      <c r="AC41" s="27">
        <v>17.100000000000001</v>
      </c>
      <c r="AD41" s="17">
        <v>720</v>
      </c>
      <c r="AE41" s="17">
        <v>73</v>
      </c>
      <c r="AF41" s="17">
        <v>474</v>
      </c>
      <c r="AG41" s="17">
        <v>578</v>
      </c>
      <c r="AH41" s="17">
        <v>14.3</v>
      </c>
      <c r="AI41" s="17">
        <v>0.5</v>
      </c>
      <c r="AJ41" s="17">
        <v>3.5</v>
      </c>
      <c r="AK41" s="17">
        <v>0</v>
      </c>
      <c r="AL41" s="27">
        <v>15.5</v>
      </c>
      <c r="AM41" s="27">
        <v>0</v>
      </c>
    </row>
    <row r="42" spans="1:39" x14ac:dyDescent="0.25">
      <c r="A42" s="10">
        <v>41</v>
      </c>
      <c r="B42" s="9" t="s">
        <v>98</v>
      </c>
      <c r="C42" s="9" t="s">
        <v>139</v>
      </c>
      <c r="D42" s="10">
        <v>2</v>
      </c>
      <c r="E42" s="11">
        <v>339</v>
      </c>
      <c r="F42" s="17">
        <v>35.9</v>
      </c>
      <c r="G42" s="17">
        <v>4.8</v>
      </c>
      <c r="H42" s="17">
        <v>33.1</v>
      </c>
      <c r="I42" s="17">
        <v>5.9</v>
      </c>
      <c r="J42" s="27">
        <v>0.1</v>
      </c>
      <c r="K42" s="17">
        <v>0</v>
      </c>
      <c r="L42" s="17">
        <v>20.3</v>
      </c>
      <c r="M42" s="28">
        <v>12.06</v>
      </c>
      <c r="N42" s="28">
        <v>6.1</v>
      </c>
      <c r="O42" s="28">
        <v>0.46</v>
      </c>
      <c r="P42" s="22" t="s">
        <v>100</v>
      </c>
      <c r="Q42" s="27">
        <v>68</v>
      </c>
      <c r="R42" s="17">
        <v>271</v>
      </c>
      <c r="S42" s="27">
        <v>0</v>
      </c>
      <c r="T42" s="27">
        <v>0.5</v>
      </c>
      <c r="U42" s="27">
        <v>0.2</v>
      </c>
      <c r="V42" s="27">
        <v>1.6</v>
      </c>
      <c r="W42" s="27">
        <v>0</v>
      </c>
      <c r="X42" s="27">
        <v>0.3</v>
      </c>
      <c r="Y42" s="27">
        <v>0.2</v>
      </c>
      <c r="Z42" s="27">
        <v>0.1</v>
      </c>
      <c r="AA42" s="27">
        <v>0.4</v>
      </c>
      <c r="AB42" s="27">
        <v>1.1000000000000001</v>
      </c>
      <c r="AC42" s="27">
        <v>6.4</v>
      </c>
      <c r="AD42" s="17">
        <v>742</v>
      </c>
      <c r="AE42" s="27">
        <v>84.2</v>
      </c>
      <c r="AF42" s="17">
        <v>1199</v>
      </c>
      <c r="AG42" s="27">
        <v>635.5</v>
      </c>
      <c r="AH42" s="27">
        <v>40.299999999999997</v>
      </c>
      <c r="AI42" s="27">
        <v>0.8</v>
      </c>
      <c r="AJ42" s="27">
        <v>2.5</v>
      </c>
      <c r="AK42" s="27">
        <v>0</v>
      </c>
      <c r="AL42" s="27">
        <v>20.6</v>
      </c>
      <c r="AM42" s="27">
        <v>0</v>
      </c>
    </row>
    <row r="43" spans="1:39" x14ac:dyDescent="0.25">
      <c r="A43" s="10">
        <v>42</v>
      </c>
      <c r="B43" s="9" t="s">
        <v>98</v>
      </c>
      <c r="C43" s="9" t="s">
        <v>140</v>
      </c>
      <c r="D43" s="10">
        <v>1</v>
      </c>
      <c r="E43" s="11">
        <v>393</v>
      </c>
      <c r="F43" s="17">
        <v>37.6</v>
      </c>
      <c r="G43" s="17">
        <v>3</v>
      </c>
      <c r="H43" s="17">
        <v>27</v>
      </c>
      <c r="I43" s="17">
        <v>1.5</v>
      </c>
      <c r="J43" s="17">
        <v>0</v>
      </c>
      <c r="K43" s="17">
        <v>0</v>
      </c>
      <c r="L43" s="17">
        <v>31</v>
      </c>
      <c r="M43" s="19">
        <v>18.23</v>
      </c>
      <c r="N43" s="19">
        <v>8.0500000000000007</v>
      </c>
      <c r="O43" s="19">
        <v>1.34</v>
      </c>
      <c r="P43" s="28">
        <v>0.99</v>
      </c>
      <c r="Q43" s="17">
        <v>93</v>
      </c>
      <c r="R43" s="17">
        <v>288</v>
      </c>
      <c r="S43" s="17">
        <v>0</v>
      </c>
      <c r="T43" s="17">
        <v>0</v>
      </c>
      <c r="U43" s="17">
        <v>0.6</v>
      </c>
      <c r="V43" s="17">
        <v>1.4</v>
      </c>
      <c r="W43" s="17">
        <v>0</v>
      </c>
      <c r="X43" s="17">
        <v>0.3</v>
      </c>
      <c r="Y43" s="17">
        <v>0.1</v>
      </c>
      <c r="Z43" s="17">
        <v>0.1</v>
      </c>
      <c r="AA43" s="17">
        <v>0.4</v>
      </c>
      <c r="AB43" s="17">
        <v>3.1</v>
      </c>
      <c r="AC43" s="17">
        <v>10</v>
      </c>
      <c r="AD43" s="17">
        <v>187</v>
      </c>
      <c r="AE43" s="17">
        <v>72</v>
      </c>
      <c r="AF43" s="17">
        <v>890</v>
      </c>
      <c r="AG43" s="17">
        <v>574</v>
      </c>
      <c r="AH43" s="17">
        <v>33</v>
      </c>
      <c r="AI43" s="17">
        <v>0.1</v>
      </c>
      <c r="AJ43" s="17">
        <v>4.4000000000000004</v>
      </c>
      <c r="AK43" s="17">
        <v>0.1</v>
      </c>
      <c r="AL43" s="17">
        <v>30</v>
      </c>
      <c r="AM43" s="27">
        <v>0</v>
      </c>
    </row>
    <row r="44" spans="1:39" x14ac:dyDescent="0.25">
      <c r="A44" s="10">
        <v>43</v>
      </c>
      <c r="B44" s="9" t="s">
        <v>98</v>
      </c>
      <c r="C44" s="9" t="s">
        <v>141</v>
      </c>
      <c r="D44" s="10">
        <v>2</v>
      </c>
      <c r="E44" s="11">
        <v>303</v>
      </c>
      <c r="F44" s="17">
        <v>50</v>
      </c>
      <c r="G44" s="17">
        <v>1.7</v>
      </c>
      <c r="H44" s="17">
        <v>20</v>
      </c>
      <c r="I44" s="17">
        <v>3.3</v>
      </c>
      <c r="J44" s="27">
        <v>3.3</v>
      </c>
      <c r="K44" s="17">
        <v>0</v>
      </c>
      <c r="L44" s="17">
        <v>25</v>
      </c>
      <c r="M44" s="19">
        <v>16</v>
      </c>
      <c r="N44" s="19">
        <v>7.53</v>
      </c>
      <c r="O44" s="19">
        <v>1.43</v>
      </c>
      <c r="P44" s="22" t="s">
        <v>100</v>
      </c>
      <c r="Q44" s="17">
        <v>44.7</v>
      </c>
      <c r="R44" s="27">
        <v>165.2</v>
      </c>
      <c r="S44" s="27">
        <v>0</v>
      </c>
      <c r="T44" s="27">
        <v>0.4</v>
      </c>
      <c r="U44" s="27">
        <v>0.2</v>
      </c>
      <c r="V44" s="27">
        <v>1.7</v>
      </c>
      <c r="W44" s="27">
        <v>0</v>
      </c>
      <c r="X44" s="27">
        <v>0.4</v>
      </c>
      <c r="Y44" s="27">
        <v>0.1</v>
      </c>
      <c r="Z44" s="27">
        <v>0.1</v>
      </c>
      <c r="AA44" s="27">
        <v>0.7</v>
      </c>
      <c r="AB44" s="27">
        <v>0.4</v>
      </c>
      <c r="AC44" s="27">
        <v>6.7</v>
      </c>
      <c r="AD44" s="27">
        <v>1552.1</v>
      </c>
      <c r="AE44" s="27">
        <v>231.1</v>
      </c>
      <c r="AF44" s="27">
        <v>536.79999999999995</v>
      </c>
      <c r="AG44" s="27">
        <v>835.7</v>
      </c>
      <c r="AH44" s="27">
        <v>27.7</v>
      </c>
      <c r="AI44" s="27">
        <v>0.3</v>
      </c>
      <c r="AJ44" s="27">
        <v>2.5</v>
      </c>
      <c r="AK44" s="27">
        <v>0</v>
      </c>
      <c r="AL44" s="27">
        <v>10.8</v>
      </c>
      <c r="AM44" s="27">
        <v>0</v>
      </c>
    </row>
    <row r="45" spans="1:39" x14ac:dyDescent="0.25">
      <c r="A45" s="10">
        <v>44</v>
      </c>
      <c r="B45" s="9" t="s">
        <v>98</v>
      </c>
      <c r="C45" s="9" t="s">
        <v>142</v>
      </c>
      <c r="D45" s="10">
        <v>1</v>
      </c>
      <c r="E45" s="11">
        <v>174</v>
      </c>
      <c r="F45" s="17">
        <v>71.7</v>
      </c>
      <c r="G45" s="17">
        <v>1</v>
      </c>
      <c r="H45" s="17">
        <v>11.3</v>
      </c>
      <c r="I45" s="17">
        <v>3</v>
      </c>
      <c r="J45" s="17">
        <v>0.3</v>
      </c>
      <c r="K45" s="17">
        <v>0</v>
      </c>
      <c r="L45" s="17">
        <v>13</v>
      </c>
      <c r="M45" s="19">
        <v>8.3000000000000007</v>
      </c>
      <c r="N45" s="19">
        <v>3.63</v>
      </c>
      <c r="O45" s="19">
        <v>0.39</v>
      </c>
      <c r="P45" s="28">
        <v>0.43</v>
      </c>
      <c r="Q45" s="17">
        <v>51</v>
      </c>
      <c r="R45" s="17">
        <v>120</v>
      </c>
      <c r="S45" s="17">
        <v>0</v>
      </c>
      <c r="T45" s="17">
        <v>0.2</v>
      </c>
      <c r="U45" s="17">
        <v>0.1</v>
      </c>
      <c r="V45" s="17">
        <v>1.1000000000000001</v>
      </c>
      <c r="W45" s="17">
        <v>0</v>
      </c>
      <c r="X45" s="17">
        <v>0.2</v>
      </c>
      <c r="Y45" s="17">
        <v>0.1</v>
      </c>
      <c r="Z45" s="17">
        <v>0</v>
      </c>
      <c r="AA45" s="17">
        <v>0.2</v>
      </c>
      <c r="AB45" s="17">
        <v>0.3</v>
      </c>
      <c r="AC45" s="17">
        <v>12</v>
      </c>
      <c r="AD45" s="17">
        <v>84</v>
      </c>
      <c r="AE45" s="17">
        <v>105</v>
      </c>
      <c r="AF45" s="17">
        <v>207</v>
      </c>
      <c r="AG45" s="17">
        <v>158</v>
      </c>
      <c r="AH45" s="17">
        <v>11</v>
      </c>
      <c r="AI45" s="17">
        <v>0.4</v>
      </c>
      <c r="AJ45" s="17">
        <v>1.2</v>
      </c>
      <c r="AK45" s="17">
        <v>0</v>
      </c>
      <c r="AL45" s="17">
        <v>14.5</v>
      </c>
      <c r="AM45" s="27">
        <v>0</v>
      </c>
    </row>
    <row r="46" spans="1:39" x14ac:dyDescent="0.25">
      <c r="A46" s="10">
        <v>45</v>
      </c>
      <c r="B46" s="9" t="s">
        <v>98</v>
      </c>
      <c r="C46" s="9" t="s">
        <v>143</v>
      </c>
      <c r="D46" s="10">
        <v>1</v>
      </c>
      <c r="E46" s="11">
        <v>61</v>
      </c>
      <c r="F46" s="17">
        <v>87.9</v>
      </c>
      <c r="G46" s="17">
        <v>0.7</v>
      </c>
      <c r="H46" s="17">
        <v>3.5</v>
      </c>
      <c r="I46" s="17">
        <v>4.7</v>
      </c>
      <c r="J46" s="17">
        <v>4.7</v>
      </c>
      <c r="K46" s="17">
        <v>0</v>
      </c>
      <c r="L46" s="17">
        <v>3.3</v>
      </c>
      <c r="M46" s="19">
        <v>2.1</v>
      </c>
      <c r="N46" s="19">
        <v>0.89</v>
      </c>
      <c r="O46" s="19">
        <v>0.09</v>
      </c>
      <c r="P46" s="22" t="s">
        <v>100</v>
      </c>
      <c r="Q46" s="17">
        <v>13</v>
      </c>
      <c r="R46" s="17">
        <v>27</v>
      </c>
      <c r="S46" s="17">
        <v>0.5</v>
      </c>
      <c r="T46" s="17">
        <v>0.1</v>
      </c>
      <c r="U46" s="17">
        <v>0.1</v>
      </c>
      <c r="V46" s="17">
        <v>0.2</v>
      </c>
      <c r="W46" s="17">
        <v>0</v>
      </c>
      <c r="X46" s="17">
        <v>0.1</v>
      </c>
      <c r="Y46" s="17">
        <v>0.1</v>
      </c>
      <c r="Z46" s="17">
        <v>0</v>
      </c>
      <c r="AA46" s="17">
        <v>0.4</v>
      </c>
      <c r="AB46" s="17">
        <v>0.4</v>
      </c>
      <c r="AC46" s="17">
        <v>7</v>
      </c>
      <c r="AD46" s="17">
        <v>46</v>
      </c>
      <c r="AE46" s="17">
        <v>155</v>
      </c>
      <c r="AF46" s="17">
        <v>121</v>
      </c>
      <c r="AG46" s="17">
        <v>95</v>
      </c>
      <c r="AH46" s="17">
        <v>12</v>
      </c>
      <c r="AI46" s="17">
        <v>0.1</v>
      </c>
      <c r="AJ46" s="17">
        <v>0.6</v>
      </c>
      <c r="AK46" s="17">
        <v>0</v>
      </c>
      <c r="AL46" s="17">
        <v>2.2000000000000002</v>
      </c>
      <c r="AM46" s="27">
        <v>0</v>
      </c>
    </row>
    <row r="47" spans="1:39" x14ac:dyDescent="0.25">
      <c r="A47" s="10">
        <v>46</v>
      </c>
      <c r="B47" s="9" t="s">
        <v>98</v>
      </c>
      <c r="C47" s="9" t="s">
        <v>144</v>
      </c>
      <c r="D47" s="10">
        <v>2</v>
      </c>
      <c r="E47" s="11">
        <v>101</v>
      </c>
      <c r="F47" s="17">
        <v>77.099999999999994</v>
      </c>
      <c r="G47" s="17">
        <v>0.9</v>
      </c>
      <c r="H47" s="17">
        <v>4.4000000000000004</v>
      </c>
      <c r="I47" s="17">
        <v>14.9</v>
      </c>
      <c r="J47" s="27">
        <v>14.9</v>
      </c>
      <c r="K47" s="17">
        <v>0.1</v>
      </c>
      <c r="L47" s="17">
        <v>2.7</v>
      </c>
      <c r="M47" s="19">
        <v>1.73</v>
      </c>
      <c r="N47" s="19">
        <v>0.81</v>
      </c>
      <c r="O47" s="19">
        <v>0.15</v>
      </c>
      <c r="P47" s="22" t="s">
        <v>100</v>
      </c>
      <c r="Q47" s="17">
        <v>4.8</v>
      </c>
      <c r="R47" s="27">
        <v>10.199999999999999</v>
      </c>
      <c r="S47" s="17">
        <v>0.4</v>
      </c>
      <c r="T47" s="27">
        <v>1.2</v>
      </c>
      <c r="U47" s="27">
        <v>0</v>
      </c>
      <c r="V47" s="27">
        <v>0.1</v>
      </c>
      <c r="W47" s="17">
        <v>0</v>
      </c>
      <c r="X47" s="17">
        <v>0.4</v>
      </c>
      <c r="Y47" s="17">
        <v>0.1</v>
      </c>
      <c r="Z47" s="17">
        <v>0</v>
      </c>
      <c r="AA47" s="17">
        <v>0.4</v>
      </c>
      <c r="AB47" s="17">
        <v>0.4</v>
      </c>
      <c r="AC47" s="17">
        <v>7.5</v>
      </c>
      <c r="AD47" s="17">
        <v>46.3</v>
      </c>
      <c r="AE47" s="17">
        <v>154.6</v>
      </c>
      <c r="AF47" s="17">
        <v>127</v>
      </c>
      <c r="AG47" s="17">
        <v>113</v>
      </c>
      <c r="AH47" s="17">
        <v>11.5</v>
      </c>
      <c r="AI47" s="17">
        <v>0</v>
      </c>
      <c r="AJ47" s="17">
        <v>0.6</v>
      </c>
      <c r="AK47" s="17">
        <v>0</v>
      </c>
      <c r="AL47" s="27">
        <v>2.6</v>
      </c>
      <c r="AM47" s="27">
        <v>0</v>
      </c>
    </row>
    <row r="48" spans="1:39" x14ac:dyDescent="0.25">
      <c r="A48" s="10">
        <v>47</v>
      </c>
      <c r="B48" s="9" t="s">
        <v>98</v>
      </c>
      <c r="C48" s="9" t="s">
        <v>145</v>
      </c>
      <c r="D48" s="10">
        <v>1</v>
      </c>
      <c r="E48" s="11">
        <v>56</v>
      </c>
      <c r="F48" s="17">
        <v>85.2</v>
      </c>
      <c r="G48" s="17">
        <v>1.2</v>
      </c>
      <c r="H48" s="17">
        <v>5.7</v>
      </c>
      <c r="I48" s="17">
        <v>7.7</v>
      </c>
      <c r="J48" s="17">
        <v>7.7</v>
      </c>
      <c r="K48" s="17">
        <v>0</v>
      </c>
      <c r="L48" s="17">
        <v>0.2</v>
      </c>
      <c r="M48" s="19">
        <v>0.12</v>
      </c>
      <c r="N48" s="19">
        <v>0.05</v>
      </c>
      <c r="O48" s="19">
        <v>0.01</v>
      </c>
      <c r="P48" s="22" t="s">
        <v>100</v>
      </c>
      <c r="Q48" s="17">
        <v>2</v>
      </c>
      <c r="R48" s="17">
        <v>2</v>
      </c>
      <c r="S48" s="17">
        <v>0.9</v>
      </c>
      <c r="T48" s="17">
        <v>0</v>
      </c>
      <c r="U48" s="17">
        <v>0</v>
      </c>
      <c r="V48" s="17">
        <v>0.2</v>
      </c>
      <c r="W48" s="17">
        <v>0.1</v>
      </c>
      <c r="X48" s="17">
        <v>0.2</v>
      </c>
      <c r="Y48" s="17">
        <v>0.1</v>
      </c>
      <c r="Z48" s="17">
        <v>0.1</v>
      </c>
      <c r="AA48" s="17">
        <v>0.6</v>
      </c>
      <c r="AB48" s="17">
        <v>0.6</v>
      </c>
      <c r="AC48" s="17">
        <v>12</v>
      </c>
      <c r="AD48" s="17">
        <v>77</v>
      </c>
      <c r="AE48" s="17">
        <v>255</v>
      </c>
      <c r="AF48" s="17">
        <v>199</v>
      </c>
      <c r="AG48" s="17">
        <v>157</v>
      </c>
      <c r="AH48" s="17">
        <v>19</v>
      </c>
      <c r="AI48" s="17">
        <v>0.1</v>
      </c>
      <c r="AJ48" s="17">
        <v>1</v>
      </c>
      <c r="AK48" s="17">
        <v>0</v>
      </c>
      <c r="AL48" s="17">
        <v>3.6</v>
      </c>
      <c r="AM48" s="27">
        <v>0</v>
      </c>
    </row>
    <row r="49" spans="1:39" x14ac:dyDescent="0.25">
      <c r="A49" s="10">
        <v>48</v>
      </c>
      <c r="B49" s="9" t="s">
        <v>98</v>
      </c>
      <c r="C49" s="9" t="s">
        <v>146</v>
      </c>
      <c r="D49" s="10">
        <v>3</v>
      </c>
      <c r="E49" s="11">
        <v>53</v>
      </c>
      <c r="F49" s="17">
        <v>86.7</v>
      </c>
      <c r="G49" s="17">
        <v>0.6</v>
      </c>
      <c r="H49" s="17">
        <v>3</v>
      </c>
      <c r="I49" s="17">
        <v>9.3000000000000007</v>
      </c>
      <c r="J49" s="17">
        <v>2</v>
      </c>
      <c r="K49" s="17">
        <v>0</v>
      </c>
      <c r="L49" s="17">
        <v>0.4</v>
      </c>
      <c r="M49" s="19">
        <v>0.23</v>
      </c>
      <c r="N49" s="19">
        <v>0.1</v>
      </c>
      <c r="O49" s="19">
        <v>0.01</v>
      </c>
      <c r="P49" s="19">
        <v>0</v>
      </c>
      <c r="Q49" s="17">
        <v>0</v>
      </c>
      <c r="R49" s="27">
        <v>1.8</v>
      </c>
      <c r="S49" s="27">
        <v>0.8</v>
      </c>
      <c r="T49" s="27">
        <v>0</v>
      </c>
      <c r="U49" s="27">
        <v>0</v>
      </c>
      <c r="V49" s="27">
        <v>0.2</v>
      </c>
      <c r="W49" s="27">
        <v>0</v>
      </c>
      <c r="X49" s="27">
        <v>0.2</v>
      </c>
      <c r="Y49" s="27">
        <v>0.1</v>
      </c>
      <c r="Z49" s="27">
        <v>0</v>
      </c>
      <c r="AA49" s="27">
        <v>0.6</v>
      </c>
      <c r="AB49" s="27">
        <v>0.5</v>
      </c>
      <c r="AC49" s="27">
        <v>10.8</v>
      </c>
      <c r="AD49" s="17">
        <v>55</v>
      </c>
      <c r="AE49" s="27">
        <v>229.6</v>
      </c>
      <c r="AF49" s="27">
        <v>179.2</v>
      </c>
      <c r="AG49" s="27">
        <v>141.4</v>
      </c>
      <c r="AH49" s="27">
        <v>17.100000000000001</v>
      </c>
      <c r="AI49" s="27">
        <v>0.1</v>
      </c>
      <c r="AJ49" s="27">
        <v>0.9</v>
      </c>
      <c r="AK49" s="27">
        <v>0</v>
      </c>
      <c r="AL49" s="27">
        <v>3.2</v>
      </c>
      <c r="AM49" s="27">
        <v>0</v>
      </c>
    </row>
    <row r="50" spans="1:39" x14ac:dyDescent="0.25">
      <c r="A50" s="10">
        <v>49</v>
      </c>
      <c r="B50" s="9" t="s">
        <v>98</v>
      </c>
      <c r="C50" s="9" t="s">
        <v>147</v>
      </c>
      <c r="D50" s="10">
        <v>2</v>
      </c>
      <c r="E50" s="11">
        <v>114</v>
      </c>
      <c r="F50" s="17">
        <v>73.8</v>
      </c>
      <c r="G50" s="17">
        <v>0.8</v>
      </c>
      <c r="H50" s="17">
        <v>4.0999999999999996</v>
      </c>
      <c r="I50" s="17">
        <v>18.2</v>
      </c>
      <c r="J50" s="27">
        <v>18.2</v>
      </c>
      <c r="K50" s="17">
        <v>0.3</v>
      </c>
      <c r="L50" s="17">
        <v>2.8</v>
      </c>
      <c r="M50" s="19">
        <v>1.79</v>
      </c>
      <c r="N50" s="19">
        <v>0.84</v>
      </c>
      <c r="O50" s="19">
        <v>0.16</v>
      </c>
      <c r="P50" s="22" t="s">
        <v>100</v>
      </c>
      <c r="Q50" s="17">
        <v>5</v>
      </c>
      <c r="R50" s="17">
        <v>30</v>
      </c>
      <c r="S50" s="17">
        <v>0.4</v>
      </c>
      <c r="T50" s="27">
        <v>1.4</v>
      </c>
      <c r="U50" s="27">
        <v>0</v>
      </c>
      <c r="V50" s="27">
        <v>0.1</v>
      </c>
      <c r="W50" s="17">
        <v>0</v>
      </c>
      <c r="X50" s="17">
        <v>0.4</v>
      </c>
      <c r="Y50" s="17">
        <v>0.1</v>
      </c>
      <c r="Z50" s="17">
        <v>0</v>
      </c>
      <c r="AA50" s="17">
        <v>0.4</v>
      </c>
      <c r="AB50" s="17">
        <v>0.4</v>
      </c>
      <c r="AC50" s="17">
        <v>7.5</v>
      </c>
      <c r="AD50" s="17">
        <v>46.3</v>
      </c>
      <c r="AE50" s="17">
        <v>154.6</v>
      </c>
      <c r="AF50" s="17">
        <v>105</v>
      </c>
      <c r="AG50" s="17">
        <v>105</v>
      </c>
      <c r="AH50" s="17">
        <v>11.5</v>
      </c>
      <c r="AI50" s="17">
        <v>0</v>
      </c>
      <c r="AJ50" s="17">
        <v>0.6</v>
      </c>
      <c r="AK50" s="17">
        <v>0</v>
      </c>
      <c r="AL50" s="27">
        <v>3</v>
      </c>
      <c r="AM50" s="27">
        <v>0</v>
      </c>
    </row>
    <row r="51" spans="1:39" x14ac:dyDescent="0.25">
      <c r="A51" s="10">
        <v>50</v>
      </c>
      <c r="B51" s="9" t="s">
        <v>98</v>
      </c>
      <c r="C51" s="9" t="s">
        <v>148</v>
      </c>
      <c r="D51" s="10">
        <v>1</v>
      </c>
      <c r="E51" s="11">
        <v>105</v>
      </c>
      <c r="F51" s="17">
        <v>74.099999999999994</v>
      </c>
      <c r="G51" s="17">
        <v>1</v>
      </c>
      <c r="H51" s="17">
        <v>4.9000000000000004</v>
      </c>
      <c r="I51" s="17">
        <v>18.600000000000001</v>
      </c>
      <c r="J51" s="27">
        <v>18.600000000000001</v>
      </c>
      <c r="K51" s="17">
        <v>0</v>
      </c>
      <c r="L51" s="17">
        <v>1.4</v>
      </c>
      <c r="M51" s="19">
        <v>0.91</v>
      </c>
      <c r="N51" s="19">
        <v>0.39</v>
      </c>
      <c r="O51" s="19">
        <v>0.04</v>
      </c>
      <c r="P51" s="22" t="s">
        <v>100</v>
      </c>
      <c r="Q51" s="17">
        <v>6</v>
      </c>
      <c r="R51" s="27">
        <v>10.1</v>
      </c>
      <c r="S51" s="17">
        <v>0.7</v>
      </c>
      <c r="T51" s="27">
        <v>0</v>
      </c>
      <c r="U51" s="27">
        <v>0</v>
      </c>
      <c r="V51" s="27">
        <v>0.1</v>
      </c>
      <c r="W51" s="17">
        <v>0</v>
      </c>
      <c r="X51" s="17">
        <v>0.2</v>
      </c>
      <c r="Y51" s="17">
        <v>0.1</v>
      </c>
      <c r="Z51" s="17">
        <v>0.1</v>
      </c>
      <c r="AA51" s="17">
        <v>0.5</v>
      </c>
      <c r="AB51" s="17">
        <v>0.5</v>
      </c>
      <c r="AC51" s="17">
        <v>10</v>
      </c>
      <c r="AD51" s="17">
        <v>65</v>
      </c>
      <c r="AE51" s="17">
        <v>216</v>
      </c>
      <c r="AF51" s="17">
        <v>169</v>
      </c>
      <c r="AG51" s="17">
        <v>133</v>
      </c>
      <c r="AH51" s="17">
        <v>16</v>
      </c>
      <c r="AI51" s="17">
        <v>0.1</v>
      </c>
      <c r="AJ51" s="17">
        <v>0.8</v>
      </c>
      <c r="AK51" s="17">
        <v>0.1</v>
      </c>
      <c r="AL51" s="17">
        <v>3.1</v>
      </c>
      <c r="AM51" s="27">
        <v>0</v>
      </c>
    </row>
    <row r="52" spans="1:39" x14ac:dyDescent="0.25">
      <c r="A52" s="10">
        <v>51</v>
      </c>
      <c r="B52" s="9" t="s">
        <v>98</v>
      </c>
      <c r="C52" s="9" t="s">
        <v>149</v>
      </c>
      <c r="D52" s="10">
        <v>3</v>
      </c>
      <c r="E52" s="11">
        <v>56</v>
      </c>
      <c r="F52" s="17">
        <v>86</v>
      </c>
      <c r="G52" s="17">
        <v>0.5</v>
      </c>
      <c r="H52" s="17">
        <v>3</v>
      </c>
      <c r="I52" s="17">
        <v>10.1</v>
      </c>
      <c r="J52" s="27">
        <v>10.1</v>
      </c>
      <c r="K52" s="17">
        <v>0</v>
      </c>
      <c r="L52" s="17">
        <v>0.4</v>
      </c>
      <c r="M52" s="19">
        <v>0.25</v>
      </c>
      <c r="N52" s="19">
        <v>0.1</v>
      </c>
      <c r="O52" s="19">
        <v>0.01</v>
      </c>
      <c r="P52" s="19">
        <v>0</v>
      </c>
      <c r="Q52" s="17">
        <v>2.5</v>
      </c>
      <c r="R52" s="27">
        <v>6.2</v>
      </c>
      <c r="S52" s="27">
        <v>0.3</v>
      </c>
      <c r="T52" s="27">
        <v>0.7</v>
      </c>
      <c r="U52" s="27">
        <v>0</v>
      </c>
      <c r="V52" s="27">
        <v>0.1</v>
      </c>
      <c r="W52" s="27">
        <v>0</v>
      </c>
      <c r="X52" s="27">
        <v>0.1</v>
      </c>
      <c r="Y52" s="27">
        <v>0</v>
      </c>
      <c r="Z52" s="27">
        <v>0</v>
      </c>
      <c r="AA52" s="27">
        <v>0.3</v>
      </c>
      <c r="AB52" s="27">
        <v>0.2</v>
      </c>
      <c r="AC52" s="27">
        <v>5.0999999999999996</v>
      </c>
      <c r="AD52" s="17">
        <v>55</v>
      </c>
      <c r="AE52" s="27">
        <v>100.3</v>
      </c>
      <c r="AF52" s="27">
        <v>78.2</v>
      </c>
      <c r="AG52" s="27">
        <v>61.8</v>
      </c>
      <c r="AH52" s="27">
        <v>7.4</v>
      </c>
      <c r="AI52" s="27">
        <v>0</v>
      </c>
      <c r="AJ52" s="27">
        <v>0.4</v>
      </c>
      <c r="AK52" s="27">
        <v>0</v>
      </c>
      <c r="AL52" s="27">
        <v>1.6</v>
      </c>
      <c r="AM52" s="27">
        <v>0</v>
      </c>
    </row>
    <row r="53" spans="1:39" x14ac:dyDescent="0.25">
      <c r="A53" s="10">
        <v>52</v>
      </c>
      <c r="B53" s="9" t="s">
        <v>98</v>
      </c>
      <c r="C53" s="9" t="s">
        <v>150</v>
      </c>
      <c r="D53" s="10">
        <v>1</v>
      </c>
      <c r="E53" s="11">
        <v>78</v>
      </c>
      <c r="F53" s="17">
        <v>82.9</v>
      </c>
      <c r="G53" s="17">
        <v>1</v>
      </c>
      <c r="H53" s="17">
        <v>9</v>
      </c>
      <c r="I53" s="17">
        <v>2</v>
      </c>
      <c r="J53" s="17">
        <v>0.6</v>
      </c>
      <c r="K53" s="17">
        <v>0.9</v>
      </c>
      <c r="L53" s="17">
        <v>4.2</v>
      </c>
      <c r="M53" s="19">
        <v>0.79</v>
      </c>
      <c r="N53" s="19">
        <v>1.1299999999999999</v>
      </c>
      <c r="O53" s="19">
        <v>1.65</v>
      </c>
      <c r="P53" s="28">
        <v>0</v>
      </c>
      <c r="Q53" s="17">
        <v>0</v>
      </c>
      <c r="R53" s="17">
        <v>0</v>
      </c>
      <c r="S53" s="17">
        <v>0.2</v>
      </c>
      <c r="T53" s="17">
        <v>0</v>
      </c>
      <c r="U53" s="17">
        <v>0</v>
      </c>
      <c r="V53" s="17">
        <v>2.4</v>
      </c>
      <c r="W53" s="17">
        <v>0.1</v>
      </c>
      <c r="X53" s="17">
        <v>0.1</v>
      </c>
      <c r="Y53" s="17">
        <v>0.1</v>
      </c>
      <c r="Z53" s="17">
        <v>0.1</v>
      </c>
      <c r="AA53" s="17">
        <v>0.1</v>
      </c>
      <c r="AB53" s="17">
        <v>0</v>
      </c>
      <c r="AC53" s="17">
        <v>19</v>
      </c>
      <c r="AD53" s="17">
        <v>12</v>
      </c>
      <c r="AE53" s="17">
        <v>148</v>
      </c>
      <c r="AF53" s="17">
        <v>201</v>
      </c>
      <c r="AG53" s="17">
        <v>121</v>
      </c>
      <c r="AH53" s="17">
        <v>37</v>
      </c>
      <c r="AI53" s="17">
        <v>1.6</v>
      </c>
      <c r="AJ53" s="17">
        <v>0.8</v>
      </c>
      <c r="AK53" s="17">
        <v>0.2</v>
      </c>
      <c r="AL53" s="17">
        <v>9.9</v>
      </c>
      <c r="AM53" s="27">
        <v>0</v>
      </c>
    </row>
    <row r="54" spans="1:39" x14ac:dyDescent="0.25">
      <c r="A54" s="10">
        <v>53</v>
      </c>
      <c r="B54" s="9" t="s">
        <v>98</v>
      </c>
      <c r="C54" s="9" t="s">
        <v>151</v>
      </c>
      <c r="D54" s="10">
        <v>3</v>
      </c>
      <c r="E54" s="11">
        <v>95</v>
      </c>
      <c r="F54" s="17">
        <v>78.400000000000006</v>
      </c>
      <c r="G54" s="17">
        <v>0.8</v>
      </c>
      <c r="H54" s="17">
        <v>10.4</v>
      </c>
      <c r="I54" s="17">
        <v>8</v>
      </c>
      <c r="J54" s="17">
        <v>0.4</v>
      </c>
      <c r="K54" s="22" t="s">
        <v>100</v>
      </c>
      <c r="L54" s="17">
        <v>2.4</v>
      </c>
      <c r="M54" s="28">
        <v>0.35</v>
      </c>
      <c r="N54" s="28">
        <v>0.53</v>
      </c>
      <c r="O54" s="28">
        <v>1.36</v>
      </c>
      <c r="P54" s="28">
        <v>0</v>
      </c>
      <c r="Q54" s="27">
        <v>0</v>
      </c>
      <c r="R54" s="22" t="s">
        <v>100</v>
      </c>
      <c r="S54" s="27">
        <v>0.1</v>
      </c>
      <c r="T54" s="27">
        <v>0</v>
      </c>
      <c r="U54" s="27">
        <v>0</v>
      </c>
      <c r="V54" s="27">
        <v>3.4</v>
      </c>
      <c r="W54" s="27">
        <v>0.1</v>
      </c>
      <c r="X54" s="27">
        <v>0.1</v>
      </c>
      <c r="Y54" s="27">
        <v>0.3</v>
      </c>
      <c r="Z54" s="27">
        <v>0.1</v>
      </c>
      <c r="AA54" s="27">
        <v>0.1</v>
      </c>
      <c r="AB54" s="27">
        <v>0</v>
      </c>
      <c r="AC54" s="27">
        <v>21</v>
      </c>
      <c r="AD54" s="17">
        <v>73</v>
      </c>
      <c r="AE54" s="27">
        <v>169.2</v>
      </c>
      <c r="AF54" s="27">
        <v>489.3</v>
      </c>
      <c r="AG54" s="27">
        <v>135.6</v>
      </c>
      <c r="AH54" s="27">
        <v>41.9</v>
      </c>
      <c r="AI54" s="27">
        <v>7.5</v>
      </c>
      <c r="AJ54" s="27">
        <v>1.1000000000000001</v>
      </c>
      <c r="AK54" s="27">
        <v>0.3</v>
      </c>
      <c r="AL54" s="27">
        <v>12.4</v>
      </c>
      <c r="AM54" s="27">
        <v>0</v>
      </c>
    </row>
    <row r="55" spans="1:39" x14ac:dyDescent="0.25">
      <c r="A55" s="10">
        <v>54</v>
      </c>
      <c r="B55" s="9" t="s">
        <v>152</v>
      </c>
      <c r="C55" s="9" t="s">
        <v>153</v>
      </c>
      <c r="D55" s="10">
        <v>1</v>
      </c>
      <c r="E55" s="11">
        <v>143</v>
      </c>
      <c r="F55" s="17">
        <v>76.2</v>
      </c>
      <c r="G55" s="17">
        <v>1.1000000000000001</v>
      </c>
      <c r="H55" s="17">
        <v>12.6</v>
      </c>
      <c r="I55" s="17">
        <v>0.7</v>
      </c>
      <c r="J55" s="17">
        <v>0.4</v>
      </c>
      <c r="K55" s="17">
        <v>0</v>
      </c>
      <c r="L55" s="17">
        <v>9.5</v>
      </c>
      <c r="M55" s="19">
        <v>3.13</v>
      </c>
      <c r="N55" s="19">
        <v>3.66</v>
      </c>
      <c r="O55" s="19">
        <v>1.91</v>
      </c>
      <c r="P55" s="28">
        <v>0.04</v>
      </c>
      <c r="Q55" s="17">
        <v>372</v>
      </c>
      <c r="R55" s="17">
        <v>160</v>
      </c>
      <c r="S55" s="17">
        <v>0</v>
      </c>
      <c r="T55" s="17">
        <v>2</v>
      </c>
      <c r="U55" s="17">
        <v>1.1000000000000001</v>
      </c>
      <c r="V55" s="17">
        <v>0.3</v>
      </c>
      <c r="W55" s="17">
        <v>0</v>
      </c>
      <c r="X55" s="17">
        <v>0.5</v>
      </c>
      <c r="Y55" s="17">
        <v>0.1</v>
      </c>
      <c r="Z55" s="17">
        <v>0.2</v>
      </c>
      <c r="AA55" s="17">
        <v>1.5</v>
      </c>
      <c r="AB55" s="17">
        <v>0.9</v>
      </c>
      <c r="AC55" s="17">
        <v>47</v>
      </c>
      <c r="AD55" s="17">
        <v>142</v>
      </c>
      <c r="AE55" s="17">
        <v>138</v>
      </c>
      <c r="AF55" s="17">
        <v>56</v>
      </c>
      <c r="AG55" s="17">
        <v>198</v>
      </c>
      <c r="AH55" s="17">
        <v>12</v>
      </c>
      <c r="AI55" s="17">
        <v>1.8</v>
      </c>
      <c r="AJ55" s="17">
        <v>1.3</v>
      </c>
      <c r="AK55" s="17">
        <v>0.1</v>
      </c>
      <c r="AL55" s="17">
        <v>30.7</v>
      </c>
      <c r="AM55" s="27">
        <v>0</v>
      </c>
    </row>
    <row r="56" spans="1:39" x14ac:dyDescent="0.25">
      <c r="A56" s="10">
        <v>55</v>
      </c>
      <c r="B56" s="9" t="s">
        <v>152</v>
      </c>
      <c r="C56" s="9" t="s">
        <v>154</v>
      </c>
      <c r="D56" s="10">
        <v>3</v>
      </c>
      <c r="E56" s="11">
        <v>149</v>
      </c>
      <c r="F56" s="17">
        <v>75.5</v>
      </c>
      <c r="G56" s="17">
        <v>0.9</v>
      </c>
      <c r="H56" s="17">
        <v>12.4</v>
      </c>
      <c r="I56" s="17">
        <v>0.3</v>
      </c>
      <c r="J56" s="17">
        <v>0.1</v>
      </c>
      <c r="K56" s="22" t="s">
        <v>100</v>
      </c>
      <c r="L56" s="17">
        <v>10.9</v>
      </c>
      <c r="M56" s="19">
        <v>2.9</v>
      </c>
      <c r="N56" s="19">
        <v>4.51</v>
      </c>
      <c r="O56" s="19">
        <v>0.99</v>
      </c>
      <c r="P56" s="19">
        <v>0</v>
      </c>
      <c r="Q56" s="17">
        <v>367</v>
      </c>
      <c r="R56" s="27">
        <v>164.4</v>
      </c>
      <c r="S56" s="27">
        <v>0</v>
      </c>
      <c r="T56" s="27">
        <v>2.1</v>
      </c>
      <c r="U56" s="27">
        <v>1.1000000000000001</v>
      </c>
      <c r="V56" s="27">
        <v>0.3</v>
      </c>
      <c r="W56" s="27">
        <v>0</v>
      </c>
      <c r="X56" s="27">
        <v>0.5</v>
      </c>
      <c r="Y56" s="27">
        <v>0.1</v>
      </c>
      <c r="Z56" s="27">
        <v>0.2</v>
      </c>
      <c r="AA56" s="27">
        <v>1.6</v>
      </c>
      <c r="AB56" s="27">
        <v>0.9</v>
      </c>
      <c r="AC56" s="27">
        <v>48.3</v>
      </c>
      <c r="AD56" s="17">
        <v>153</v>
      </c>
      <c r="AE56" s="27">
        <v>141.80000000000001</v>
      </c>
      <c r="AF56" s="27">
        <v>57.5</v>
      </c>
      <c r="AG56" s="27">
        <v>203.4</v>
      </c>
      <c r="AH56" s="27">
        <v>12.3</v>
      </c>
      <c r="AI56" s="27">
        <v>1.8</v>
      </c>
      <c r="AJ56" s="27">
        <v>1.3</v>
      </c>
      <c r="AK56" s="27">
        <v>0.1</v>
      </c>
      <c r="AL56" s="27">
        <v>31.5</v>
      </c>
      <c r="AM56" s="27">
        <v>0</v>
      </c>
    </row>
    <row r="57" spans="1:39" x14ac:dyDescent="0.25">
      <c r="A57" s="10">
        <v>56</v>
      </c>
      <c r="B57" s="9" t="s">
        <v>152</v>
      </c>
      <c r="C57" s="9" t="s">
        <v>155</v>
      </c>
      <c r="D57" s="10">
        <v>1</v>
      </c>
      <c r="E57" s="11">
        <v>52</v>
      </c>
      <c r="F57" s="17">
        <v>87.6</v>
      </c>
      <c r="G57" s="17">
        <v>0.6</v>
      </c>
      <c r="H57" s="17">
        <v>10.9</v>
      </c>
      <c r="I57" s="17">
        <v>0.7</v>
      </c>
      <c r="J57" s="17">
        <v>0.7</v>
      </c>
      <c r="K57" s="17">
        <v>0</v>
      </c>
      <c r="L57" s="17">
        <v>0.2</v>
      </c>
      <c r="M57" s="19">
        <v>0</v>
      </c>
      <c r="N57" s="19">
        <v>0</v>
      </c>
      <c r="O57" s="19">
        <v>0</v>
      </c>
      <c r="P57" s="22" t="s">
        <v>100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0.4</v>
      </c>
      <c r="Y57" s="17">
        <v>0.1</v>
      </c>
      <c r="Z57" s="17">
        <v>0</v>
      </c>
      <c r="AA57" s="17">
        <v>0.2</v>
      </c>
      <c r="AB57" s="17">
        <v>0.1</v>
      </c>
      <c r="AC57" s="17">
        <v>4</v>
      </c>
      <c r="AD57" s="17">
        <v>166</v>
      </c>
      <c r="AE57" s="17">
        <v>163</v>
      </c>
      <c r="AF57" s="17">
        <v>7</v>
      </c>
      <c r="AG57" s="17">
        <v>15</v>
      </c>
      <c r="AH57" s="17">
        <v>11</v>
      </c>
      <c r="AI57" s="17">
        <v>0.1</v>
      </c>
      <c r="AJ57" s="17">
        <v>0</v>
      </c>
      <c r="AK57" s="17">
        <v>0</v>
      </c>
      <c r="AL57" s="17">
        <v>20</v>
      </c>
      <c r="AM57" s="27">
        <v>0</v>
      </c>
    </row>
    <row r="58" spans="1:39" x14ac:dyDescent="0.25">
      <c r="A58" s="10">
        <v>57</v>
      </c>
      <c r="B58" s="9" t="s">
        <v>152</v>
      </c>
      <c r="C58" s="9" t="s">
        <v>156</v>
      </c>
      <c r="D58" s="10">
        <v>1</v>
      </c>
      <c r="E58" s="11">
        <v>322</v>
      </c>
      <c r="F58" s="17">
        <v>52.3</v>
      </c>
      <c r="G58" s="17">
        <v>1.7</v>
      </c>
      <c r="H58" s="17">
        <v>15.9</v>
      </c>
      <c r="I58" s="17">
        <v>3.6</v>
      </c>
      <c r="J58" s="17">
        <v>0.6</v>
      </c>
      <c r="K58" s="17">
        <v>0</v>
      </c>
      <c r="L58" s="17">
        <v>26.5</v>
      </c>
      <c r="M58" s="19">
        <v>9.5500000000000007</v>
      </c>
      <c r="N58" s="19">
        <v>11.74</v>
      </c>
      <c r="O58" s="19">
        <v>4.2</v>
      </c>
      <c r="P58" s="22" t="s">
        <v>100</v>
      </c>
      <c r="Q58" s="17">
        <v>1085</v>
      </c>
      <c r="R58" s="17">
        <v>381</v>
      </c>
      <c r="S58" s="17">
        <v>0</v>
      </c>
      <c r="T58" s="17">
        <v>5.4</v>
      </c>
      <c r="U58" s="17">
        <v>2.6</v>
      </c>
      <c r="V58" s="17">
        <v>0.7</v>
      </c>
      <c r="W58" s="17">
        <v>0.2</v>
      </c>
      <c r="X58" s="17">
        <v>0.5</v>
      </c>
      <c r="Y58" s="17">
        <v>0</v>
      </c>
      <c r="Z58" s="17">
        <v>0.4</v>
      </c>
      <c r="AA58" s="17">
        <v>3</v>
      </c>
      <c r="AB58" s="17">
        <v>2</v>
      </c>
      <c r="AC58" s="17">
        <v>146</v>
      </c>
      <c r="AD58" s="17">
        <v>48</v>
      </c>
      <c r="AE58" s="17">
        <v>109</v>
      </c>
      <c r="AF58" s="17">
        <v>129</v>
      </c>
      <c r="AG58" s="17">
        <v>390</v>
      </c>
      <c r="AH58" s="17">
        <v>5</v>
      </c>
      <c r="AI58" s="17">
        <v>2.7</v>
      </c>
      <c r="AJ58" s="17">
        <v>2.2999999999999998</v>
      </c>
      <c r="AK58" s="17">
        <v>0.1</v>
      </c>
      <c r="AL58" s="17">
        <v>56</v>
      </c>
      <c r="AM58" s="27">
        <v>0</v>
      </c>
    </row>
    <row r="59" spans="1:39" x14ac:dyDescent="0.25">
      <c r="A59" s="10">
        <v>58</v>
      </c>
      <c r="B59" s="9" t="s">
        <v>152</v>
      </c>
      <c r="C59" s="9" t="s">
        <v>157</v>
      </c>
      <c r="D59" s="10">
        <v>1</v>
      </c>
      <c r="E59" s="11">
        <v>158</v>
      </c>
      <c r="F59" s="17">
        <v>74.400000000000006</v>
      </c>
      <c r="G59" s="17">
        <v>1.1000000000000001</v>
      </c>
      <c r="H59" s="17">
        <v>13.1</v>
      </c>
      <c r="I59" s="17">
        <v>0.4</v>
      </c>
      <c r="J59" s="17">
        <v>0.4</v>
      </c>
      <c r="K59" s="17">
        <v>0</v>
      </c>
      <c r="L59" s="17">
        <v>11.1</v>
      </c>
      <c r="M59" s="19">
        <v>3.56</v>
      </c>
      <c r="N59" s="19">
        <v>4.32</v>
      </c>
      <c r="O59" s="19">
        <v>1.32</v>
      </c>
      <c r="P59" s="22" t="s">
        <v>100</v>
      </c>
      <c r="Q59" s="17">
        <v>844</v>
      </c>
      <c r="R59" s="17">
        <v>156</v>
      </c>
      <c r="S59" s="17">
        <v>0</v>
      </c>
      <c r="T59" s="17">
        <v>1.4</v>
      </c>
      <c r="U59" s="17">
        <v>1.1000000000000001</v>
      </c>
      <c r="V59" s="17">
        <v>0.3</v>
      </c>
      <c r="W59" s="17">
        <v>0.1</v>
      </c>
      <c r="X59" s="17">
        <v>0.8</v>
      </c>
      <c r="Y59" s="17">
        <v>0.2</v>
      </c>
      <c r="Z59" s="17">
        <v>0.2</v>
      </c>
      <c r="AA59" s="17">
        <v>1.8</v>
      </c>
      <c r="AB59" s="17">
        <v>1.6</v>
      </c>
      <c r="AC59" s="17">
        <v>66</v>
      </c>
      <c r="AD59" s="17">
        <v>141</v>
      </c>
      <c r="AE59" s="17">
        <v>132</v>
      </c>
      <c r="AF59" s="17">
        <v>64</v>
      </c>
      <c r="AG59" s="17">
        <v>226</v>
      </c>
      <c r="AH59" s="17">
        <v>13</v>
      </c>
      <c r="AI59" s="17">
        <v>3.7</v>
      </c>
      <c r="AJ59" s="17">
        <v>1.5</v>
      </c>
      <c r="AK59" s="17">
        <v>0.1</v>
      </c>
      <c r="AL59" s="17">
        <v>32</v>
      </c>
      <c r="AM59" s="27">
        <v>0</v>
      </c>
    </row>
    <row r="60" spans="1:39" x14ac:dyDescent="0.25">
      <c r="A60" s="10">
        <v>59</v>
      </c>
      <c r="B60" s="9" t="s">
        <v>158</v>
      </c>
      <c r="C60" s="9" t="s">
        <v>159</v>
      </c>
      <c r="D60" s="10">
        <v>1</v>
      </c>
      <c r="E60" s="11">
        <v>176</v>
      </c>
      <c r="F60" s="17">
        <v>65.2</v>
      </c>
      <c r="G60" s="17">
        <v>0.8</v>
      </c>
      <c r="H60" s="17">
        <v>27.3</v>
      </c>
      <c r="I60" s="17">
        <v>0</v>
      </c>
      <c r="J60" s="27">
        <v>0</v>
      </c>
      <c r="K60" s="17">
        <v>0</v>
      </c>
      <c r="L60" s="17">
        <v>6.7</v>
      </c>
      <c r="M60" s="19">
        <v>1.84</v>
      </c>
      <c r="N60" s="19">
        <v>2.39</v>
      </c>
      <c r="O60" s="19">
        <v>1.54</v>
      </c>
      <c r="P60" s="22" t="s">
        <v>100</v>
      </c>
      <c r="Q60" s="17">
        <v>82.9</v>
      </c>
      <c r="R60" s="17">
        <v>15</v>
      </c>
      <c r="S60" s="17">
        <v>0</v>
      </c>
      <c r="T60" s="27">
        <v>0</v>
      </c>
      <c r="U60" s="17">
        <v>0.5</v>
      </c>
      <c r="V60" s="27">
        <v>2.1</v>
      </c>
      <c r="W60" s="17">
        <v>0</v>
      </c>
      <c r="X60" s="17">
        <v>0.2</v>
      </c>
      <c r="Y60" s="17">
        <v>6.1</v>
      </c>
      <c r="Z60" s="17">
        <v>0.3</v>
      </c>
      <c r="AA60" s="17">
        <v>0.7</v>
      </c>
      <c r="AB60" s="17">
        <v>0.2</v>
      </c>
      <c r="AC60" s="17">
        <v>6</v>
      </c>
      <c r="AD60" s="17">
        <v>70</v>
      </c>
      <c r="AE60" s="17">
        <v>180</v>
      </c>
      <c r="AF60" s="17">
        <v>14</v>
      </c>
      <c r="AG60" s="17">
        <v>150</v>
      </c>
      <c r="AH60" s="17">
        <v>21</v>
      </c>
      <c r="AI60" s="17">
        <v>1.2</v>
      </c>
      <c r="AJ60" s="17">
        <v>2</v>
      </c>
      <c r="AK60" s="17">
        <v>0.1</v>
      </c>
      <c r="AL60" s="17">
        <v>16.2</v>
      </c>
      <c r="AM60" s="27">
        <v>0</v>
      </c>
    </row>
    <row r="61" spans="1:39" x14ac:dyDescent="0.25">
      <c r="A61" s="10">
        <v>60</v>
      </c>
      <c r="B61" s="9" t="s">
        <v>158</v>
      </c>
      <c r="C61" s="9" t="s">
        <v>160</v>
      </c>
      <c r="D61" s="10">
        <v>2</v>
      </c>
      <c r="E61" s="11">
        <v>199</v>
      </c>
      <c r="F61" s="17">
        <v>65.2</v>
      </c>
      <c r="G61" s="17">
        <v>0.9</v>
      </c>
      <c r="H61" s="17">
        <v>22.4</v>
      </c>
      <c r="I61" s="17">
        <v>1.5</v>
      </c>
      <c r="J61" s="27">
        <v>0</v>
      </c>
      <c r="K61" s="17">
        <v>0</v>
      </c>
      <c r="L61" s="17">
        <v>11.5</v>
      </c>
      <c r="M61" s="19">
        <v>3.5</v>
      </c>
      <c r="N61" s="19">
        <v>5.46</v>
      </c>
      <c r="O61" s="19">
        <v>2.5099999999999998</v>
      </c>
      <c r="P61" s="28">
        <v>0.04</v>
      </c>
      <c r="Q61" s="17">
        <v>93</v>
      </c>
      <c r="R61" s="17">
        <v>15</v>
      </c>
      <c r="S61" s="17">
        <v>0</v>
      </c>
      <c r="T61" s="27">
        <v>0.1</v>
      </c>
      <c r="U61" s="27">
        <v>0.2</v>
      </c>
      <c r="V61" s="27">
        <v>2.4</v>
      </c>
      <c r="W61" s="27">
        <v>0.1</v>
      </c>
      <c r="X61" s="27">
        <v>0.2</v>
      </c>
      <c r="Y61" s="27">
        <v>5</v>
      </c>
      <c r="Z61" s="27">
        <v>0.3</v>
      </c>
      <c r="AA61" s="27">
        <v>1.1000000000000001</v>
      </c>
      <c r="AB61" s="27">
        <v>0.6</v>
      </c>
      <c r="AC61" s="27">
        <v>4.3</v>
      </c>
      <c r="AD61" s="17">
        <v>70</v>
      </c>
      <c r="AE61" s="17">
        <v>180</v>
      </c>
      <c r="AF61" s="17">
        <v>21</v>
      </c>
      <c r="AG61" s="17">
        <v>120</v>
      </c>
      <c r="AH61" s="27">
        <v>20.2</v>
      </c>
      <c r="AI61" s="17">
        <v>0.8</v>
      </c>
      <c r="AJ61" s="27">
        <v>1.6</v>
      </c>
      <c r="AK61" s="27">
        <v>0.1</v>
      </c>
      <c r="AL61" s="27">
        <v>19.2</v>
      </c>
      <c r="AM61" s="27">
        <v>0</v>
      </c>
    </row>
    <row r="62" spans="1:39" x14ac:dyDescent="0.25">
      <c r="A62" s="10">
        <v>61</v>
      </c>
      <c r="B62" s="9" t="s">
        <v>158</v>
      </c>
      <c r="C62" s="9" t="s">
        <v>161</v>
      </c>
      <c r="D62" s="10">
        <v>2</v>
      </c>
      <c r="E62" s="11">
        <v>130</v>
      </c>
      <c r="F62" s="17">
        <v>73.2</v>
      </c>
      <c r="G62" s="17">
        <v>0.7</v>
      </c>
      <c r="H62" s="17">
        <v>22.3</v>
      </c>
      <c r="I62" s="17">
        <v>1.7</v>
      </c>
      <c r="J62" s="27">
        <v>0</v>
      </c>
      <c r="K62" s="17">
        <v>0</v>
      </c>
      <c r="L62" s="17">
        <v>3.8</v>
      </c>
      <c r="M62" s="19">
        <v>1.1599999999999999</v>
      </c>
      <c r="N62" s="19">
        <v>1.81</v>
      </c>
      <c r="O62" s="19">
        <v>0.83</v>
      </c>
      <c r="P62" s="28">
        <v>0.04</v>
      </c>
      <c r="Q62" s="17">
        <v>94</v>
      </c>
      <c r="R62" s="17">
        <v>15</v>
      </c>
      <c r="S62" s="17">
        <v>0</v>
      </c>
      <c r="T62" s="27">
        <v>0.4</v>
      </c>
      <c r="U62" s="27">
        <v>0.2</v>
      </c>
      <c r="V62" s="27">
        <v>0</v>
      </c>
      <c r="W62" s="27">
        <v>0.1</v>
      </c>
      <c r="X62" s="27">
        <v>0.1</v>
      </c>
      <c r="Y62" s="27">
        <v>8.6999999999999993</v>
      </c>
      <c r="Z62" s="27">
        <v>0.5</v>
      </c>
      <c r="AA62" s="27">
        <v>0.7</v>
      </c>
      <c r="AB62" s="27">
        <v>0.3</v>
      </c>
      <c r="AC62" s="27">
        <v>3.5</v>
      </c>
      <c r="AD62" s="17">
        <v>70</v>
      </c>
      <c r="AE62" s="17">
        <v>180</v>
      </c>
      <c r="AF62" s="17">
        <v>28</v>
      </c>
      <c r="AG62" s="17">
        <v>91</v>
      </c>
      <c r="AH62" s="27">
        <v>21.9</v>
      </c>
      <c r="AI62" s="17">
        <v>2.2000000000000002</v>
      </c>
      <c r="AJ62" s="27">
        <v>0.7</v>
      </c>
      <c r="AK62" s="27">
        <v>0</v>
      </c>
      <c r="AL62" s="27">
        <v>14.6</v>
      </c>
      <c r="AM62" s="27">
        <v>0</v>
      </c>
    </row>
    <row r="63" spans="1:39" x14ac:dyDescent="0.25">
      <c r="A63" s="10">
        <v>62</v>
      </c>
      <c r="B63" s="9" t="s">
        <v>158</v>
      </c>
      <c r="C63" s="9" t="s">
        <v>162</v>
      </c>
      <c r="D63" s="10">
        <v>3</v>
      </c>
      <c r="E63" s="11">
        <v>114</v>
      </c>
      <c r="F63" s="17">
        <v>72.3</v>
      </c>
      <c r="G63" s="17">
        <v>1.7</v>
      </c>
      <c r="H63" s="17">
        <v>22.2</v>
      </c>
      <c r="I63" s="17">
        <v>1.9</v>
      </c>
      <c r="J63" s="27">
        <v>0</v>
      </c>
      <c r="K63" s="22" t="s">
        <v>100</v>
      </c>
      <c r="L63" s="17">
        <v>1.9</v>
      </c>
      <c r="M63" s="28">
        <v>0.41</v>
      </c>
      <c r="N63" s="28">
        <v>0.5</v>
      </c>
      <c r="O63" s="28">
        <v>0.31</v>
      </c>
      <c r="P63" s="28">
        <v>0.01</v>
      </c>
      <c r="Q63" s="27">
        <v>73</v>
      </c>
      <c r="R63" s="27">
        <v>9.6</v>
      </c>
      <c r="S63" s="27">
        <v>0</v>
      </c>
      <c r="T63" s="27">
        <v>0</v>
      </c>
      <c r="U63" s="27">
        <v>0.6</v>
      </c>
      <c r="V63" s="27">
        <v>0</v>
      </c>
      <c r="W63" s="27">
        <v>0.1</v>
      </c>
      <c r="X63" s="27">
        <v>0.2</v>
      </c>
      <c r="Y63" s="27">
        <v>10.199999999999999</v>
      </c>
      <c r="Z63" s="27">
        <v>0.9</v>
      </c>
      <c r="AA63" s="27">
        <v>1.6</v>
      </c>
      <c r="AB63" s="27">
        <v>0.2</v>
      </c>
      <c r="AC63" s="27">
        <v>9.6</v>
      </c>
      <c r="AD63" s="27">
        <v>47.8</v>
      </c>
      <c r="AE63" s="27">
        <v>354.5</v>
      </c>
      <c r="AF63" s="27">
        <v>5.3</v>
      </c>
      <c r="AG63" s="27">
        <v>226.1</v>
      </c>
      <c r="AH63" s="27">
        <v>29.7</v>
      </c>
      <c r="AI63" s="27">
        <v>0.4</v>
      </c>
      <c r="AJ63" s="27">
        <v>0.7</v>
      </c>
      <c r="AK63" s="27">
        <v>0</v>
      </c>
      <c r="AL63" s="27">
        <v>24.2</v>
      </c>
      <c r="AM63" s="27">
        <v>0</v>
      </c>
    </row>
    <row r="64" spans="1:39" x14ac:dyDescent="0.25">
      <c r="A64" s="10">
        <v>63</v>
      </c>
      <c r="B64" s="9" t="s">
        <v>158</v>
      </c>
      <c r="C64" s="9" t="s">
        <v>163</v>
      </c>
      <c r="D64" s="10">
        <v>1</v>
      </c>
      <c r="E64" s="11">
        <v>201</v>
      </c>
      <c r="F64" s="17">
        <v>64.2</v>
      </c>
      <c r="G64" s="17">
        <v>1.1000000000000001</v>
      </c>
      <c r="H64" s="17">
        <v>23.5</v>
      </c>
      <c r="I64" s="17">
        <v>0</v>
      </c>
      <c r="J64" s="17">
        <v>0</v>
      </c>
      <c r="K64" s="17">
        <v>0</v>
      </c>
      <c r="L64" s="17">
        <v>11.2</v>
      </c>
      <c r="M64" s="19">
        <v>3.95</v>
      </c>
      <c r="N64" s="19">
        <v>3.86</v>
      </c>
      <c r="O64" s="19">
        <v>1.49</v>
      </c>
      <c r="P64" s="22" t="s">
        <v>100</v>
      </c>
      <c r="Q64" s="17">
        <v>89</v>
      </c>
      <c r="R64" s="17">
        <v>23</v>
      </c>
      <c r="S64" s="17">
        <v>0</v>
      </c>
      <c r="T64" s="17">
        <v>0.1</v>
      </c>
      <c r="U64" s="17">
        <v>0.7</v>
      </c>
      <c r="V64" s="17">
        <v>3.8</v>
      </c>
      <c r="W64" s="17">
        <v>0.3</v>
      </c>
      <c r="X64" s="17">
        <v>0.5</v>
      </c>
      <c r="Y64" s="17">
        <v>5.0999999999999996</v>
      </c>
      <c r="Z64" s="17">
        <v>0.3</v>
      </c>
      <c r="AA64" s="17">
        <v>1.5</v>
      </c>
      <c r="AB64" s="17">
        <v>0.4</v>
      </c>
      <c r="AC64" s="17">
        <v>10</v>
      </c>
      <c r="AD64" s="17">
        <v>65</v>
      </c>
      <c r="AE64" s="17">
        <v>252</v>
      </c>
      <c r="AF64" s="17">
        <v>12</v>
      </c>
      <c r="AG64" s="17">
        <v>203</v>
      </c>
      <c r="AH64" s="17">
        <v>20</v>
      </c>
      <c r="AI64" s="17">
        <v>2.7</v>
      </c>
      <c r="AJ64" s="17">
        <v>2.6</v>
      </c>
      <c r="AK64" s="17">
        <v>0.2</v>
      </c>
      <c r="AL64" s="17">
        <v>22.4</v>
      </c>
      <c r="AM64" s="27">
        <v>0</v>
      </c>
    </row>
    <row r="65" spans="1:39" x14ac:dyDescent="0.25">
      <c r="A65" s="10">
        <v>64</v>
      </c>
      <c r="B65" s="9" t="s">
        <v>158</v>
      </c>
      <c r="C65" s="9" t="s">
        <v>164</v>
      </c>
      <c r="D65" s="10">
        <v>2</v>
      </c>
      <c r="E65" s="11">
        <v>123</v>
      </c>
      <c r="F65" s="17">
        <v>73.7</v>
      </c>
      <c r="G65" s="17">
        <v>1</v>
      </c>
      <c r="H65" s="17">
        <v>22</v>
      </c>
      <c r="I65" s="17">
        <v>1.2</v>
      </c>
      <c r="J65" s="27">
        <v>0.1</v>
      </c>
      <c r="K65" s="17">
        <v>0</v>
      </c>
      <c r="L65" s="17">
        <v>3.3</v>
      </c>
      <c r="M65" s="19">
        <v>1.64</v>
      </c>
      <c r="N65" s="19">
        <v>1.03</v>
      </c>
      <c r="O65" s="19">
        <v>1.43</v>
      </c>
      <c r="P65" s="22" t="s">
        <v>100</v>
      </c>
      <c r="Q65" s="17">
        <v>75.7</v>
      </c>
      <c r="R65" s="27">
        <v>14.3</v>
      </c>
      <c r="S65" s="27">
        <v>0</v>
      </c>
      <c r="T65" s="27">
        <v>0.3</v>
      </c>
      <c r="U65" s="27">
        <v>0.1</v>
      </c>
      <c r="V65" s="27">
        <v>0</v>
      </c>
      <c r="W65" s="27">
        <v>0.1</v>
      </c>
      <c r="X65" s="27">
        <v>0.3</v>
      </c>
      <c r="Y65" s="27">
        <v>6.2</v>
      </c>
      <c r="Z65" s="27">
        <v>0.5</v>
      </c>
      <c r="AA65" s="27">
        <v>1</v>
      </c>
      <c r="AB65" s="27">
        <v>2.2000000000000002</v>
      </c>
      <c r="AC65" s="27">
        <v>7.7</v>
      </c>
      <c r="AD65" s="17">
        <v>70</v>
      </c>
      <c r="AE65" s="17">
        <v>298</v>
      </c>
      <c r="AF65" s="17">
        <v>23</v>
      </c>
      <c r="AG65" s="17">
        <v>141</v>
      </c>
      <c r="AH65" s="27">
        <v>27.4</v>
      </c>
      <c r="AI65" s="17">
        <v>2.2000000000000002</v>
      </c>
      <c r="AJ65" s="27">
        <v>2.8</v>
      </c>
      <c r="AK65" s="27">
        <v>0.1</v>
      </c>
      <c r="AL65" s="27">
        <v>24.6</v>
      </c>
      <c r="AM65" s="27">
        <v>0</v>
      </c>
    </row>
    <row r="66" spans="1:39" x14ac:dyDescent="0.25">
      <c r="A66" s="10">
        <v>65</v>
      </c>
      <c r="B66" s="9" t="s">
        <v>158</v>
      </c>
      <c r="C66" s="9" t="s">
        <v>165</v>
      </c>
      <c r="D66" s="10">
        <v>1</v>
      </c>
      <c r="E66" s="11">
        <v>189</v>
      </c>
      <c r="F66" s="17">
        <v>63.5</v>
      </c>
      <c r="G66" s="17">
        <v>1.2</v>
      </c>
      <c r="H66" s="17">
        <v>28.6</v>
      </c>
      <c r="I66" s="17">
        <v>0.1</v>
      </c>
      <c r="J66" s="17">
        <v>0</v>
      </c>
      <c r="K66" s="17">
        <v>0</v>
      </c>
      <c r="L66" s="17">
        <v>7.4</v>
      </c>
      <c r="M66" s="19">
        <v>2.16</v>
      </c>
      <c r="N66" s="19">
        <v>2.65</v>
      </c>
      <c r="O66" s="19">
        <v>2.12</v>
      </c>
      <c r="P66" s="28">
        <v>0.09</v>
      </c>
      <c r="Q66" s="17">
        <v>109</v>
      </c>
      <c r="R66" s="17">
        <v>12</v>
      </c>
      <c r="S66" s="17">
        <v>0</v>
      </c>
      <c r="T66" s="17">
        <v>0.4</v>
      </c>
      <c r="U66" s="17">
        <v>0.1</v>
      </c>
      <c r="V66" s="17">
        <v>0</v>
      </c>
      <c r="W66" s="17">
        <v>0</v>
      </c>
      <c r="X66" s="17">
        <v>0.3</v>
      </c>
      <c r="Y66" s="17">
        <v>9.6</v>
      </c>
      <c r="Z66" s="17">
        <v>0.6</v>
      </c>
      <c r="AA66" s="17">
        <v>0.9</v>
      </c>
      <c r="AB66" s="17">
        <v>1</v>
      </c>
      <c r="AC66" s="17">
        <v>9</v>
      </c>
      <c r="AD66" s="17">
        <v>103</v>
      </c>
      <c r="AE66" s="17">
        <v>239</v>
      </c>
      <c r="AF66" s="17">
        <v>14</v>
      </c>
      <c r="AG66" s="17">
        <v>223</v>
      </c>
      <c r="AH66" s="17">
        <v>30</v>
      </c>
      <c r="AI66" s="17">
        <v>1.1000000000000001</v>
      </c>
      <c r="AJ66" s="17">
        <v>2.5</v>
      </c>
      <c r="AK66" s="17">
        <v>0.1</v>
      </c>
      <c r="AL66" s="17">
        <v>29.8</v>
      </c>
      <c r="AM66" s="27">
        <v>0</v>
      </c>
    </row>
    <row r="67" spans="1:39" x14ac:dyDescent="0.25">
      <c r="A67" s="10">
        <v>66</v>
      </c>
      <c r="B67" s="9" t="s">
        <v>158</v>
      </c>
      <c r="C67" s="9" t="s">
        <v>166</v>
      </c>
      <c r="D67" s="10">
        <v>1</v>
      </c>
      <c r="E67" s="11">
        <v>293</v>
      </c>
      <c r="F67" s="17">
        <v>53.4</v>
      </c>
      <c r="G67" s="17">
        <v>0.8</v>
      </c>
      <c r="H67" s="17">
        <v>25.1</v>
      </c>
      <c r="I67" s="17">
        <v>0</v>
      </c>
      <c r="J67" s="27">
        <v>0</v>
      </c>
      <c r="K67" s="17">
        <v>0</v>
      </c>
      <c r="L67" s="17">
        <v>20.7</v>
      </c>
      <c r="M67" s="19">
        <v>7.51</v>
      </c>
      <c r="N67" s="19">
        <v>9.49</v>
      </c>
      <c r="O67" s="19">
        <v>2.34</v>
      </c>
      <c r="P67" s="28">
        <v>0.13</v>
      </c>
      <c r="Q67" s="17">
        <v>93.1</v>
      </c>
      <c r="R67" s="17">
        <v>3</v>
      </c>
      <c r="S67" s="17">
        <v>0.3</v>
      </c>
      <c r="T67" s="27">
        <v>0.8</v>
      </c>
      <c r="U67" s="17">
        <v>0.4</v>
      </c>
      <c r="V67" s="27">
        <v>0</v>
      </c>
      <c r="W67" s="17">
        <v>0.6</v>
      </c>
      <c r="X67" s="17">
        <v>0.3</v>
      </c>
      <c r="Y67" s="17">
        <v>4.5999999999999996</v>
      </c>
      <c r="Z67" s="17">
        <v>0.4</v>
      </c>
      <c r="AA67" s="17">
        <v>0.6</v>
      </c>
      <c r="AB67" s="17">
        <v>0.7</v>
      </c>
      <c r="AC67" s="17">
        <v>10</v>
      </c>
      <c r="AD67" s="17">
        <v>59.1</v>
      </c>
      <c r="AE67" s="17">
        <v>328</v>
      </c>
      <c r="AF67" s="17">
        <v>6</v>
      </c>
      <c r="AG67" s="17">
        <v>246</v>
      </c>
      <c r="AH67" s="17">
        <v>22</v>
      </c>
      <c r="AI67" s="17">
        <v>1</v>
      </c>
      <c r="AJ67" s="17">
        <v>2.9</v>
      </c>
      <c r="AK67" s="17">
        <v>0.1</v>
      </c>
      <c r="AL67" s="17">
        <v>35.1</v>
      </c>
      <c r="AM67" s="27">
        <v>0</v>
      </c>
    </row>
    <row r="68" spans="1:39" x14ac:dyDescent="0.25">
      <c r="A68" s="10">
        <v>67</v>
      </c>
      <c r="B68" s="9" t="s">
        <v>158</v>
      </c>
      <c r="C68" s="9" t="s">
        <v>167</v>
      </c>
      <c r="D68" s="10">
        <v>2</v>
      </c>
      <c r="E68" s="11">
        <v>264</v>
      </c>
      <c r="F68" s="17">
        <v>56.1</v>
      </c>
      <c r="G68" s="17">
        <v>0.7</v>
      </c>
      <c r="H68" s="17">
        <v>20.6</v>
      </c>
      <c r="I68" s="17">
        <v>4.4000000000000004</v>
      </c>
      <c r="J68" s="27">
        <v>0</v>
      </c>
      <c r="K68" s="17">
        <v>0</v>
      </c>
      <c r="L68" s="17">
        <v>18.2</v>
      </c>
      <c r="M68" s="19">
        <v>7.7</v>
      </c>
      <c r="N68" s="19">
        <v>9.0299999999999994</v>
      </c>
      <c r="O68" s="19">
        <v>1.47</v>
      </c>
      <c r="P68" s="28">
        <v>0.18</v>
      </c>
      <c r="Q68" s="27">
        <v>63</v>
      </c>
      <c r="R68" s="17">
        <v>0</v>
      </c>
      <c r="S68" s="27">
        <v>0</v>
      </c>
      <c r="T68" s="27">
        <v>1.1000000000000001</v>
      </c>
      <c r="U68" s="27">
        <v>0.3</v>
      </c>
      <c r="V68" s="27">
        <v>0</v>
      </c>
      <c r="W68" s="27">
        <v>0.8</v>
      </c>
      <c r="X68" s="27">
        <v>0.3</v>
      </c>
      <c r="Y68" s="27">
        <v>6.3</v>
      </c>
      <c r="Z68" s="27">
        <v>0.6</v>
      </c>
      <c r="AA68" s="27">
        <v>1.4</v>
      </c>
      <c r="AB68" s="27">
        <v>0.8</v>
      </c>
      <c r="AC68" s="27">
        <v>0</v>
      </c>
      <c r="AD68" s="17">
        <v>161</v>
      </c>
      <c r="AE68" s="17">
        <v>731</v>
      </c>
      <c r="AF68" s="17">
        <v>21</v>
      </c>
      <c r="AG68" s="17">
        <v>107</v>
      </c>
      <c r="AH68" s="27">
        <v>25</v>
      </c>
      <c r="AI68" s="17">
        <v>1.3</v>
      </c>
      <c r="AJ68" s="27">
        <v>3</v>
      </c>
      <c r="AK68" s="27">
        <v>0.1</v>
      </c>
      <c r="AL68" s="27">
        <v>30.4</v>
      </c>
      <c r="AM68" s="27">
        <v>0</v>
      </c>
    </row>
    <row r="69" spans="1:39" x14ac:dyDescent="0.25">
      <c r="A69" s="10">
        <v>68</v>
      </c>
      <c r="B69" s="9" t="s">
        <v>158</v>
      </c>
      <c r="C69" s="9" t="s">
        <v>168</v>
      </c>
      <c r="D69" s="10">
        <v>3</v>
      </c>
      <c r="E69" s="11">
        <v>90</v>
      </c>
      <c r="F69" s="17">
        <v>79.7</v>
      </c>
      <c r="G69" s="17">
        <v>1.6</v>
      </c>
      <c r="H69" s="17">
        <v>15.3</v>
      </c>
      <c r="I69" s="17">
        <v>0.3</v>
      </c>
      <c r="J69" s="17">
        <v>0.3</v>
      </c>
      <c r="K69" s="22" t="s">
        <v>100</v>
      </c>
      <c r="L69" s="17">
        <v>3</v>
      </c>
      <c r="M69" s="19">
        <v>1.01</v>
      </c>
      <c r="N69" s="19">
        <v>1.3</v>
      </c>
      <c r="O69" s="19">
        <v>0.57999999999999996</v>
      </c>
      <c r="P69" s="19">
        <v>0</v>
      </c>
      <c r="Q69" s="17">
        <v>32.1</v>
      </c>
      <c r="R69" s="27">
        <v>0</v>
      </c>
      <c r="S69" s="27">
        <v>0</v>
      </c>
      <c r="T69" s="27">
        <v>0.2</v>
      </c>
      <c r="U69" s="27">
        <v>0.2</v>
      </c>
      <c r="V69" s="27">
        <v>0</v>
      </c>
      <c r="W69" s="27">
        <v>0.8</v>
      </c>
      <c r="X69" s="27">
        <v>0.3</v>
      </c>
      <c r="Y69" s="27">
        <v>5.7</v>
      </c>
      <c r="Z69" s="27">
        <v>0.7</v>
      </c>
      <c r="AA69" s="27">
        <v>0.7</v>
      </c>
      <c r="AB69" s="27">
        <v>0.4</v>
      </c>
      <c r="AC69" s="27">
        <v>0</v>
      </c>
      <c r="AD69" s="17">
        <v>339</v>
      </c>
      <c r="AE69" s="27">
        <v>337.5</v>
      </c>
      <c r="AF69" s="27">
        <v>4.2</v>
      </c>
      <c r="AG69" s="27">
        <v>208.9</v>
      </c>
      <c r="AH69" s="27">
        <v>22.8</v>
      </c>
      <c r="AI69" s="27">
        <v>0.8</v>
      </c>
      <c r="AJ69" s="27">
        <v>1.6</v>
      </c>
      <c r="AK69" s="27">
        <v>0.1</v>
      </c>
      <c r="AL69" s="27">
        <v>26.1</v>
      </c>
      <c r="AM69" s="27">
        <v>0</v>
      </c>
    </row>
    <row r="70" spans="1:39" x14ac:dyDescent="0.25">
      <c r="A70" s="10">
        <v>69</v>
      </c>
      <c r="B70" s="9" t="s">
        <v>158</v>
      </c>
      <c r="C70" s="9" t="s">
        <v>169</v>
      </c>
      <c r="D70" s="10">
        <v>3</v>
      </c>
      <c r="E70" s="11">
        <v>164</v>
      </c>
      <c r="F70" s="17">
        <v>71.099999999999994</v>
      </c>
      <c r="G70" s="17">
        <v>1.3</v>
      </c>
      <c r="H70" s="17">
        <v>16.600000000000001</v>
      </c>
      <c r="I70" s="17">
        <v>0.2</v>
      </c>
      <c r="J70" s="17">
        <v>0.1</v>
      </c>
      <c r="K70" s="27">
        <v>0</v>
      </c>
      <c r="L70" s="17">
        <v>10.7</v>
      </c>
      <c r="M70" s="19">
        <v>4.04</v>
      </c>
      <c r="N70" s="19">
        <v>4.92</v>
      </c>
      <c r="O70" s="19">
        <v>1.24</v>
      </c>
      <c r="P70" s="19">
        <v>0</v>
      </c>
      <c r="Q70" s="17">
        <v>55.7</v>
      </c>
      <c r="R70" s="27">
        <v>0</v>
      </c>
      <c r="S70" s="27">
        <v>0.5</v>
      </c>
      <c r="T70" s="27">
        <v>0.4</v>
      </c>
      <c r="U70" s="22" t="s">
        <v>100</v>
      </c>
      <c r="V70" s="22" t="s">
        <v>100</v>
      </c>
      <c r="W70" s="27">
        <v>0.6</v>
      </c>
      <c r="X70" s="27">
        <v>0.2</v>
      </c>
      <c r="Y70" s="27">
        <v>3.5</v>
      </c>
      <c r="Z70" s="27">
        <v>0.3</v>
      </c>
      <c r="AA70" s="27">
        <v>0.5</v>
      </c>
      <c r="AB70" s="27">
        <v>0.5</v>
      </c>
      <c r="AC70" s="27">
        <v>5.4</v>
      </c>
      <c r="AD70" s="17">
        <v>204</v>
      </c>
      <c r="AE70" s="27">
        <v>242.6</v>
      </c>
      <c r="AF70" s="27">
        <v>3.9</v>
      </c>
      <c r="AG70" s="27">
        <v>153.19999999999999</v>
      </c>
      <c r="AH70" s="27">
        <v>15.4</v>
      </c>
      <c r="AI70" s="27">
        <v>0.7</v>
      </c>
      <c r="AJ70" s="27">
        <v>1.5</v>
      </c>
      <c r="AK70" s="27">
        <v>0.1</v>
      </c>
      <c r="AL70" s="27">
        <v>22.6</v>
      </c>
      <c r="AM70" s="27">
        <v>0</v>
      </c>
    </row>
    <row r="71" spans="1:39" x14ac:dyDescent="0.25">
      <c r="A71" s="10">
        <v>70</v>
      </c>
      <c r="B71" s="9" t="s">
        <v>158</v>
      </c>
      <c r="C71" s="9" t="s">
        <v>170</v>
      </c>
      <c r="D71" s="10">
        <v>3</v>
      </c>
      <c r="E71" s="11">
        <v>284</v>
      </c>
      <c r="F71" s="17">
        <v>59.3</v>
      </c>
      <c r="G71" s="17">
        <v>1</v>
      </c>
      <c r="H71" s="17">
        <v>13.7</v>
      </c>
      <c r="I71" s="17">
        <v>0.9</v>
      </c>
      <c r="J71" s="17">
        <v>0.1</v>
      </c>
      <c r="K71" s="27">
        <v>0</v>
      </c>
      <c r="L71" s="17">
        <v>25</v>
      </c>
      <c r="M71" s="19">
        <v>10.15</v>
      </c>
      <c r="N71" s="19">
        <v>11.23</v>
      </c>
      <c r="O71" s="19">
        <v>2.35</v>
      </c>
      <c r="P71" s="19">
        <v>0.1</v>
      </c>
      <c r="Q71" s="17">
        <v>56</v>
      </c>
      <c r="R71" s="27">
        <v>2.7</v>
      </c>
      <c r="S71" s="27">
        <v>0</v>
      </c>
      <c r="T71" s="27">
        <v>0.7</v>
      </c>
      <c r="U71" s="27">
        <v>0.2</v>
      </c>
      <c r="V71" s="27">
        <v>0</v>
      </c>
      <c r="W71" s="27">
        <v>0.7</v>
      </c>
      <c r="X71" s="27">
        <v>0.3</v>
      </c>
      <c r="Y71" s="27">
        <v>8.9</v>
      </c>
      <c r="Z71" s="27">
        <v>0.9</v>
      </c>
      <c r="AA71" s="27">
        <v>0.9</v>
      </c>
      <c r="AB71" s="27">
        <v>0.7</v>
      </c>
      <c r="AC71" s="27">
        <v>0</v>
      </c>
      <c r="AD71" s="17">
        <v>156</v>
      </c>
      <c r="AE71" s="27">
        <v>460.7</v>
      </c>
      <c r="AF71" s="27">
        <v>25.5</v>
      </c>
      <c r="AG71" s="27">
        <v>280.7</v>
      </c>
      <c r="AH71" s="27">
        <v>33.6</v>
      </c>
      <c r="AI71" s="27">
        <v>0.8</v>
      </c>
      <c r="AJ71" s="27">
        <v>2.4</v>
      </c>
      <c r="AK71" s="27">
        <v>0.1</v>
      </c>
      <c r="AL71" s="27">
        <v>45.4</v>
      </c>
      <c r="AM71" s="27">
        <v>0</v>
      </c>
    </row>
    <row r="72" spans="1:39" x14ac:dyDescent="0.25">
      <c r="A72" s="10">
        <v>71</v>
      </c>
      <c r="B72" s="9" t="s">
        <v>158</v>
      </c>
      <c r="C72" s="9" t="s">
        <v>171</v>
      </c>
      <c r="D72" s="10">
        <v>3</v>
      </c>
      <c r="E72" s="11">
        <v>312</v>
      </c>
      <c r="F72" s="17">
        <v>56.1</v>
      </c>
      <c r="G72" s="17">
        <v>0.9</v>
      </c>
      <c r="H72" s="17">
        <v>14.7</v>
      </c>
      <c r="I72" s="17">
        <v>0.2</v>
      </c>
      <c r="J72" s="17">
        <v>0.1</v>
      </c>
      <c r="K72" s="22" t="s">
        <v>100</v>
      </c>
      <c r="L72" s="17">
        <v>28.1</v>
      </c>
      <c r="M72" s="19">
        <v>11.34</v>
      </c>
      <c r="N72" s="19">
        <v>12.48</v>
      </c>
      <c r="O72" s="19">
        <v>2.84</v>
      </c>
      <c r="P72" s="19">
        <v>0.1</v>
      </c>
      <c r="Q72" s="17">
        <v>51.5</v>
      </c>
      <c r="R72" s="27">
        <v>2.7</v>
      </c>
      <c r="S72" s="27">
        <v>0</v>
      </c>
      <c r="T72" s="27">
        <v>1</v>
      </c>
      <c r="U72" s="27">
        <v>0.2</v>
      </c>
      <c r="V72" s="27">
        <v>0</v>
      </c>
      <c r="W72" s="27">
        <v>0.6</v>
      </c>
      <c r="X72" s="27">
        <v>0.2</v>
      </c>
      <c r="Y72" s="27">
        <v>8.6</v>
      </c>
      <c r="Z72" s="27">
        <v>0.9</v>
      </c>
      <c r="AA72" s="27">
        <v>0.9</v>
      </c>
      <c r="AB72" s="27">
        <v>0.7</v>
      </c>
      <c r="AC72" s="27">
        <v>0</v>
      </c>
      <c r="AD72" s="17">
        <v>148</v>
      </c>
      <c r="AE72" s="27">
        <v>459.9</v>
      </c>
      <c r="AF72" s="27">
        <v>34.1</v>
      </c>
      <c r="AG72" s="27">
        <v>277</v>
      </c>
      <c r="AH72" s="27">
        <v>31.4</v>
      </c>
      <c r="AI72" s="27">
        <v>0.8</v>
      </c>
      <c r="AJ72" s="27">
        <v>2.5</v>
      </c>
      <c r="AK72" s="27">
        <v>0.1</v>
      </c>
      <c r="AL72" s="27">
        <v>48.4</v>
      </c>
      <c r="AM72" s="27">
        <v>0</v>
      </c>
    </row>
    <row r="73" spans="1:39" x14ac:dyDescent="0.25">
      <c r="A73" s="10">
        <v>72</v>
      </c>
      <c r="B73" s="9" t="s">
        <v>158</v>
      </c>
      <c r="C73" s="9" t="s">
        <v>172</v>
      </c>
      <c r="D73" s="10">
        <v>3</v>
      </c>
      <c r="E73" s="11">
        <v>210</v>
      </c>
      <c r="F73" s="17">
        <v>64.900000000000006</v>
      </c>
      <c r="G73" s="17">
        <v>1.9</v>
      </c>
      <c r="H73" s="17">
        <v>17.5</v>
      </c>
      <c r="I73" s="17">
        <v>0.1</v>
      </c>
      <c r="J73" s="17">
        <v>0.1</v>
      </c>
      <c r="K73" s="22" t="s">
        <v>100</v>
      </c>
      <c r="L73" s="17">
        <v>15.5</v>
      </c>
      <c r="M73" s="19">
        <v>5.72</v>
      </c>
      <c r="N73" s="19">
        <v>6.64</v>
      </c>
      <c r="O73" s="19">
        <v>1.56</v>
      </c>
      <c r="P73" s="19">
        <v>0</v>
      </c>
      <c r="Q73" s="17">
        <v>73</v>
      </c>
      <c r="R73" s="27">
        <v>0</v>
      </c>
      <c r="S73" s="27">
        <v>0</v>
      </c>
      <c r="T73" s="27">
        <v>2</v>
      </c>
      <c r="U73" s="27">
        <v>0.3</v>
      </c>
      <c r="V73" s="27">
        <v>0</v>
      </c>
      <c r="W73" s="27">
        <v>0.3</v>
      </c>
      <c r="X73" s="27">
        <v>0.2</v>
      </c>
      <c r="Y73" s="27">
        <v>4.0999999999999996</v>
      </c>
      <c r="Z73" s="27">
        <v>0.5</v>
      </c>
      <c r="AA73" s="27">
        <v>0.5</v>
      </c>
      <c r="AB73" s="27">
        <v>0.3</v>
      </c>
      <c r="AC73" s="27">
        <v>0</v>
      </c>
      <c r="AD73" s="17">
        <v>117</v>
      </c>
      <c r="AE73" s="27">
        <v>211</v>
      </c>
      <c r="AF73" s="27">
        <v>13.1</v>
      </c>
      <c r="AG73" s="27">
        <v>123</v>
      </c>
      <c r="AH73" s="27">
        <v>14</v>
      </c>
      <c r="AI73" s="27">
        <v>0.8</v>
      </c>
      <c r="AJ73" s="27">
        <v>2.2000000000000002</v>
      </c>
      <c r="AK73" s="27">
        <v>0.1</v>
      </c>
      <c r="AL73" s="27">
        <v>19.2</v>
      </c>
      <c r="AM73" s="27">
        <v>0</v>
      </c>
    </row>
    <row r="74" spans="1:39" x14ac:dyDescent="0.25">
      <c r="A74" s="10">
        <v>73</v>
      </c>
      <c r="B74" s="9" t="s">
        <v>158</v>
      </c>
      <c r="C74" s="9" t="s">
        <v>173</v>
      </c>
      <c r="D74" s="10">
        <v>3</v>
      </c>
      <c r="E74" s="11">
        <v>209</v>
      </c>
      <c r="F74" s="17">
        <v>66</v>
      </c>
      <c r="G74" s="17">
        <v>1.1000000000000001</v>
      </c>
      <c r="H74" s="17">
        <v>17.2</v>
      </c>
      <c r="I74" s="17">
        <v>0.2</v>
      </c>
      <c r="J74" s="17">
        <v>0.1</v>
      </c>
      <c r="K74" s="22" t="s">
        <v>100</v>
      </c>
      <c r="L74" s="17">
        <v>15.5</v>
      </c>
      <c r="M74" s="19">
        <v>6.08</v>
      </c>
      <c r="N74" s="19">
        <v>6.17</v>
      </c>
      <c r="O74" s="19">
        <v>2.5</v>
      </c>
      <c r="P74" s="19">
        <v>0</v>
      </c>
      <c r="Q74" s="17">
        <v>55.1</v>
      </c>
      <c r="R74" s="27">
        <v>0</v>
      </c>
      <c r="S74" s="27">
        <v>0</v>
      </c>
      <c r="T74" s="27">
        <v>1.9</v>
      </c>
      <c r="U74" s="27">
        <v>0.3</v>
      </c>
      <c r="V74" s="27">
        <v>0</v>
      </c>
      <c r="W74" s="27">
        <v>0.3</v>
      </c>
      <c r="X74" s="27">
        <v>0.2</v>
      </c>
      <c r="Y74" s="27">
        <v>3.9</v>
      </c>
      <c r="Z74" s="27">
        <v>0.5</v>
      </c>
      <c r="AA74" s="27">
        <v>0.5</v>
      </c>
      <c r="AB74" s="27">
        <v>0.3</v>
      </c>
      <c r="AC74" s="27">
        <v>0</v>
      </c>
      <c r="AD74" s="17">
        <v>154</v>
      </c>
      <c r="AE74" s="27">
        <v>204.4</v>
      </c>
      <c r="AF74" s="27">
        <v>12.7</v>
      </c>
      <c r="AG74" s="27">
        <v>119.1</v>
      </c>
      <c r="AH74" s="27">
        <v>13.5</v>
      </c>
      <c r="AI74" s="27">
        <v>0.8</v>
      </c>
      <c r="AJ74" s="27">
        <v>2.1</v>
      </c>
      <c r="AK74" s="27">
        <v>0.1</v>
      </c>
      <c r="AL74" s="27">
        <v>18.600000000000001</v>
      </c>
      <c r="AM74" s="27">
        <v>0</v>
      </c>
    </row>
    <row r="75" spans="1:39" x14ac:dyDescent="0.25">
      <c r="A75" s="10">
        <v>74</v>
      </c>
      <c r="B75" s="9" t="s">
        <v>158</v>
      </c>
      <c r="C75" s="9" t="s">
        <v>174</v>
      </c>
      <c r="D75" s="10">
        <v>2</v>
      </c>
      <c r="E75" s="11">
        <v>129</v>
      </c>
      <c r="F75" s="17">
        <v>72.8</v>
      </c>
      <c r="G75" s="17">
        <v>0.9</v>
      </c>
      <c r="H75" s="17">
        <v>21.4</v>
      </c>
      <c r="I75" s="17">
        <v>0.2</v>
      </c>
      <c r="J75" s="27">
        <v>0</v>
      </c>
      <c r="K75" s="17">
        <v>0</v>
      </c>
      <c r="L75" s="17">
        <v>4.7</v>
      </c>
      <c r="M75" s="19">
        <v>1.99</v>
      </c>
      <c r="N75" s="19">
        <v>2.33</v>
      </c>
      <c r="O75" s="19">
        <v>0.38</v>
      </c>
      <c r="P75" s="28">
        <v>0.05</v>
      </c>
      <c r="Q75" s="27">
        <v>65</v>
      </c>
      <c r="R75" s="27">
        <v>0</v>
      </c>
      <c r="S75" s="27">
        <v>0</v>
      </c>
      <c r="T75" s="27">
        <v>0.2</v>
      </c>
      <c r="U75" s="27">
        <v>0.2</v>
      </c>
      <c r="V75" s="27">
        <v>0</v>
      </c>
      <c r="W75" s="27">
        <v>1.1000000000000001</v>
      </c>
      <c r="X75" s="27">
        <v>0.4</v>
      </c>
      <c r="Y75" s="27">
        <v>7.6</v>
      </c>
      <c r="Z75" s="27">
        <v>0.9</v>
      </c>
      <c r="AA75" s="27">
        <v>1</v>
      </c>
      <c r="AB75" s="27">
        <v>0.6</v>
      </c>
      <c r="AC75" s="27">
        <v>0</v>
      </c>
      <c r="AD75" s="17">
        <v>59.1</v>
      </c>
      <c r="AE75" s="17">
        <v>328</v>
      </c>
      <c r="AF75" s="17">
        <v>18</v>
      </c>
      <c r="AG75" s="17">
        <v>94</v>
      </c>
      <c r="AH75" s="27">
        <v>30.6</v>
      </c>
      <c r="AI75" s="17">
        <v>1.6</v>
      </c>
      <c r="AJ75" s="27">
        <v>2.1</v>
      </c>
      <c r="AK75" s="27">
        <v>0.1</v>
      </c>
      <c r="AL75" s="27">
        <v>34.9</v>
      </c>
      <c r="AM75" s="27">
        <v>0</v>
      </c>
    </row>
    <row r="76" spans="1:39" x14ac:dyDescent="0.25">
      <c r="A76" s="10">
        <v>75</v>
      </c>
      <c r="B76" s="9" t="s">
        <v>158</v>
      </c>
      <c r="C76" s="9" t="s">
        <v>175</v>
      </c>
      <c r="D76" s="10">
        <v>2</v>
      </c>
      <c r="E76" s="11">
        <v>132</v>
      </c>
      <c r="F76" s="17">
        <v>71.8</v>
      </c>
      <c r="G76" s="17">
        <v>0.8</v>
      </c>
      <c r="H76" s="17">
        <v>21.2</v>
      </c>
      <c r="I76" s="17">
        <v>1.8</v>
      </c>
      <c r="J76" s="27">
        <v>0</v>
      </c>
      <c r="K76" s="17">
        <v>0</v>
      </c>
      <c r="L76" s="17">
        <v>4.4000000000000004</v>
      </c>
      <c r="M76" s="19">
        <v>1.86</v>
      </c>
      <c r="N76" s="19">
        <v>2.1800000000000002</v>
      </c>
      <c r="O76" s="19">
        <v>0.36</v>
      </c>
      <c r="P76" s="22" t="s">
        <v>100</v>
      </c>
      <c r="Q76" s="27">
        <v>68</v>
      </c>
      <c r="R76" s="27">
        <v>2.1</v>
      </c>
      <c r="S76" s="27">
        <v>0.9</v>
      </c>
      <c r="T76" s="27">
        <v>0.6</v>
      </c>
      <c r="U76" s="27">
        <v>0.2</v>
      </c>
      <c r="V76" s="27">
        <v>0</v>
      </c>
      <c r="W76" s="27">
        <v>0.9</v>
      </c>
      <c r="X76" s="27">
        <v>0.2</v>
      </c>
      <c r="Y76" s="27">
        <v>5.6</v>
      </c>
      <c r="Z76" s="27">
        <v>0.5</v>
      </c>
      <c r="AA76" s="27">
        <v>0.8</v>
      </c>
      <c r="AB76" s="27">
        <v>0.7</v>
      </c>
      <c r="AC76" s="27">
        <v>9.4</v>
      </c>
      <c r="AD76" s="17">
        <v>91</v>
      </c>
      <c r="AE76" s="17">
        <v>384</v>
      </c>
      <c r="AF76" s="17">
        <v>16</v>
      </c>
      <c r="AG76" s="17">
        <v>99</v>
      </c>
      <c r="AH76" s="27">
        <v>26</v>
      </c>
      <c r="AI76" s="17">
        <v>1.2</v>
      </c>
      <c r="AJ76" s="27">
        <v>2.4</v>
      </c>
      <c r="AK76" s="27">
        <v>0.1</v>
      </c>
      <c r="AL76" s="27">
        <v>36.799999999999997</v>
      </c>
      <c r="AM76" s="27">
        <v>0</v>
      </c>
    </row>
    <row r="77" spans="1:39" x14ac:dyDescent="0.25">
      <c r="A77" s="10">
        <v>76</v>
      </c>
      <c r="B77" s="9" t="s">
        <v>158</v>
      </c>
      <c r="C77" s="9" t="s">
        <v>176</v>
      </c>
      <c r="D77" s="10">
        <v>2</v>
      </c>
      <c r="E77" s="11">
        <v>152</v>
      </c>
      <c r="F77" s="17">
        <v>70.599999999999994</v>
      </c>
      <c r="G77" s="17">
        <v>1</v>
      </c>
      <c r="H77" s="17">
        <v>20.6</v>
      </c>
      <c r="I77" s="17">
        <v>0.2</v>
      </c>
      <c r="J77" s="22" t="s">
        <v>100</v>
      </c>
      <c r="K77" s="17">
        <v>0</v>
      </c>
      <c r="L77" s="17">
        <v>7.6</v>
      </c>
      <c r="M77" s="19">
        <v>4.37</v>
      </c>
      <c r="N77" s="19">
        <v>2.87</v>
      </c>
      <c r="O77" s="19">
        <v>0.18</v>
      </c>
      <c r="P77" s="22" t="s">
        <v>100</v>
      </c>
      <c r="Q77" s="27">
        <v>71</v>
      </c>
      <c r="R77" s="17">
        <v>0</v>
      </c>
      <c r="S77" s="17">
        <v>0</v>
      </c>
      <c r="T77" s="22" t="s">
        <v>100</v>
      </c>
      <c r="U77" s="27">
        <v>0.2</v>
      </c>
      <c r="V77" s="22" t="s">
        <v>100</v>
      </c>
      <c r="W77" s="27">
        <v>0.1</v>
      </c>
      <c r="X77" s="27">
        <v>0.2</v>
      </c>
      <c r="Y77" s="27">
        <v>4.7</v>
      </c>
      <c r="Z77" s="27">
        <v>0.1</v>
      </c>
      <c r="AA77" s="27">
        <v>0.5</v>
      </c>
      <c r="AB77" s="27">
        <v>1.9</v>
      </c>
      <c r="AC77" s="27">
        <v>14.6</v>
      </c>
      <c r="AD77" s="17">
        <v>116</v>
      </c>
      <c r="AE77" s="17">
        <v>356</v>
      </c>
      <c r="AF77" s="17">
        <v>20</v>
      </c>
      <c r="AG77" s="17">
        <v>117</v>
      </c>
      <c r="AH77" s="27">
        <v>16.100000000000001</v>
      </c>
      <c r="AI77" s="17">
        <v>1</v>
      </c>
      <c r="AJ77" s="27">
        <v>2.6</v>
      </c>
      <c r="AK77" s="27">
        <v>0.1</v>
      </c>
      <c r="AL77" s="27">
        <v>14.8</v>
      </c>
      <c r="AM77" s="27">
        <v>0</v>
      </c>
    </row>
    <row r="78" spans="1:39" x14ac:dyDescent="0.25">
      <c r="A78" s="10">
        <v>77</v>
      </c>
      <c r="B78" s="9" t="s">
        <v>158</v>
      </c>
      <c r="C78" s="9" t="s">
        <v>177</v>
      </c>
      <c r="D78" s="10">
        <v>2</v>
      </c>
      <c r="E78" s="11">
        <v>201</v>
      </c>
      <c r="F78" s="17">
        <v>63.6</v>
      </c>
      <c r="G78" s="17">
        <v>0.7</v>
      </c>
      <c r="H78" s="17">
        <v>18.8</v>
      </c>
      <c r="I78" s="17">
        <v>5.3</v>
      </c>
      <c r="J78" s="22" t="s">
        <v>100</v>
      </c>
      <c r="K78" s="17">
        <v>0</v>
      </c>
      <c r="L78" s="17">
        <v>11.6</v>
      </c>
      <c r="M78" s="19">
        <v>6.67</v>
      </c>
      <c r="N78" s="19">
        <v>4.37</v>
      </c>
      <c r="O78" s="19">
        <v>0.28000000000000003</v>
      </c>
      <c r="P78" s="22" t="s">
        <v>100</v>
      </c>
      <c r="Q78" s="27">
        <v>74</v>
      </c>
      <c r="R78" s="17">
        <v>0</v>
      </c>
      <c r="S78" s="17">
        <v>0</v>
      </c>
      <c r="T78" s="22" t="s">
        <v>100</v>
      </c>
      <c r="U78" s="27">
        <v>0.2</v>
      </c>
      <c r="V78" s="22" t="s">
        <v>100</v>
      </c>
      <c r="W78" s="27">
        <v>0.1</v>
      </c>
      <c r="X78" s="27">
        <v>0.2</v>
      </c>
      <c r="Y78" s="27">
        <v>5.4</v>
      </c>
      <c r="Z78" s="27">
        <v>0.1</v>
      </c>
      <c r="AA78" s="27">
        <v>0.5</v>
      </c>
      <c r="AB78" s="27">
        <v>1.7</v>
      </c>
      <c r="AC78" s="27">
        <v>14.2</v>
      </c>
      <c r="AD78" s="17">
        <v>142</v>
      </c>
      <c r="AE78" s="17">
        <v>452</v>
      </c>
      <c r="AF78" s="17">
        <v>21</v>
      </c>
      <c r="AG78" s="17">
        <v>75</v>
      </c>
      <c r="AH78" s="27">
        <v>17.600000000000001</v>
      </c>
      <c r="AI78" s="17">
        <v>0.6</v>
      </c>
      <c r="AJ78" s="27">
        <v>2.1</v>
      </c>
      <c r="AK78" s="27">
        <v>0.1</v>
      </c>
      <c r="AL78" s="27">
        <v>15.8</v>
      </c>
      <c r="AM78" s="27">
        <v>0</v>
      </c>
    </row>
    <row r="79" spans="1:39" x14ac:dyDescent="0.25">
      <c r="A79" s="10">
        <v>78</v>
      </c>
      <c r="B79" s="9" t="s">
        <v>158</v>
      </c>
      <c r="C79" s="9" t="s">
        <v>178</v>
      </c>
      <c r="D79" s="10">
        <v>2</v>
      </c>
      <c r="E79" s="11">
        <v>144</v>
      </c>
      <c r="F79" s="17">
        <v>69.599999999999994</v>
      </c>
      <c r="G79" s="17">
        <v>0.5</v>
      </c>
      <c r="H79" s="17">
        <v>20.399999999999999</v>
      </c>
      <c r="I79" s="17">
        <v>4.7</v>
      </c>
      <c r="J79" s="22" t="s">
        <v>100</v>
      </c>
      <c r="K79" s="17">
        <v>0</v>
      </c>
      <c r="L79" s="17">
        <v>4.8</v>
      </c>
      <c r="M79" s="19">
        <v>2.76</v>
      </c>
      <c r="N79" s="19">
        <v>1.81</v>
      </c>
      <c r="O79" s="19">
        <v>0.12</v>
      </c>
      <c r="P79" s="22" t="s">
        <v>100</v>
      </c>
      <c r="Q79" s="27">
        <v>64</v>
      </c>
      <c r="R79" s="27">
        <v>0</v>
      </c>
      <c r="S79" s="17">
        <v>0</v>
      </c>
      <c r="T79" s="22" t="s">
        <v>100</v>
      </c>
      <c r="U79" s="17">
        <v>0.2</v>
      </c>
      <c r="V79" s="22" t="s">
        <v>100</v>
      </c>
      <c r="W79" s="27">
        <v>0.2</v>
      </c>
      <c r="X79" s="27">
        <v>0.3</v>
      </c>
      <c r="Y79" s="27">
        <v>7.4</v>
      </c>
      <c r="Z79" s="27">
        <v>0.2</v>
      </c>
      <c r="AA79" s="27">
        <v>0.8</v>
      </c>
      <c r="AB79" s="27">
        <v>3.1</v>
      </c>
      <c r="AC79" s="27">
        <v>27.4</v>
      </c>
      <c r="AD79" s="17">
        <v>101</v>
      </c>
      <c r="AE79" s="17">
        <v>424</v>
      </c>
      <c r="AF79" s="17">
        <v>25</v>
      </c>
      <c r="AG79" s="17">
        <v>125</v>
      </c>
      <c r="AH79" s="17">
        <v>24</v>
      </c>
      <c r="AI79" s="17">
        <v>2.9</v>
      </c>
      <c r="AJ79" s="27">
        <v>4.5999999999999996</v>
      </c>
      <c r="AK79" s="17">
        <v>0.1</v>
      </c>
      <c r="AL79" s="27">
        <v>27.8</v>
      </c>
      <c r="AM79" s="27">
        <v>0</v>
      </c>
    </row>
    <row r="80" spans="1:39" x14ac:dyDescent="0.25">
      <c r="A80" s="10">
        <v>79</v>
      </c>
      <c r="B80" s="9" t="s">
        <v>158</v>
      </c>
      <c r="C80" s="9" t="s">
        <v>179</v>
      </c>
      <c r="D80" s="10">
        <v>2</v>
      </c>
      <c r="E80" s="11">
        <v>109</v>
      </c>
      <c r="F80" s="17">
        <v>75.5</v>
      </c>
      <c r="G80" s="17">
        <v>1.2</v>
      </c>
      <c r="H80" s="17">
        <v>19.399999999999999</v>
      </c>
      <c r="I80" s="17">
        <v>0.8</v>
      </c>
      <c r="J80" s="22" t="s">
        <v>100</v>
      </c>
      <c r="K80" s="17">
        <v>0</v>
      </c>
      <c r="L80" s="17">
        <v>3.1</v>
      </c>
      <c r="M80" s="28">
        <v>0.93</v>
      </c>
      <c r="N80" s="28">
        <v>0.84</v>
      </c>
      <c r="O80" s="28">
        <v>0.6</v>
      </c>
      <c r="P80" s="22" t="s">
        <v>100</v>
      </c>
      <c r="Q80" s="17">
        <v>64</v>
      </c>
      <c r="R80" s="27">
        <v>0</v>
      </c>
      <c r="S80" s="17">
        <v>0</v>
      </c>
      <c r="T80" s="22" t="s">
        <v>100</v>
      </c>
      <c r="U80" s="22" t="s">
        <v>100</v>
      </c>
      <c r="V80" s="22" t="s">
        <v>100</v>
      </c>
      <c r="W80" s="27">
        <v>0.1</v>
      </c>
      <c r="X80" s="27">
        <v>0.1</v>
      </c>
      <c r="Y80" s="27">
        <v>6.6</v>
      </c>
      <c r="Z80" s="27">
        <v>0.5</v>
      </c>
      <c r="AA80" s="27">
        <v>0.7</v>
      </c>
      <c r="AB80" s="27">
        <v>6.5</v>
      </c>
      <c r="AC80" s="27">
        <v>7.2</v>
      </c>
      <c r="AD80" s="17">
        <v>37</v>
      </c>
      <c r="AE80" s="17">
        <v>300</v>
      </c>
      <c r="AF80" s="17">
        <v>15</v>
      </c>
      <c r="AG80" s="17">
        <v>206</v>
      </c>
      <c r="AH80" s="27">
        <v>17.100000000000001</v>
      </c>
      <c r="AI80" s="17">
        <v>1.8</v>
      </c>
      <c r="AJ80" s="27">
        <v>1.4</v>
      </c>
      <c r="AK80" s="27">
        <v>0.1</v>
      </c>
      <c r="AL80" s="27">
        <v>21.4</v>
      </c>
      <c r="AM80" s="27">
        <v>0</v>
      </c>
    </row>
    <row r="81" spans="1:39" x14ac:dyDescent="0.25">
      <c r="A81" s="10">
        <v>80</v>
      </c>
      <c r="B81" s="9" t="s">
        <v>158</v>
      </c>
      <c r="C81" s="9" t="s">
        <v>180</v>
      </c>
      <c r="D81" s="10">
        <v>1</v>
      </c>
      <c r="E81" s="11">
        <v>136</v>
      </c>
      <c r="F81" s="17">
        <v>72.8</v>
      </c>
      <c r="G81" s="17">
        <v>0.7</v>
      </c>
      <c r="H81" s="17">
        <v>20.100000000000001</v>
      </c>
      <c r="I81" s="17">
        <v>0</v>
      </c>
      <c r="J81" s="22" t="s">
        <v>100</v>
      </c>
      <c r="K81" s="17">
        <v>0</v>
      </c>
      <c r="L81" s="17">
        <v>5.6</v>
      </c>
      <c r="M81" s="19">
        <v>1.66</v>
      </c>
      <c r="N81" s="19">
        <v>1.5</v>
      </c>
      <c r="O81" s="19">
        <v>1.08</v>
      </c>
      <c r="P81" s="22" t="s">
        <v>100</v>
      </c>
      <c r="Q81" s="17">
        <v>57</v>
      </c>
      <c r="R81" s="17">
        <v>0</v>
      </c>
      <c r="S81" s="17">
        <v>0</v>
      </c>
      <c r="T81" s="22" t="s">
        <v>100</v>
      </c>
      <c r="U81" s="22" t="s">
        <v>100</v>
      </c>
      <c r="V81" s="22" t="s">
        <v>100</v>
      </c>
      <c r="W81" s="17">
        <v>0.1</v>
      </c>
      <c r="X81" s="17">
        <v>0.2</v>
      </c>
      <c r="Y81" s="17">
        <v>7.3</v>
      </c>
      <c r="Z81" s="17">
        <v>0.5</v>
      </c>
      <c r="AA81" s="17">
        <v>0.8</v>
      </c>
      <c r="AB81" s="17">
        <v>7.2</v>
      </c>
      <c r="AC81" s="17">
        <v>8</v>
      </c>
      <c r="AD81" s="17">
        <v>41</v>
      </c>
      <c r="AE81" s="17">
        <v>330</v>
      </c>
      <c r="AF81" s="17">
        <v>13</v>
      </c>
      <c r="AG81" s="17">
        <v>213</v>
      </c>
      <c r="AH81" s="17">
        <v>19</v>
      </c>
      <c r="AI81" s="17">
        <v>1.6</v>
      </c>
      <c r="AJ81" s="17">
        <v>1.6</v>
      </c>
      <c r="AK81" s="17">
        <v>0.1</v>
      </c>
      <c r="AL81" s="17">
        <v>23.7</v>
      </c>
      <c r="AM81" s="27">
        <v>0</v>
      </c>
    </row>
    <row r="82" spans="1:39" x14ac:dyDescent="0.25">
      <c r="A82" s="10">
        <v>81</v>
      </c>
      <c r="B82" s="9" t="s">
        <v>158</v>
      </c>
      <c r="C82" s="9" t="s">
        <v>181</v>
      </c>
      <c r="D82" s="10">
        <v>1</v>
      </c>
      <c r="E82" s="11">
        <v>197</v>
      </c>
      <c r="F82" s="17">
        <v>60.6</v>
      </c>
      <c r="G82" s="17">
        <v>1</v>
      </c>
      <c r="H82" s="17">
        <v>29.1</v>
      </c>
      <c r="I82" s="17">
        <v>0</v>
      </c>
      <c r="J82" s="22" t="s">
        <v>100</v>
      </c>
      <c r="K82" s="17">
        <v>0</v>
      </c>
      <c r="L82" s="17">
        <v>8.1</v>
      </c>
      <c r="M82" s="19">
        <v>2.4</v>
      </c>
      <c r="N82" s="19">
        <v>2.17</v>
      </c>
      <c r="O82" s="19">
        <v>1.56</v>
      </c>
      <c r="P82" s="22" t="s">
        <v>100</v>
      </c>
      <c r="Q82" s="17">
        <v>82</v>
      </c>
      <c r="R82" s="17">
        <v>0</v>
      </c>
      <c r="S82" s="17">
        <v>0</v>
      </c>
      <c r="T82" s="22" t="s">
        <v>100</v>
      </c>
      <c r="U82" s="22" t="s">
        <v>100</v>
      </c>
      <c r="V82" s="22" t="s">
        <v>100</v>
      </c>
      <c r="W82" s="17">
        <v>0.1</v>
      </c>
      <c r="X82" s="17">
        <v>0.2</v>
      </c>
      <c r="Y82" s="17">
        <v>8.4</v>
      </c>
      <c r="Z82" s="17">
        <v>0.5</v>
      </c>
      <c r="AA82" s="17">
        <v>0.9</v>
      </c>
      <c r="AB82" s="17">
        <v>8.3000000000000007</v>
      </c>
      <c r="AC82" s="17">
        <v>11</v>
      </c>
      <c r="AD82" s="17">
        <v>47</v>
      </c>
      <c r="AE82" s="17">
        <v>383</v>
      </c>
      <c r="AF82" s="17">
        <v>19</v>
      </c>
      <c r="AG82" s="17">
        <v>263</v>
      </c>
      <c r="AH82" s="17">
        <v>21</v>
      </c>
      <c r="AI82" s="17">
        <v>2.2999999999999998</v>
      </c>
      <c r="AJ82" s="17">
        <v>2.2999999999999998</v>
      </c>
      <c r="AK82" s="17">
        <v>0.2</v>
      </c>
      <c r="AL82" s="17">
        <v>38.5</v>
      </c>
      <c r="AM82" s="27">
        <v>0</v>
      </c>
    </row>
    <row r="83" spans="1:39" x14ac:dyDescent="0.25">
      <c r="A83" s="10">
        <v>82</v>
      </c>
      <c r="B83" s="9" t="s">
        <v>158</v>
      </c>
      <c r="C83" s="9" t="s">
        <v>182</v>
      </c>
      <c r="D83" s="10">
        <v>2</v>
      </c>
      <c r="E83" s="11">
        <v>124</v>
      </c>
      <c r="F83" s="17">
        <v>72.7</v>
      </c>
      <c r="G83" s="17">
        <v>1.1000000000000001</v>
      </c>
      <c r="H83" s="17">
        <v>21.2</v>
      </c>
      <c r="I83" s="17">
        <v>1.1000000000000001</v>
      </c>
      <c r="J83" s="27">
        <v>0</v>
      </c>
      <c r="K83" s="17">
        <v>0</v>
      </c>
      <c r="L83" s="17">
        <v>3.9</v>
      </c>
      <c r="M83" s="19">
        <v>2.09</v>
      </c>
      <c r="N83" s="19">
        <v>1.62</v>
      </c>
      <c r="O83" s="19">
        <v>0.16</v>
      </c>
      <c r="P83" s="22" t="s">
        <v>100</v>
      </c>
      <c r="Q83" s="27">
        <v>65</v>
      </c>
      <c r="R83" s="27">
        <v>0</v>
      </c>
      <c r="S83" s="27">
        <v>0</v>
      </c>
      <c r="T83" s="22" t="s">
        <v>100</v>
      </c>
      <c r="U83" s="27">
        <v>0.3</v>
      </c>
      <c r="V83" s="27">
        <v>1.2</v>
      </c>
      <c r="W83" s="17">
        <v>0.1</v>
      </c>
      <c r="X83" s="17">
        <v>0.3</v>
      </c>
      <c r="Y83" s="17">
        <v>4.3</v>
      </c>
      <c r="Z83" s="27">
        <v>0.6</v>
      </c>
      <c r="AA83" s="27">
        <v>0.6</v>
      </c>
      <c r="AB83" s="27">
        <v>1</v>
      </c>
      <c r="AC83" s="27">
        <v>12.1</v>
      </c>
      <c r="AD83" s="17">
        <v>180</v>
      </c>
      <c r="AE83" s="17">
        <v>347</v>
      </c>
      <c r="AF83" s="17">
        <v>12</v>
      </c>
      <c r="AG83" s="17">
        <v>136</v>
      </c>
      <c r="AH83" s="27">
        <v>21.4</v>
      </c>
      <c r="AI83" s="17">
        <v>3.2</v>
      </c>
      <c r="AJ83" s="27">
        <v>3.7</v>
      </c>
      <c r="AK83" s="27">
        <v>0.1</v>
      </c>
      <c r="AL83" s="27">
        <v>25</v>
      </c>
      <c r="AM83" s="27">
        <v>0</v>
      </c>
    </row>
    <row r="84" spans="1:39" x14ac:dyDescent="0.25">
      <c r="A84" s="10">
        <v>83</v>
      </c>
      <c r="B84" s="9" t="s">
        <v>158</v>
      </c>
      <c r="C84" s="9" t="s">
        <v>183</v>
      </c>
      <c r="D84" s="10">
        <v>2</v>
      </c>
      <c r="E84" s="11">
        <v>128</v>
      </c>
      <c r="F84" s="17">
        <v>71.8</v>
      </c>
      <c r="G84" s="17">
        <v>1</v>
      </c>
      <c r="H84" s="17">
        <v>23.2</v>
      </c>
      <c r="I84" s="17">
        <v>0.2</v>
      </c>
      <c r="J84" s="27">
        <v>0</v>
      </c>
      <c r="K84" s="17">
        <v>0</v>
      </c>
      <c r="L84" s="17">
        <v>3.8</v>
      </c>
      <c r="M84" s="19">
        <v>2.04</v>
      </c>
      <c r="N84" s="19">
        <v>1.58</v>
      </c>
      <c r="O84" s="19">
        <v>0.16</v>
      </c>
      <c r="P84" s="22" t="s">
        <v>100</v>
      </c>
      <c r="Q84" s="27">
        <v>65</v>
      </c>
      <c r="R84" s="17">
        <v>0</v>
      </c>
      <c r="S84" s="17">
        <v>0</v>
      </c>
      <c r="T84" s="22" t="s">
        <v>100</v>
      </c>
      <c r="U84" s="27">
        <v>0.3</v>
      </c>
      <c r="V84" s="27">
        <v>1.2</v>
      </c>
      <c r="W84" s="17">
        <v>0.1</v>
      </c>
      <c r="X84" s="17">
        <v>0.3</v>
      </c>
      <c r="Y84" s="17">
        <v>4.7</v>
      </c>
      <c r="Z84" s="27">
        <v>0.6</v>
      </c>
      <c r="AA84" s="27">
        <v>0.7</v>
      </c>
      <c r="AB84" s="27">
        <v>2</v>
      </c>
      <c r="AC84" s="27">
        <v>13.7</v>
      </c>
      <c r="AD84" s="17">
        <v>107</v>
      </c>
      <c r="AE84" s="17">
        <v>515</v>
      </c>
      <c r="AF84" s="17">
        <v>9</v>
      </c>
      <c r="AG84" s="17">
        <v>135</v>
      </c>
      <c r="AH84" s="27">
        <v>24.3</v>
      </c>
      <c r="AI84" s="17">
        <v>1.5</v>
      </c>
      <c r="AJ84" s="27">
        <v>5.9</v>
      </c>
      <c r="AK84" s="27">
        <v>0.1</v>
      </c>
      <c r="AL84" s="27">
        <v>26.6</v>
      </c>
      <c r="AM84" s="27">
        <v>0</v>
      </c>
    </row>
    <row r="85" spans="1:39" x14ac:dyDescent="0.25">
      <c r="A85" s="10">
        <v>84</v>
      </c>
      <c r="B85" s="9" t="s">
        <v>158</v>
      </c>
      <c r="C85" s="9" t="s">
        <v>184</v>
      </c>
      <c r="D85" s="10">
        <v>3</v>
      </c>
      <c r="E85" s="11">
        <v>116</v>
      </c>
      <c r="F85" s="17">
        <v>74.400000000000006</v>
      </c>
      <c r="G85" s="17">
        <v>1.2</v>
      </c>
      <c r="H85" s="17">
        <v>20.399999999999999</v>
      </c>
      <c r="I85" s="17">
        <v>0.3</v>
      </c>
      <c r="J85" s="17">
        <v>0.1</v>
      </c>
      <c r="K85" s="22" t="s">
        <v>100</v>
      </c>
      <c r="L85" s="17">
        <v>3.7</v>
      </c>
      <c r="M85" s="19">
        <v>1.44</v>
      </c>
      <c r="N85" s="19">
        <v>1.38</v>
      </c>
      <c r="O85" s="19">
        <v>0.73</v>
      </c>
      <c r="P85" s="19">
        <v>0</v>
      </c>
      <c r="Q85" s="17">
        <v>42.4</v>
      </c>
      <c r="R85" s="27">
        <v>0</v>
      </c>
      <c r="S85" s="27">
        <v>0</v>
      </c>
      <c r="T85" s="22" t="s">
        <v>100</v>
      </c>
      <c r="U85" s="27">
        <v>0.3</v>
      </c>
      <c r="V85" s="27">
        <v>1.1000000000000001</v>
      </c>
      <c r="W85" s="27">
        <v>0.1</v>
      </c>
      <c r="X85" s="27">
        <v>0.1</v>
      </c>
      <c r="Y85" s="27">
        <v>6.4</v>
      </c>
      <c r="Z85" s="27">
        <v>0.6</v>
      </c>
      <c r="AA85" s="27">
        <v>0.6</v>
      </c>
      <c r="AB85" s="27">
        <v>1</v>
      </c>
      <c r="AC85" s="27">
        <v>11.7</v>
      </c>
      <c r="AD85" s="17">
        <v>202</v>
      </c>
      <c r="AE85" s="27">
        <v>317.89999999999998</v>
      </c>
      <c r="AF85" s="27">
        <v>22.4</v>
      </c>
      <c r="AG85" s="27">
        <v>189.5</v>
      </c>
      <c r="AH85" s="27">
        <v>21.6</v>
      </c>
      <c r="AI85" s="27">
        <v>1.5</v>
      </c>
      <c r="AJ85" s="27">
        <v>3.7</v>
      </c>
      <c r="AK85" s="27">
        <v>0.1</v>
      </c>
      <c r="AL85" s="27">
        <v>24.7</v>
      </c>
      <c r="AM85" s="27">
        <v>0</v>
      </c>
    </row>
    <row r="86" spans="1:39" x14ac:dyDescent="0.25">
      <c r="A86" s="10">
        <v>85</v>
      </c>
      <c r="B86" s="9" t="s">
        <v>158</v>
      </c>
      <c r="C86" s="9" t="s">
        <v>185</v>
      </c>
      <c r="D86" s="10">
        <v>2</v>
      </c>
      <c r="E86" s="11">
        <v>145</v>
      </c>
      <c r="F86" s="17">
        <v>70</v>
      </c>
      <c r="G86" s="17">
        <v>0.8</v>
      </c>
      <c r="H86" s="17">
        <v>23</v>
      </c>
      <c r="I86" s="17">
        <v>0.6</v>
      </c>
      <c r="J86" s="27">
        <v>0</v>
      </c>
      <c r="K86" s="17">
        <v>0</v>
      </c>
      <c r="L86" s="17">
        <v>5.6</v>
      </c>
      <c r="M86" s="19">
        <v>3.01</v>
      </c>
      <c r="N86" s="19">
        <v>2.33</v>
      </c>
      <c r="O86" s="19">
        <v>0.24</v>
      </c>
      <c r="P86" s="22" t="s">
        <v>100</v>
      </c>
      <c r="Q86" s="27">
        <v>53</v>
      </c>
      <c r="R86" s="27">
        <v>0</v>
      </c>
      <c r="S86" s="27">
        <v>0</v>
      </c>
      <c r="T86" s="22" t="s">
        <v>100</v>
      </c>
      <c r="U86" s="27">
        <v>0.3</v>
      </c>
      <c r="V86" s="27">
        <v>1.3</v>
      </c>
      <c r="W86" s="17">
        <v>0.1</v>
      </c>
      <c r="X86" s="17">
        <v>0.2</v>
      </c>
      <c r="Y86" s="17">
        <v>4.5999999999999996</v>
      </c>
      <c r="Z86" s="27">
        <v>0.7</v>
      </c>
      <c r="AA86" s="27">
        <v>0.7</v>
      </c>
      <c r="AB86" s="27">
        <v>1.2</v>
      </c>
      <c r="AC86" s="27">
        <v>13.7</v>
      </c>
      <c r="AD86" s="17">
        <v>73</v>
      </c>
      <c r="AE86" s="17">
        <v>523</v>
      </c>
      <c r="AF86" s="17">
        <v>10</v>
      </c>
      <c r="AG86" s="17">
        <v>103</v>
      </c>
      <c r="AH86" s="27">
        <v>25.3</v>
      </c>
      <c r="AI86" s="17">
        <v>5.5</v>
      </c>
      <c r="AJ86" s="27">
        <v>4.3</v>
      </c>
      <c r="AK86" s="27">
        <v>0.1</v>
      </c>
      <c r="AL86" s="27">
        <v>28.9</v>
      </c>
      <c r="AM86" s="27">
        <v>0</v>
      </c>
    </row>
    <row r="87" spans="1:39" x14ac:dyDescent="0.25">
      <c r="A87" s="10">
        <v>86</v>
      </c>
      <c r="B87" s="9" t="s">
        <v>158</v>
      </c>
      <c r="C87" s="9" t="s">
        <v>186</v>
      </c>
      <c r="D87" s="10">
        <v>2</v>
      </c>
      <c r="E87" s="11">
        <v>137</v>
      </c>
      <c r="F87" s="17">
        <v>70.8</v>
      </c>
      <c r="G87" s="17">
        <v>1.2</v>
      </c>
      <c r="H87" s="17">
        <v>21.8</v>
      </c>
      <c r="I87" s="17">
        <v>1.3</v>
      </c>
      <c r="J87" s="27">
        <v>0</v>
      </c>
      <c r="K87" s="17">
        <v>0</v>
      </c>
      <c r="L87" s="17">
        <v>4.9000000000000004</v>
      </c>
      <c r="M87" s="19">
        <v>2.63</v>
      </c>
      <c r="N87" s="19">
        <v>2.04</v>
      </c>
      <c r="O87" s="19">
        <v>0.21</v>
      </c>
      <c r="P87" s="28">
        <v>0.21</v>
      </c>
      <c r="Q87" s="27">
        <v>66</v>
      </c>
      <c r="R87" s="17">
        <v>0</v>
      </c>
      <c r="S87" s="17">
        <v>0</v>
      </c>
      <c r="T87" s="27">
        <v>0.1</v>
      </c>
      <c r="U87" s="27">
        <v>0.1</v>
      </c>
      <c r="V87" s="27">
        <v>1.5</v>
      </c>
      <c r="W87" s="17">
        <v>0</v>
      </c>
      <c r="X87" s="17">
        <v>0.2</v>
      </c>
      <c r="Y87" s="17">
        <v>3</v>
      </c>
      <c r="Z87" s="27">
        <v>0.5</v>
      </c>
      <c r="AA87" s="27">
        <v>0.5</v>
      </c>
      <c r="AB87" s="27">
        <v>1.8</v>
      </c>
      <c r="AC87" s="27">
        <v>3.9</v>
      </c>
      <c r="AD87" s="17">
        <v>75</v>
      </c>
      <c r="AE87" s="17">
        <v>501</v>
      </c>
      <c r="AF87" s="17">
        <v>9</v>
      </c>
      <c r="AG87" s="17">
        <v>95</v>
      </c>
      <c r="AH87" s="27">
        <v>22.3</v>
      </c>
      <c r="AI87" s="17">
        <v>2.2999999999999998</v>
      </c>
      <c r="AJ87" s="27">
        <v>5.5</v>
      </c>
      <c r="AK87" s="27">
        <v>0.1</v>
      </c>
      <c r="AL87" s="27">
        <v>26.5</v>
      </c>
      <c r="AM87" s="27">
        <v>0</v>
      </c>
    </row>
    <row r="88" spans="1:39" x14ac:dyDescent="0.25">
      <c r="A88" s="10">
        <v>87</v>
      </c>
      <c r="B88" s="9" t="s">
        <v>158</v>
      </c>
      <c r="C88" s="9" t="s">
        <v>187</v>
      </c>
      <c r="D88" s="10">
        <v>2</v>
      </c>
      <c r="E88" s="11">
        <v>123</v>
      </c>
      <c r="F88" s="17">
        <v>72</v>
      </c>
      <c r="G88" s="17">
        <v>1.1000000000000001</v>
      </c>
      <c r="H88" s="17">
        <v>21.4</v>
      </c>
      <c r="I88" s="17">
        <v>2.4</v>
      </c>
      <c r="J88" s="27">
        <v>0</v>
      </c>
      <c r="K88" s="17">
        <v>0</v>
      </c>
      <c r="L88" s="17">
        <v>3.1</v>
      </c>
      <c r="M88" s="19">
        <v>1.59</v>
      </c>
      <c r="N88" s="19">
        <v>0.99</v>
      </c>
      <c r="O88" s="19">
        <v>0.13</v>
      </c>
      <c r="P88" s="28">
        <v>0.15</v>
      </c>
      <c r="Q88" s="27">
        <v>62</v>
      </c>
      <c r="R88" s="27">
        <v>2.1</v>
      </c>
      <c r="S88" s="27">
        <v>0</v>
      </c>
      <c r="T88" s="27">
        <v>0</v>
      </c>
      <c r="U88" s="27">
        <v>0.2</v>
      </c>
      <c r="V88" s="27">
        <v>1.6</v>
      </c>
      <c r="W88" s="17">
        <v>0.1</v>
      </c>
      <c r="X88" s="17">
        <v>0.2</v>
      </c>
      <c r="Y88" s="17">
        <v>3.9</v>
      </c>
      <c r="Z88" s="27">
        <v>0.7</v>
      </c>
      <c r="AA88" s="27">
        <v>0.4</v>
      </c>
      <c r="AB88" s="27">
        <v>1.7</v>
      </c>
      <c r="AC88" s="27">
        <v>4.0999999999999996</v>
      </c>
      <c r="AD88" s="17">
        <v>73</v>
      </c>
      <c r="AE88" s="17">
        <v>548</v>
      </c>
      <c r="AF88" s="17">
        <v>11</v>
      </c>
      <c r="AG88" s="17">
        <v>135</v>
      </c>
      <c r="AH88" s="27">
        <v>12.4</v>
      </c>
      <c r="AI88" s="17">
        <v>1.3</v>
      </c>
      <c r="AJ88" s="27">
        <v>3.8</v>
      </c>
      <c r="AK88" s="27">
        <v>0</v>
      </c>
      <c r="AL88" s="27">
        <v>23</v>
      </c>
      <c r="AM88" s="27">
        <v>0</v>
      </c>
    </row>
    <row r="89" spans="1:39" x14ac:dyDescent="0.25">
      <c r="A89" s="10">
        <v>88</v>
      </c>
      <c r="B89" s="9" t="s">
        <v>158</v>
      </c>
      <c r="C89" s="9" t="s">
        <v>188</v>
      </c>
      <c r="D89" s="10">
        <v>2</v>
      </c>
      <c r="E89" s="11">
        <v>134</v>
      </c>
      <c r="F89" s="17">
        <v>72.400000000000006</v>
      </c>
      <c r="G89" s="17">
        <v>0.9</v>
      </c>
      <c r="H89" s="17">
        <v>20.3</v>
      </c>
      <c r="I89" s="17">
        <v>0.9</v>
      </c>
      <c r="J89" s="27">
        <v>0</v>
      </c>
      <c r="K89" s="17">
        <v>0</v>
      </c>
      <c r="L89" s="17">
        <v>5.5</v>
      </c>
      <c r="M89" s="19">
        <v>2.95</v>
      </c>
      <c r="N89" s="19">
        <v>2.29</v>
      </c>
      <c r="O89" s="19">
        <v>0.23</v>
      </c>
      <c r="P89" s="22" t="s">
        <v>100</v>
      </c>
      <c r="Q89" s="27">
        <v>61</v>
      </c>
      <c r="R89" s="17">
        <v>0</v>
      </c>
      <c r="S89" s="17">
        <v>0</v>
      </c>
      <c r="T89" s="22" t="s">
        <v>100</v>
      </c>
      <c r="U89" s="27">
        <v>0.3</v>
      </c>
      <c r="V89" s="27">
        <v>1.2</v>
      </c>
      <c r="W89" s="17">
        <v>0.1</v>
      </c>
      <c r="X89" s="17">
        <v>0.2</v>
      </c>
      <c r="Y89" s="17">
        <v>4.2</v>
      </c>
      <c r="Z89" s="27">
        <v>0.7</v>
      </c>
      <c r="AA89" s="27">
        <v>0.7</v>
      </c>
      <c r="AB89" s="27">
        <v>1.6</v>
      </c>
      <c r="AC89" s="27">
        <v>13.1</v>
      </c>
      <c r="AD89" s="17">
        <v>76</v>
      </c>
      <c r="AE89" s="17">
        <v>537</v>
      </c>
      <c r="AF89" s="17">
        <v>11</v>
      </c>
      <c r="AG89" s="17">
        <v>77</v>
      </c>
      <c r="AH89" s="27">
        <v>24.2</v>
      </c>
      <c r="AI89" s="17">
        <v>3</v>
      </c>
      <c r="AJ89" s="27">
        <v>4.2</v>
      </c>
      <c r="AK89" s="27">
        <v>0.1</v>
      </c>
      <c r="AL89" s="27">
        <v>28.4</v>
      </c>
      <c r="AM89" s="27">
        <v>0</v>
      </c>
    </row>
    <row r="90" spans="1:39" x14ac:dyDescent="0.25">
      <c r="A90" s="10">
        <v>89</v>
      </c>
      <c r="B90" s="9" t="s">
        <v>158</v>
      </c>
      <c r="C90" s="9" t="s">
        <v>189</v>
      </c>
      <c r="D90" s="10">
        <v>2</v>
      </c>
      <c r="E90" s="11">
        <v>116</v>
      </c>
      <c r="F90" s="17">
        <v>73.599999999999994</v>
      </c>
      <c r="G90" s="17">
        <v>0.6</v>
      </c>
      <c r="H90" s="17">
        <v>22.2</v>
      </c>
      <c r="I90" s="17">
        <v>1.1000000000000001</v>
      </c>
      <c r="J90" s="27">
        <v>0</v>
      </c>
      <c r="K90" s="17">
        <v>0</v>
      </c>
      <c r="L90" s="17">
        <v>2.5</v>
      </c>
      <c r="M90" s="19">
        <v>1.34</v>
      </c>
      <c r="N90" s="19">
        <v>1.04</v>
      </c>
      <c r="O90" s="19">
        <v>0.11</v>
      </c>
      <c r="P90" s="22" t="s">
        <v>100</v>
      </c>
      <c r="Q90" s="27">
        <v>59</v>
      </c>
      <c r="R90" s="27">
        <v>0</v>
      </c>
      <c r="S90" s="27">
        <v>0</v>
      </c>
      <c r="T90" s="22" t="s">
        <v>100</v>
      </c>
      <c r="U90" s="27">
        <v>0.3</v>
      </c>
      <c r="V90" s="27">
        <v>1.1000000000000001</v>
      </c>
      <c r="W90" s="17">
        <v>0.1</v>
      </c>
      <c r="X90" s="17">
        <v>0.3</v>
      </c>
      <c r="Y90" s="17">
        <v>4.5999999999999996</v>
      </c>
      <c r="Z90" s="27">
        <v>0.7</v>
      </c>
      <c r="AA90" s="27">
        <v>0.7</v>
      </c>
      <c r="AB90" s="27">
        <v>1.6</v>
      </c>
      <c r="AC90" s="27">
        <v>12.9</v>
      </c>
      <c r="AD90" s="17">
        <v>76</v>
      </c>
      <c r="AE90" s="17">
        <v>537</v>
      </c>
      <c r="AF90" s="17">
        <v>10</v>
      </c>
      <c r="AG90" s="17">
        <v>108</v>
      </c>
      <c r="AH90" s="27">
        <v>24.8</v>
      </c>
      <c r="AI90" s="17">
        <v>3.7</v>
      </c>
      <c r="AJ90" s="27">
        <v>4.3</v>
      </c>
      <c r="AK90" s="27">
        <v>0.1</v>
      </c>
      <c r="AL90" s="27">
        <v>28.6</v>
      </c>
      <c r="AM90" s="27">
        <v>0</v>
      </c>
    </row>
    <row r="91" spans="1:39" x14ac:dyDescent="0.25">
      <c r="A91" s="10">
        <v>90</v>
      </c>
      <c r="B91" s="9" t="s">
        <v>158</v>
      </c>
      <c r="C91" s="9" t="s">
        <v>190</v>
      </c>
      <c r="D91" s="10">
        <v>2</v>
      </c>
      <c r="E91" s="11">
        <v>130</v>
      </c>
      <c r="F91" s="17">
        <v>70.7</v>
      </c>
      <c r="G91" s="17">
        <v>0.8</v>
      </c>
      <c r="H91" s="17">
        <v>23.6</v>
      </c>
      <c r="I91" s="17">
        <v>1.8</v>
      </c>
      <c r="J91" s="27">
        <v>0</v>
      </c>
      <c r="K91" s="17">
        <v>0</v>
      </c>
      <c r="L91" s="17">
        <v>3.1</v>
      </c>
      <c r="M91" s="19">
        <v>1.66</v>
      </c>
      <c r="N91" s="19">
        <v>1.29</v>
      </c>
      <c r="O91" s="19">
        <v>0.13</v>
      </c>
      <c r="P91" s="22" t="s">
        <v>100</v>
      </c>
      <c r="Q91" s="27">
        <v>73</v>
      </c>
      <c r="R91" s="27">
        <v>0</v>
      </c>
      <c r="S91" s="27">
        <v>0</v>
      </c>
      <c r="T91" s="22" t="s">
        <v>100</v>
      </c>
      <c r="U91" s="27">
        <v>0.3</v>
      </c>
      <c r="V91" s="27">
        <v>1.2</v>
      </c>
      <c r="W91" s="17">
        <v>0.1</v>
      </c>
      <c r="X91" s="17">
        <v>0.3</v>
      </c>
      <c r="Y91" s="17">
        <v>5.5</v>
      </c>
      <c r="Z91" s="27">
        <v>0.5</v>
      </c>
      <c r="AA91" s="27">
        <v>0.5</v>
      </c>
      <c r="AB91" s="27">
        <v>1.3</v>
      </c>
      <c r="AC91" s="27">
        <v>9.6999999999999993</v>
      </c>
      <c r="AD91" s="17">
        <v>86</v>
      </c>
      <c r="AE91" s="17">
        <v>523</v>
      </c>
      <c r="AF91" s="17">
        <v>11</v>
      </c>
      <c r="AG91" s="17">
        <v>105</v>
      </c>
      <c r="AH91" s="27">
        <v>19.5</v>
      </c>
      <c r="AI91" s="17">
        <v>3.8</v>
      </c>
      <c r="AJ91" s="27">
        <v>3.4</v>
      </c>
      <c r="AK91" s="27">
        <v>0.1</v>
      </c>
      <c r="AL91" s="27">
        <v>21.9</v>
      </c>
      <c r="AM91" s="27">
        <v>0</v>
      </c>
    </row>
    <row r="92" spans="1:39" x14ac:dyDescent="0.25">
      <c r="A92" s="10">
        <v>91</v>
      </c>
      <c r="B92" s="9" t="s">
        <v>158</v>
      </c>
      <c r="C92" s="9" t="s">
        <v>191</v>
      </c>
      <c r="D92" s="10">
        <v>2</v>
      </c>
      <c r="E92" s="11">
        <v>127</v>
      </c>
      <c r="F92" s="17">
        <v>70.8</v>
      </c>
      <c r="G92" s="17">
        <v>0.9</v>
      </c>
      <c r="H92" s="17">
        <v>21.2</v>
      </c>
      <c r="I92" s="17">
        <v>4.3</v>
      </c>
      <c r="J92" s="27">
        <v>0</v>
      </c>
      <c r="K92" s="17">
        <v>0</v>
      </c>
      <c r="L92" s="17">
        <v>2.8</v>
      </c>
      <c r="M92" s="19">
        <v>1.5</v>
      </c>
      <c r="N92" s="19">
        <v>1.1599999999999999</v>
      </c>
      <c r="O92" s="19">
        <v>0.12</v>
      </c>
      <c r="P92" s="22" t="s">
        <v>100</v>
      </c>
      <c r="Q92" s="27">
        <v>57</v>
      </c>
      <c r="R92" s="27">
        <v>0</v>
      </c>
      <c r="S92" s="27">
        <v>0</v>
      </c>
      <c r="T92" s="22" t="s">
        <v>100</v>
      </c>
      <c r="U92" s="27">
        <v>0.3</v>
      </c>
      <c r="V92" s="27">
        <v>1.3</v>
      </c>
      <c r="W92" s="17">
        <v>0.1</v>
      </c>
      <c r="X92" s="17">
        <v>0.2</v>
      </c>
      <c r="Y92" s="17">
        <v>3.7</v>
      </c>
      <c r="Z92" s="27">
        <v>0.7</v>
      </c>
      <c r="AA92" s="27">
        <v>0.7</v>
      </c>
      <c r="AB92" s="27">
        <v>1.7</v>
      </c>
      <c r="AC92" s="27">
        <v>13.7</v>
      </c>
      <c r="AD92" s="17">
        <v>92</v>
      </c>
      <c r="AE92" s="17">
        <v>496</v>
      </c>
      <c r="AF92" s="17">
        <v>10</v>
      </c>
      <c r="AG92" s="17">
        <v>115</v>
      </c>
      <c r="AH92" s="27">
        <v>25.2</v>
      </c>
      <c r="AI92" s="17">
        <v>0.6</v>
      </c>
      <c r="AJ92" s="27">
        <v>4.5</v>
      </c>
      <c r="AK92" s="27">
        <v>0.1</v>
      </c>
      <c r="AL92" s="27">
        <v>29.7</v>
      </c>
      <c r="AM92" s="27">
        <v>0</v>
      </c>
    </row>
    <row r="93" spans="1:39" x14ac:dyDescent="0.25">
      <c r="A93" s="10">
        <v>92</v>
      </c>
      <c r="B93" s="9" t="s">
        <v>158</v>
      </c>
      <c r="C93" s="9" t="s">
        <v>192</v>
      </c>
      <c r="D93" s="10">
        <v>2</v>
      </c>
      <c r="E93" s="11">
        <v>145</v>
      </c>
      <c r="F93" s="17">
        <v>70.099999999999994</v>
      </c>
      <c r="G93" s="17">
        <v>1</v>
      </c>
      <c r="H93" s="17">
        <v>22.3</v>
      </c>
      <c r="I93" s="17">
        <v>0.8</v>
      </c>
      <c r="J93" s="22" t="s">
        <v>100</v>
      </c>
      <c r="K93" s="17">
        <v>0</v>
      </c>
      <c r="L93" s="17">
        <v>5.8</v>
      </c>
      <c r="M93" s="19">
        <v>3.11</v>
      </c>
      <c r="N93" s="19">
        <v>2.41</v>
      </c>
      <c r="O93" s="19">
        <v>0.24</v>
      </c>
      <c r="P93" s="22" t="s">
        <v>100</v>
      </c>
      <c r="Q93" s="27">
        <v>39</v>
      </c>
      <c r="R93" s="17">
        <v>0</v>
      </c>
      <c r="S93" s="17">
        <v>0</v>
      </c>
      <c r="T93" s="22" t="s">
        <v>100</v>
      </c>
      <c r="U93" s="22" t="s">
        <v>100</v>
      </c>
      <c r="V93" s="22" t="s">
        <v>100</v>
      </c>
      <c r="W93" s="17">
        <v>0.1</v>
      </c>
      <c r="X93" s="17">
        <v>0.2</v>
      </c>
      <c r="Y93" s="17">
        <v>2.7</v>
      </c>
      <c r="Z93" s="27">
        <v>0.5</v>
      </c>
      <c r="AA93" s="27">
        <v>0.4</v>
      </c>
      <c r="AB93" s="27">
        <v>3.7</v>
      </c>
      <c r="AC93" s="27">
        <v>8.9</v>
      </c>
      <c r="AD93" s="17">
        <v>129</v>
      </c>
      <c r="AE93" s="17">
        <v>546</v>
      </c>
      <c r="AF93" s="17">
        <v>40</v>
      </c>
      <c r="AG93" s="17">
        <v>144</v>
      </c>
      <c r="AH93" s="27">
        <v>15.5</v>
      </c>
      <c r="AI93" s="17">
        <v>2.2000000000000002</v>
      </c>
      <c r="AJ93" s="27">
        <v>7.7</v>
      </c>
      <c r="AK93" s="27">
        <v>0.1</v>
      </c>
      <c r="AL93" s="27">
        <v>19.600000000000001</v>
      </c>
      <c r="AM93" s="27">
        <v>0</v>
      </c>
    </row>
    <row r="94" spans="1:39" x14ac:dyDescent="0.25">
      <c r="A94" s="10">
        <v>93</v>
      </c>
      <c r="B94" s="9" t="s">
        <v>158</v>
      </c>
      <c r="C94" s="9" t="s">
        <v>193</v>
      </c>
      <c r="D94" s="10">
        <v>1</v>
      </c>
      <c r="E94" s="11">
        <v>138</v>
      </c>
      <c r="F94" s="17">
        <v>70.7</v>
      </c>
      <c r="G94" s="17">
        <v>1</v>
      </c>
      <c r="H94" s="17">
        <v>23.6</v>
      </c>
      <c r="I94" s="17">
        <v>1.6</v>
      </c>
      <c r="J94" s="27">
        <v>0</v>
      </c>
      <c r="K94" s="17">
        <v>0</v>
      </c>
      <c r="L94" s="17">
        <v>3.1</v>
      </c>
      <c r="M94" s="19">
        <v>1.1000000000000001</v>
      </c>
      <c r="N94" s="19">
        <v>1.3</v>
      </c>
      <c r="O94" s="19">
        <v>0.1</v>
      </c>
      <c r="P94" s="28">
        <v>0.15</v>
      </c>
      <c r="Q94" s="17">
        <v>68</v>
      </c>
      <c r="R94" s="17">
        <v>0</v>
      </c>
      <c r="S94" s="17">
        <v>0</v>
      </c>
      <c r="T94" s="27">
        <v>0</v>
      </c>
      <c r="U94" s="17">
        <v>0.3</v>
      </c>
      <c r="V94" s="27">
        <v>1.6</v>
      </c>
      <c r="W94" s="17">
        <v>0.1</v>
      </c>
      <c r="X94" s="17">
        <v>0.2</v>
      </c>
      <c r="Y94" s="17">
        <v>3.3</v>
      </c>
      <c r="Z94" s="17">
        <v>0.3</v>
      </c>
      <c r="AA94" s="17">
        <v>0.3</v>
      </c>
      <c r="AB94" s="17">
        <v>2.2000000000000002</v>
      </c>
      <c r="AC94" s="17">
        <v>7.6</v>
      </c>
      <c r="AD94" s="17">
        <v>86</v>
      </c>
      <c r="AE94" s="17">
        <v>523</v>
      </c>
      <c r="AF94" s="17">
        <v>11</v>
      </c>
      <c r="AG94" s="17">
        <v>105</v>
      </c>
      <c r="AH94" s="17">
        <v>24.4</v>
      </c>
      <c r="AI94" s="17">
        <v>3.8</v>
      </c>
      <c r="AJ94" s="17">
        <v>5</v>
      </c>
      <c r="AK94" s="17">
        <v>0.1</v>
      </c>
      <c r="AL94" s="17">
        <v>15.3</v>
      </c>
      <c r="AM94" s="27">
        <v>0</v>
      </c>
    </row>
    <row r="95" spans="1:39" x14ac:dyDescent="0.25">
      <c r="A95" s="10">
        <v>94</v>
      </c>
      <c r="B95" s="9" t="s">
        <v>158</v>
      </c>
      <c r="C95" s="9" t="s">
        <v>194</v>
      </c>
      <c r="D95" s="10">
        <v>1</v>
      </c>
      <c r="E95" s="11">
        <v>174</v>
      </c>
      <c r="F95" s="17">
        <v>64.8</v>
      </c>
      <c r="G95" s="17">
        <v>0.9</v>
      </c>
      <c r="H95" s="17">
        <v>27.3</v>
      </c>
      <c r="I95" s="17">
        <v>0.6</v>
      </c>
      <c r="J95" s="17">
        <v>0</v>
      </c>
      <c r="K95" s="17">
        <v>0</v>
      </c>
      <c r="L95" s="17">
        <v>6.4</v>
      </c>
      <c r="M95" s="19">
        <v>2.79</v>
      </c>
      <c r="N95" s="19">
        <v>2.5499999999999998</v>
      </c>
      <c r="O95" s="19">
        <v>0.31</v>
      </c>
      <c r="P95" s="28">
        <v>0.16</v>
      </c>
      <c r="Q95" s="17">
        <v>88</v>
      </c>
      <c r="R95" s="17">
        <v>3</v>
      </c>
      <c r="S95" s="17">
        <v>0</v>
      </c>
      <c r="T95" s="17">
        <v>0</v>
      </c>
      <c r="U95" s="17">
        <v>0.1</v>
      </c>
      <c r="V95" s="17">
        <v>1.3</v>
      </c>
      <c r="W95" s="17">
        <v>0</v>
      </c>
      <c r="X95" s="17">
        <v>0.2</v>
      </c>
      <c r="Y95" s="17">
        <v>5.5</v>
      </c>
      <c r="Z95" s="17">
        <v>0.4</v>
      </c>
      <c r="AA95" s="17">
        <v>0.7</v>
      </c>
      <c r="AB95" s="17">
        <v>2.5</v>
      </c>
      <c r="AC95" s="17">
        <v>6</v>
      </c>
      <c r="AD95" s="17">
        <v>58</v>
      </c>
      <c r="AE95" s="17">
        <v>315</v>
      </c>
      <c r="AF95" s="17">
        <v>8</v>
      </c>
      <c r="AG95" s="17">
        <v>199</v>
      </c>
      <c r="AH95" s="17">
        <v>22</v>
      </c>
      <c r="AI95" s="17">
        <v>3.1</v>
      </c>
      <c r="AJ95" s="17">
        <v>6.9</v>
      </c>
      <c r="AK95" s="17">
        <v>0.1</v>
      </c>
      <c r="AL95" s="17">
        <v>22.3</v>
      </c>
      <c r="AM95" s="27">
        <v>0</v>
      </c>
    </row>
    <row r="96" spans="1:39" x14ac:dyDescent="0.25">
      <c r="A96" s="10">
        <v>95</v>
      </c>
      <c r="B96" s="9" t="s">
        <v>158</v>
      </c>
      <c r="C96" s="9" t="s">
        <v>195</v>
      </c>
      <c r="D96" s="10">
        <v>1</v>
      </c>
      <c r="E96" s="11">
        <v>176</v>
      </c>
      <c r="F96" s="17">
        <v>69</v>
      </c>
      <c r="G96" s="17">
        <v>1</v>
      </c>
      <c r="H96" s="17">
        <v>20</v>
      </c>
      <c r="I96" s="17">
        <v>0</v>
      </c>
      <c r="J96" s="17">
        <v>0</v>
      </c>
      <c r="K96" s="17">
        <v>0</v>
      </c>
      <c r="L96" s="17">
        <v>10</v>
      </c>
      <c r="M96" s="19">
        <v>3.93</v>
      </c>
      <c r="N96" s="19">
        <v>4.1900000000000004</v>
      </c>
      <c r="O96" s="19">
        <v>0.35</v>
      </c>
      <c r="P96" s="28">
        <v>0.54</v>
      </c>
      <c r="Q96" s="17">
        <v>65</v>
      </c>
      <c r="R96" s="17">
        <v>4</v>
      </c>
      <c r="S96" s="17">
        <v>0</v>
      </c>
      <c r="T96" s="17">
        <v>0.1</v>
      </c>
      <c r="U96" s="17">
        <v>0.2</v>
      </c>
      <c r="V96" s="17">
        <v>0.8</v>
      </c>
      <c r="W96" s="17">
        <v>0</v>
      </c>
      <c r="X96" s="17">
        <v>0.2</v>
      </c>
      <c r="Y96" s="17">
        <v>5.0999999999999996</v>
      </c>
      <c r="Z96" s="17">
        <v>0.4</v>
      </c>
      <c r="AA96" s="17">
        <v>0.6</v>
      </c>
      <c r="AB96" s="17">
        <v>2.2000000000000002</v>
      </c>
      <c r="AC96" s="17">
        <v>6</v>
      </c>
      <c r="AD96" s="17">
        <v>66</v>
      </c>
      <c r="AE96" s="17">
        <v>321</v>
      </c>
      <c r="AF96" s="17">
        <v>12</v>
      </c>
      <c r="AG96" s="17">
        <v>184</v>
      </c>
      <c r="AH96" s="17">
        <v>20</v>
      </c>
      <c r="AI96" s="17">
        <v>2.2000000000000002</v>
      </c>
      <c r="AJ96" s="17">
        <v>4.8</v>
      </c>
      <c r="AK96" s="17">
        <v>0.1</v>
      </c>
      <c r="AL96" s="17">
        <v>16.600000000000001</v>
      </c>
      <c r="AM96" s="27">
        <v>0</v>
      </c>
    </row>
    <row r="97" spans="1:39" x14ac:dyDescent="0.25">
      <c r="A97" s="10">
        <v>96</v>
      </c>
      <c r="B97" s="9" t="s">
        <v>158</v>
      </c>
      <c r="C97" s="9" t="s">
        <v>196</v>
      </c>
      <c r="D97" s="10">
        <v>1</v>
      </c>
      <c r="E97" s="11">
        <v>98</v>
      </c>
      <c r="F97" s="17">
        <v>81.400000000000006</v>
      </c>
      <c r="G97" s="17">
        <v>0.8</v>
      </c>
      <c r="H97" s="17">
        <v>14.5</v>
      </c>
      <c r="I97" s="17">
        <v>0</v>
      </c>
      <c r="J97" s="27">
        <v>0</v>
      </c>
      <c r="K97" s="17">
        <v>0</v>
      </c>
      <c r="L97" s="17">
        <v>4</v>
      </c>
      <c r="M97" s="19">
        <v>2.0299999999999998</v>
      </c>
      <c r="N97" s="19">
        <v>1.31</v>
      </c>
      <c r="O97" s="19">
        <v>7.0000000000000007E-2</v>
      </c>
      <c r="P97" s="28">
        <v>0.16</v>
      </c>
      <c r="Q97" s="17">
        <v>95</v>
      </c>
      <c r="R97" s="17">
        <v>0</v>
      </c>
      <c r="S97" s="17">
        <v>3.4</v>
      </c>
      <c r="T97" s="27">
        <v>0</v>
      </c>
      <c r="U97" s="27">
        <v>0.1</v>
      </c>
      <c r="V97" s="27">
        <v>0</v>
      </c>
      <c r="W97" s="17">
        <v>0</v>
      </c>
      <c r="X97" s="17">
        <v>0.2</v>
      </c>
      <c r="Y97" s="17">
        <v>0.1</v>
      </c>
      <c r="Z97" s="17">
        <v>0</v>
      </c>
      <c r="AA97" s="17">
        <v>0.6</v>
      </c>
      <c r="AB97" s="17">
        <v>1.5</v>
      </c>
      <c r="AC97" s="17">
        <v>2</v>
      </c>
      <c r="AD97" s="17">
        <v>46</v>
      </c>
      <c r="AE97" s="17">
        <v>270</v>
      </c>
      <c r="AF97" s="17">
        <v>9</v>
      </c>
      <c r="AG97" s="17">
        <v>79</v>
      </c>
      <c r="AH97" s="17">
        <v>8</v>
      </c>
      <c r="AI97" s="17">
        <v>2</v>
      </c>
      <c r="AJ97" s="17">
        <v>2.5</v>
      </c>
      <c r="AK97" s="17">
        <v>0.1</v>
      </c>
      <c r="AL97" s="27">
        <v>14.7</v>
      </c>
      <c r="AM97" s="27">
        <v>0</v>
      </c>
    </row>
    <row r="98" spans="1:39" x14ac:dyDescent="0.25">
      <c r="A98" s="10">
        <v>97</v>
      </c>
      <c r="B98" s="9" t="s">
        <v>158</v>
      </c>
      <c r="C98" s="9" t="s">
        <v>197</v>
      </c>
      <c r="D98" s="10">
        <v>1</v>
      </c>
      <c r="E98" s="11">
        <v>146</v>
      </c>
      <c r="F98" s="17">
        <v>67.3</v>
      </c>
      <c r="G98" s="17">
        <v>0.7</v>
      </c>
      <c r="H98" s="17">
        <v>27.1</v>
      </c>
      <c r="I98" s="17">
        <v>1.1000000000000001</v>
      </c>
      <c r="J98" s="27">
        <v>0</v>
      </c>
      <c r="K98" s="22" t="s">
        <v>100</v>
      </c>
      <c r="L98" s="17">
        <v>3.7</v>
      </c>
      <c r="M98" s="19">
        <v>1.04</v>
      </c>
      <c r="N98" s="19">
        <v>0.93</v>
      </c>
      <c r="O98" s="19">
        <v>1.06</v>
      </c>
      <c r="P98" s="28">
        <v>0.18</v>
      </c>
      <c r="Q98" s="17">
        <v>194</v>
      </c>
      <c r="R98" s="17">
        <v>55.9</v>
      </c>
      <c r="S98" s="17">
        <v>1.6</v>
      </c>
      <c r="T98" s="27">
        <v>0</v>
      </c>
      <c r="U98" s="27">
        <v>0.2</v>
      </c>
      <c r="V98" s="27">
        <v>0</v>
      </c>
      <c r="W98" s="17">
        <v>0</v>
      </c>
      <c r="X98" s="17">
        <v>0.2</v>
      </c>
      <c r="Y98" s="17">
        <v>4</v>
      </c>
      <c r="Z98" s="17">
        <v>0.1</v>
      </c>
      <c r="AA98" s="17">
        <v>0.7</v>
      </c>
      <c r="AB98" s="17">
        <v>1.9</v>
      </c>
      <c r="AC98" s="17">
        <v>53.2</v>
      </c>
      <c r="AD98" s="17">
        <v>65</v>
      </c>
      <c r="AE98" s="17">
        <v>240</v>
      </c>
      <c r="AF98" s="17">
        <v>10</v>
      </c>
      <c r="AG98" s="17">
        <v>105</v>
      </c>
      <c r="AH98" s="17">
        <v>20</v>
      </c>
      <c r="AI98" s="17">
        <v>2.9</v>
      </c>
      <c r="AJ98" s="17">
        <v>4.4000000000000004</v>
      </c>
      <c r="AK98" s="17">
        <v>0.1</v>
      </c>
      <c r="AL98" s="17">
        <v>11.7</v>
      </c>
      <c r="AM98" s="27">
        <v>0</v>
      </c>
    </row>
    <row r="99" spans="1:39" x14ac:dyDescent="0.25">
      <c r="A99" s="10">
        <v>98</v>
      </c>
      <c r="B99" s="9" t="s">
        <v>158</v>
      </c>
      <c r="C99" s="9" t="s">
        <v>198</v>
      </c>
      <c r="D99" s="10">
        <v>1</v>
      </c>
      <c r="E99" s="11">
        <v>185</v>
      </c>
      <c r="F99" s="17">
        <v>64.900000000000006</v>
      </c>
      <c r="G99" s="17">
        <v>0.7</v>
      </c>
      <c r="H99" s="17">
        <v>26.4</v>
      </c>
      <c r="I99" s="17">
        <v>0.1</v>
      </c>
      <c r="J99" s="22" t="s">
        <v>100</v>
      </c>
      <c r="K99" s="17">
        <v>0</v>
      </c>
      <c r="L99" s="17">
        <v>7.9</v>
      </c>
      <c r="M99" s="19">
        <v>2.2599999999999998</v>
      </c>
      <c r="N99" s="19">
        <v>2.0099999999999998</v>
      </c>
      <c r="O99" s="19">
        <v>2.2999999999999998</v>
      </c>
      <c r="P99" s="22" t="s">
        <v>100</v>
      </c>
      <c r="Q99" s="17">
        <v>242</v>
      </c>
      <c r="R99" s="17">
        <v>8</v>
      </c>
      <c r="S99" s="17">
        <v>1.8</v>
      </c>
      <c r="T99" s="22" t="s">
        <v>100</v>
      </c>
      <c r="U99" s="22" t="s">
        <v>100</v>
      </c>
      <c r="V99" s="22" t="s">
        <v>100</v>
      </c>
      <c r="W99" s="17">
        <v>0.1</v>
      </c>
      <c r="X99" s="17">
        <v>0.7</v>
      </c>
      <c r="Y99" s="17">
        <v>2.8</v>
      </c>
      <c r="Z99" s="17">
        <v>0.3</v>
      </c>
      <c r="AA99" s="17">
        <v>2.7</v>
      </c>
      <c r="AB99" s="17">
        <v>7.3</v>
      </c>
      <c r="AC99" s="17">
        <v>80</v>
      </c>
      <c r="AD99" s="17">
        <v>48</v>
      </c>
      <c r="AE99" s="17">
        <v>132</v>
      </c>
      <c r="AF99" s="17">
        <v>19</v>
      </c>
      <c r="AG99" s="17">
        <v>199</v>
      </c>
      <c r="AH99" s="17">
        <v>20</v>
      </c>
      <c r="AI99" s="17">
        <v>9</v>
      </c>
      <c r="AJ99" s="17">
        <v>7.3</v>
      </c>
      <c r="AK99" s="17">
        <v>0.5</v>
      </c>
      <c r="AL99" s="17">
        <v>8</v>
      </c>
      <c r="AM99" s="27">
        <v>0</v>
      </c>
    </row>
    <row r="100" spans="1:39" x14ac:dyDescent="0.25">
      <c r="A100" s="10">
        <v>99</v>
      </c>
      <c r="B100" s="9" t="s">
        <v>158</v>
      </c>
      <c r="C100" s="9" t="s">
        <v>199</v>
      </c>
      <c r="D100" s="10">
        <v>1</v>
      </c>
      <c r="E100" s="11">
        <v>144</v>
      </c>
      <c r="F100" s="17">
        <v>68.8</v>
      </c>
      <c r="G100" s="17">
        <v>1</v>
      </c>
      <c r="H100" s="17">
        <v>25.5</v>
      </c>
      <c r="I100" s="17">
        <v>1</v>
      </c>
      <c r="J100" s="27">
        <v>0</v>
      </c>
      <c r="K100" s="17">
        <v>0</v>
      </c>
      <c r="L100" s="17">
        <v>3.4</v>
      </c>
      <c r="M100" s="19">
        <v>1.0900000000000001</v>
      </c>
      <c r="N100" s="19">
        <v>0.74</v>
      </c>
      <c r="O100" s="19">
        <v>0.74</v>
      </c>
      <c r="P100" s="28">
        <v>0.2</v>
      </c>
      <c r="Q100" s="17">
        <v>386</v>
      </c>
      <c r="R100" s="17">
        <v>373</v>
      </c>
      <c r="S100" s="17">
        <v>0.8</v>
      </c>
      <c r="T100" s="27">
        <v>1</v>
      </c>
      <c r="U100" s="17">
        <v>0</v>
      </c>
      <c r="V100" s="27">
        <v>0</v>
      </c>
      <c r="W100" s="17">
        <v>0.2</v>
      </c>
      <c r="X100" s="17">
        <v>4.0999999999999996</v>
      </c>
      <c r="Y100" s="17">
        <v>6</v>
      </c>
      <c r="Z100" s="17">
        <v>0.5</v>
      </c>
      <c r="AA100" s="17">
        <v>1.7</v>
      </c>
      <c r="AB100" s="17">
        <v>51.3</v>
      </c>
      <c r="AC100" s="17">
        <v>98</v>
      </c>
      <c r="AD100" s="17">
        <v>133</v>
      </c>
      <c r="AE100" s="17">
        <v>179</v>
      </c>
      <c r="AF100" s="17">
        <v>17.100000000000001</v>
      </c>
      <c r="AG100" s="17">
        <v>306</v>
      </c>
      <c r="AH100" s="17">
        <v>18</v>
      </c>
      <c r="AI100" s="17">
        <v>7.3</v>
      </c>
      <c r="AJ100" s="17">
        <v>4.2</v>
      </c>
      <c r="AK100" s="17">
        <v>0.7</v>
      </c>
      <c r="AL100" s="17">
        <v>0</v>
      </c>
      <c r="AM100" s="27">
        <v>0</v>
      </c>
    </row>
    <row r="101" spans="1:39" x14ac:dyDescent="0.25">
      <c r="A101" s="10">
        <v>100</v>
      </c>
      <c r="B101" s="9" t="s">
        <v>158</v>
      </c>
      <c r="C101" s="9" t="s">
        <v>200</v>
      </c>
      <c r="D101" s="10">
        <v>2</v>
      </c>
      <c r="E101" s="11">
        <v>66</v>
      </c>
      <c r="F101" s="17">
        <v>84</v>
      </c>
      <c r="G101" s="17">
        <v>1.1000000000000001</v>
      </c>
      <c r="H101" s="17">
        <v>13.1</v>
      </c>
      <c r="I101" s="17">
        <v>0.6</v>
      </c>
      <c r="J101" s="27">
        <v>0</v>
      </c>
      <c r="K101" s="17">
        <v>0</v>
      </c>
      <c r="L101" s="17">
        <v>1.2</v>
      </c>
      <c r="M101" s="28">
        <v>0.4</v>
      </c>
      <c r="N101" s="28">
        <v>0.18</v>
      </c>
      <c r="O101" s="28">
        <v>0.18</v>
      </c>
      <c r="P101" s="28">
        <v>0.01</v>
      </c>
      <c r="Q101" s="27">
        <v>393</v>
      </c>
      <c r="R101" s="27">
        <v>10.7</v>
      </c>
      <c r="S101" s="27">
        <v>0</v>
      </c>
      <c r="T101" s="27">
        <v>0</v>
      </c>
      <c r="U101" s="27">
        <v>0.3</v>
      </c>
      <c r="V101" s="22" t="s">
        <v>100</v>
      </c>
      <c r="W101" s="27">
        <v>0.3</v>
      </c>
      <c r="X101" s="27">
        <v>0.2</v>
      </c>
      <c r="Y101" s="27">
        <v>1.9</v>
      </c>
      <c r="Z101" s="27">
        <v>0</v>
      </c>
      <c r="AA101" s="27">
        <v>0.9</v>
      </c>
      <c r="AB101" s="27">
        <v>10.6</v>
      </c>
      <c r="AC101" s="22" t="s">
        <v>100</v>
      </c>
      <c r="AD101" s="17">
        <v>163</v>
      </c>
      <c r="AE101" s="17">
        <v>255</v>
      </c>
      <c r="AF101" s="17">
        <v>7</v>
      </c>
      <c r="AG101" s="17">
        <v>184</v>
      </c>
      <c r="AH101" s="27">
        <v>11.7</v>
      </c>
      <c r="AI101" s="17">
        <v>1.6</v>
      </c>
      <c r="AJ101" s="27">
        <v>1.2</v>
      </c>
      <c r="AK101" s="27">
        <v>0.1</v>
      </c>
      <c r="AL101" s="27">
        <v>28</v>
      </c>
      <c r="AM101" s="27">
        <v>0</v>
      </c>
    </row>
    <row r="102" spans="1:39" x14ac:dyDescent="0.25">
      <c r="A102" s="10">
        <v>101</v>
      </c>
      <c r="B102" s="9" t="s">
        <v>158</v>
      </c>
      <c r="C102" s="9" t="s">
        <v>201</v>
      </c>
      <c r="D102" s="10">
        <v>3</v>
      </c>
      <c r="E102" s="11">
        <v>403</v>
      </c>
      <c r="F102" s="17">
        <v>38.4</v>
      </c>
      <c r="G102" s="17">
        <v>1.3</v>
      </c>
      <c r="H102" s="17">
        <v>27.4</v>
      </c>
      <c r="I102" s="17">
        <v>0.5</v>
      </c>
      <c r="J102" s="17">
        <v>0.2</v>
      </c>
      <c r="K102" s="22" t="s">
        <v>100</v>
      </c>
      <c r="L102" s="17">
        <v>32.4</v>
      </c>
      <c r="M102" s="19">
        <v>11.04</v>
      </c>
      <c r="N102" s="19">
        <v>12.53</v>
      </c>
      <c r="O102" s="19">
        <v>7.31</v>
      </c>
      <c r="P102" s="19">
        <v>0</v>
      </c>
      <c r="Q102" s="17">
        <v>80</v>
      </c>
      <c r="R102" s="27">
        <v>2.9</v>
      </c>
      <c r="S102" s="27">
        <v>0.3</v>
      </c>
      <c r="T102" s="22" t="s">
        <v>100</v>
      </c>
      <c r="U102" s="27">
        <v>0.4</v>
      </c>
      <c r="V102" s="27">
        <v>0</v>
      </c>
      <c r="W102" s="27">
        <v>0.4</v>
      </c>
      <c r="X102" s="27">
        <v>0.2</v>
      </c>
      <c r="Y102" s="27">
        <v>4.5</v>
      </c>
      <c r="Z102" s="27">
        <v>0.1</v>
      </c>
      <c r="AA102" s="27">
        <v>0.2</v>
      </c>
      <c r="AB102" s="27">
        <v>0.8</v>
      </c>
      <c r="AC102" s="27">
        <v>1</v>
      </c>
      <c r="AD102" s="17">
        <v>417</v>
      </c>
      <c r="AE102" s="27">
        <v>180.1</v>
      </c>
      <c r="AF102" s="27">
        <v>4.9000000000000004</v>
      </c>
      <c r="AG102" s="27">
        <v>105.2</v>
      </c>
      <c r="AH102" s="27">
        <v>3.9</v>
      </c>
      <c r="AI102" s="27">
        <v>0.5</v>
      </c>
      <c r="AJ102" s="27">
        <v>1</v>
      </c>
      <c r="AK102" s="27">
        <v>0.1</v>
      </c>
      <c r="AL102" s="27">
        <v>7.8</v>
      </c>
      <c r="AM102" s="27">
        <v>0</v>
      </c>
    </row>
    <row r="103" spans="1:39" x14ac:dyDescent="0.25">
      <c r="A103" s="10">
        <v>102</v>
      </c>
      <c r="B103" s="9" t="s">
        <v>158</v>
      </c>
      <c r="C103" s="9" t="s">
        <v>202</v>
      </c>
      <c r="D103" s="10">
        <v>4</v>
      </c>
      <c r="E103" s="11">
        <v>350</v>
      </c>
      <c r="F103" s="27">
        <v>12.3</v>
      </c>
      <c r="G103" s="27">
        <v>4.7</v>
      </c>
      <c r="H103" s="17">
        <v>50</v>
      </c>
      <c r="I103" s="17">
        <v>28</v>
      </c>
      <c r="J103" s="17">
        <v>15</v>
      </c>
      <c r="K103" s="17">
        <v>3</v>
      </c>
      <c r="L103" s="17">
        <v>2</v>
      </c>
      <c r="M103" s="28">
        <v>0.23</v>
      </c>
      <c r="N103" s="28">
        <v>0.34</v>
      </c>
      <c r="O103" s="28">
        <v>0.87</v>
      </c>
      <c r="P103" s="28">
        <v>0</v>
      </c>
      <c r="Q103" s="17">
        <v>0</v>
      </c>
      <c r="R103" s="27">
        <v>0</v>
      </c>
      <c r="S103" s="27">
        <v>0</v>
      </c>
      <c r="T103" s="27">
        <v>0</v>
      </c>
      <c r="U103" s="27">
        <v>0</v>
      </c>
      <c r="V103" s="27">
        <v>0</v>
      </c>
      <c r="W103" s="17">
        <v>0.6</v>
      </c>
      <c r="X103" s="17">
        <v>0.3</v>
      </c>
      <c r="Y103" s="17">
        <v>3</v>
      </c>
      <c r="Z103" s="17">
        <v>0.5</v>
      </c>
      <c r="AA103" s="17">
        <v>1.3</v>
      </c>
      <c r="AB103" s="27">
        <v>0</v>
      </c>
      <c r="AC103" s="17">
        <v>0.4</v>
      </c>
      <c r="AD103" s="17">
        <v>15</v>
      </c>
      <c r="AE103" s="27">
        <v>2202</v>
      </c>
      <c r="AF103" s="27">
        <v>363</v>
      </c>
      <c r="AG103" s="27">
        <v>839</v>
      </c>
      <c r="AH103" s="27">
        <v>315</v>
      </c>
      <c r="AI103" s="27">
        <v>10.8</v>
      </c>
      <c r="AJ103" s="27">
        <v>4.4000000000000004</v>
      </c>
      <c r="AK103" s="27">
        <v>1</v>
      </c>
      <c r="AL103" s="27">
        <v>0.8</v>
      </c>
      <c r="AM103" s="27">
        <v>0</v>
      </c>
    </row>
    <row r="104" spans="1:39" x14ac:dyDescent="0.25">
      <c r="A104" s="10">
        <v>103</v>
      </c>
      <c r="B104" s="9" t="s">
        <v>158</v>
      </c>
      <c r="C104" s="9" t="s">
        <v>203</v>
      </c>
      <c r="D104" s="10">
        <v>3</v>
      </c>
      <c r="E104" s="11">
        <v>382</v>
      </c>
      <c r="F104" s="17">
        <v>7.3</v>
      </c>
      <c r="G104" s="17">
        <v>7.3</v>
      </c>
      <c r="H104" s="17">
        <v>75.599999999999994</v>
      </c>
      <c r="I104" s="17">
        <v>1.8</v>
      </c>
      <c r="J104" s="17">
        <v>0.5</v>
      </c>
      <c r="K104" s="22" t="s">
        <v>100</v>
      </c>
      <c r="L104" s="17">
        <v>8</v>
      </c>
      <c r="M104" s="19">
        <v>3.29</v>
      </c>
      <c r="N104" s="19">
        <v>3.63</v>
      </c>
      <c r="O104" s="19">
        <v>0.42</v>
      </c>
      <c r="P104" s="19">
        <v>0</v>
      </c>
      <c r="Q104" s="17">
        <v>238</v>
      </c>
      <c r="R104" s="27">
        <v>0</v>
      </c>
      <c r="S104" s="27">
        <v>0</v>
      </c>
      <c r="T104" s="27">
        <v>0</v>
      </c>
      <c r="U104" s="27">
        <v>0.8</v>
      </c>
      <c r="V104" s="27">
        <v>2.6</v>
      </c>
      <c r="W104" s="27">
        <v>0.1</v>
      </c>
      <c r="X104" s="27">
        <v>0.3</v>
      </c>
      <c r="Y104" s="27">
        <v>10.4</v>
      </c>
      <c r="Z104" s="27">
        <v>0.8</v>
      </c>
      <c r="AA104" s="27">
        <v>1.1000000000000001</v>
      </c>
      <c r="AB104" s="27">
        <v>3.2</v>
      </c>
      <c r="AC104" s="27">
        <v>20.100000000000001</v>
      </c>
      <c r="AD104" s="17">
        <v>1477</v>
      </c>
      <c r="AE104" s="27">
        <v>471.5</v>
      </c>
      <c r="AF104" s="27">
        <v>16.100000000000001</v>
      </c>
      <c r="AG104" s="27">
        <v>363.2</v>
      </c>
      <c r="AH104" s="27">
        <v>38.1</v>
      </c>
      <c r="AI104" s="27">
        <v>4.9000000000000004</v>
      </c>
      <c r="AJ104" s="27">
        <v>9.9</v>
      </c>
      <c r="AK104" s="27">
        <v>0.1</v>
      </c>
      <c r="AL104" s="27">
        <v>65</v>
      </c>
      <c r="AM104" s="27">
        <v>0</v>
      </c>
    </row>
    <row r="105" spans="1:39" x14ac:dyDescent="0.25">
      <c r="A105" s="10">
        <v>104</v>
      </c>
      <c r="B105" s="9" t="s">
        <v>158</v>
      </c>
      <c r="C105" s="9" t="s">
        <v>204</v>
      </c>
      <c r="D105" s="10">
        <v>3</v>
      </c>
      <c r="E105" s="11">
        <v>212</v>
      </c>
      <c r="F105" s="17">
        <v>64.900000000000006</v>
      </c>
      <c r="G105" s="17">
        <v>2.9</v>
      </c>
      <c r="H105" s="17">
        <v>15.2</v>
      </c>
      <c r="I105" s="17">
        <v>0.4</v>
      </c>
      <c r="J105" s="27">
        <v>0</v>
      </c>
      <c r="K105" s="22" t="s">
        <v>100</v>
      </c>
      <c r="L105" s="17">
        <v>16.600000000000001</v>
      </c>
      <c r="M105" s="19">
        <v>5.29</v>
      </c>
      <c r="N105" s="19">
        <v>6.31</v>
      </c>
      <c r="O105" s="19">
        <v>2.3199999999999998</v>
      </c>
      <c r="P105" s="19">
        <v>0</v>
      </c>
      <c r="Q105" s="17">
        <v>45</v>
      </c>
      <c r="R105" s="27">
        <v>0</v>
      </c>
      <c r="S105" s="27">
        <v>0</v>
      </c>
      <c r="T105" s="27">
        <v>0.4</v>
      </c>
      <c r="U105" s="27">
        <v>0.1</v>
      </c>
      <c r="V105" s="27">
        <v>1</v>
      </c>
      <c r="W105" s="27">
        <v>0.2</v>
      </c>
      <c r="X105" s="27">
        <v>0.1</v>
      </c>
      <c r="Y105" s="27">
        <v>2.1</v>
      </c>
      <c r="Z105" s="27">
        <v>0</v>
      </c>
      <c r="AA105" s="27">
        <v>0.3</v>
      </c>
      <c r="AB105" s="27">
        <v>0.3</v>
      </c>
      <c r="AC105" s="27">
        <v>1.3</v>
      </c>
      <c r="AD105" s="17">
        <v>796</v>
      </c>
      <c r="AE105" s="27">
        <v>119.6</v>
      </c>
      <c r="AF105" s="27">
        <v>6.3</v>
      </c>
      <c r="AG105" s="27">
        <v>67.7</v>
      </c>
      <c r="AH105" s="27">
        <v>7.6</v>
      </c>
      <c r="AI105" s="27">
        <v>0.7</v>
      </c>
      <c r="AJ105" s="27">
        <v>1.2</v>
      </c>
      <c r="AK105" s="27">
        <v>0</v>
      </c>
      <c r="AL105" s="27">
        <v>9.1</v>
      </c>
      <c r="AM105" s="27">
        <v>0</v>
      </c>
    </row>
    <row r="106" spans="1:39" x14ac:dyDescent="0.25">
      <c r="A106" s="10">
        <v>105</v>
      </c>
      <c r="B106" s="9" t="s">
        <v>158</v>
      </c>
      <c r="C106" s="9" t="s">
        <v>205</v>
      </c>
      <c r="D106" s="10">
        <v>3</v>
      </c>
      <c r="E106" s="11">
        <v>405</v>
      </c>
      <c r="F106" s="17">
        <v>43</v>
      </c>
      <c r="G106" s="17">
        <v>1.6</v>
      </c>
      <c r="H106" s="17">
        <v>13.7</v>
      </c>
      <c r="I106" s="17">
        <v>5</v>
      </c>
      <c r="J106" s="17">
        <v>0.5</v>
      </c>
      <c r="K106" s="22" t="s">
        <v>100</v>
      </c>
      <c r="L106" s="17">
        <v>36.700000000000003</v>
      </c>
      <c r="M106" s="19">
        <v>11.87</v>
      </c>
      <c r="N106" s="19">
        <v>14.55</v>
      </c>
      <c r="O106" s="19">
        <v>8.57</v>
      </c>
      <c r="P106" s="19">
        <v>0</v>
      </c>
      <c r="Q106" s="17">
        <v>103</v>
      </c>
      <c r="R106" s="27">
        <v>0</v>
      </c>
      <c r="S106" s="27">
        <v>0</v>
      </c>
      <c r="T106" s="27">
        <v>1.9</v>
      </c>
      <c r="U106" s="27">
        <v>0.3</v>
      </c>
      <c r="V106" s="27">
        <v>0</v>
      </c>
      <c r="W106" s="27">
        <v>0.3</v>
      </c>
      <c r="X106" s="27">
        <v>0.4</v>
      </c>
      <c r="Y106" s="27">
        <v>6.9</v>
      </c>
      <c r="Z106" s="27">
        <v>0.4</v>
      </c>
      <c r="AA106" s="22" t="s">
        <v>100</v>
      </c>
      <c r="AB106" s="27">
        <v>2.5</v>
      </c>
      <c r="AC106" s="27">
        <v>0</v>
      </c>
      <c r="AD106" s="17">
        <v>609</v>
      </c>
      <c r="AE106" s="27">
        <v>388.1</v>
      </c>
      <c r="AF106" s="27">
        <v>23.9</v>
      </c>
      <c r="AG106" s="27">
        <v>187.8</v>
      </c>
      <c r="AH106" s="27">
        <v>25.2</v>
      </c>
      <c r="AI106" s="27">
        <v>1.8</v>
      </c>
      <c r="AJ106" s="27">
        <v>2.1</v>
      </c>
      <c r="AK106" s="27">
        <v>0.1</v>
      </c>
      <c r="AL106" s="27">
        <v>23.4</v>
      </c>
      <c r="AM106" s="27">
        <v>0</v>
      </c>
    </row>
    <row r="107" spans="1:39" x14ac:dyDescent="0.25">
      <c r="A107" s="10">
        <v>106</v>
      </c>
      <c r="B107" s="9" t="s">
        <v>158</v>
      </c>
      <c r="C107" s="9" t="s">
        <v>206</v>
      </c>
      <c r="D107" s="10">
        <v>1</v>
      </c>
      <c r="E107" s="11">
        <v>220</v>
      </c>
      <c r="F107" s="17">
        <v>56.7</v>
      </c>
      <c r="G107" s="17">
        <v>1.4</v>
      </c>
      <c r="H107" s="17">
        <v>30.6</v>
      </c>
      <c r="I107" s="17">
        <v>2.5</v>
      </c>
      <c r="J107" s="22" t="s">
        <v>100</v>
      </c>
      <c r="K107" s="17">
        <v>0</v>
      </c>
      <c r="L107" s="17">
        <v>8.8000000000000007</v>
      </c>
      <c r="M107" s="19">
        <v>3.41</v>
      </c>
      <c r="N107" s="19">
        <v>1.84</v>
      </c>
      <c r="O107" s="19">
        <v>1.31</v>
      </c>
      <c r="P107" s="22" t="s">
        <v>100</v>
      </c>
      <c r="Q107" s="17">
        <v>501</v>
      </c>
      <c r="R107" s="17">
        <v>7491</v>
      </c>
      <c r="S107" s="17">
        <v>4</v>
      </c>
      <c r="T107" s="22" t="s">
        <v>100</v>
      </c>
      <c r="U107" s="22" t="s">
        <v>100</v>
      </c>
      <c r="V107" s="22" t="s">
        <v>100</v>
      </c>
      <c r="W107" s="17">
        <v>0.2</v>
      </c>
      <c r="X107" s="17">
        <v>4</v>
      </c>
      <c r="Y107" s="17">
        <v>12.2</v>
      </c>
      <c r="Z107" s="17">
        <v>0.5</v>
      </c>
      <c r="AA107" s="17">
        <v>4</v>
      </c>
      <c r="AB107" s="17">
        <v>76.5</v>
      </c>
      <c r="AC107" s="17">
        <v>73</v>
      </c>
      <c r="AD107" s="17">
        <v>56</v>
      </c>
      <c r="AE107" s="17">
        <v>221</v>
      </c>
      <c r="AF107" s="17">
        <v>8</v>
      </c>
      <c r="AG107" s="17">
        <v>420</v>
      </c>
      <c r="AH107" s="17">
        <v>22</v>
      </c>
      <c r="AI107" s="17">
        <v>8.3000000000000007</v>
      </c>
      <c r="AJ107" s="17">
        <v>7.9</v>
      </c>
      <c r="AK107" s="17">
        <v>7.1</v>
      </c>
      <c r="AL107" s="17">
        <v>111.4</v>
      </c>
      <c r="AM107" s="27">
        <v>0</v>
      </c>
    </row>
    <row r="108" spans="1:39" x14ac:dyDescent="0.25">
      <c r="A108" s="10">
        <v>107</v>
      </c>
      <c r="B108" s="9" t="s">
        <v>158</v>
      </c>
      <c r="C108" s="9" t="s">
        <v>207</v>
      </c>
      <c r="D108" s="10">
        <v>1</v>
      </c>
      <c r="E108" s="11">
        <v>167</v>
      </c>
      <c r="F108" s="17">
        <v>66.8</v>
      </c>
      <c r="G108" s="17">
        <v>1.4</v>
      </c>
      <c r="H108" s="17">
        <v>24.5</v>
      </c>
      <c r="I108" s="17">
        <v>0.9</v>
      </c>
      <c r="J108" s="17">
        <v>0</v>
      </c>
      <c r="K108" s="17">
        <v>0</v>
      </c>
      <c r="L108" s="17">
        <v>6.5</v>
      </c>
      <c r="M108" s="19">
        <v>2.06</v>
      </c>
      <c r="N108" s="19">
        <v>1.42</v>
      </c>
      <c r="O108" s="19">
        <v>1.99</v>
      </c>
      <c r="P108" s="28">
        <v>0.09</v>
      </c>
      <c r="Q108" s="17">
        <v>563</v>
      </c>
      <c r="R108" s="17">
        <v>3981</v>
      </c>
      <c r="S108" s="17">
        <v>27.9</v>
      </c>
      <c r="T108" s="17">
        <v>0</v>
      </c>
      <c r="U108" s="17">
        <v>0.8</v>
      </c>
      <c r="V108" s="17">
        <v>0</v>
      </c>
      <c r="W108" s="17">
        <v>0.3</v>
      </c>
      <c r="X108" s="17">
        <v>2</v>
      </c>
      <c r="Y108" s="17">
        <v>11</v>
      </c>
      <c r="Z108" s="17">
        <v>0.8</v>
      </c>
      <c r="AA108" s="17">
        <v>6.7</v>
      </c>
      <c r="AB108" s="17">
        <v>16.899999999999999</v>
      </c>
      <c r="AC108" s="17">
        <v>578</v>
      </c>
      <c r="AD108" s="17">
        <v>76</v>
      </c>
      <c r="AE108" s="17">
        <v>263</v>
      </c>
      <c r="AF108" s="17">
        <v>11</v>
      </c>
      <c r="AG108" s="17">
        <v>405</v>
      </c>
      <c r="AH108" s="17">
        <v>25</v>
      </c>
      <c r="AI108" s="17">
        <v>11.6</v>
      </c>
      <c r="AJ108" s="17">
        <v>4</v>
      </c>
      <c r="AK108" s="17">
        <v>0.5</v>
      </c>
      <c r="AL108" s="17">
        <v>82.4</v>
      </c>
      <c r="AM108" s="27">
        <v>0</v>
      </c>
    </row>
    <row r="109" spans="1:39" x14ac:dyDescent="0.25">
      <c r="A109" s="10">
        <v>108</v>
      </c>
      <c r="B109" s="9" t="s">
        <v>158</v>
      </c>
      <c r="C109" s="9" t="s">
        <v>208</v>
      </c>
      <c r="D109" s="10">
        <v>1</v>
      </c>
      <c r="E109" s="11">
        <v>191</v>
      </c>
      <c r="F109" s="17">
        <v>58.8</v>
      </c>
      <c r="G109" s="17">
        <v>1.7</v>
      </c>
      <c r="H109" s="17">
        <v>29.1</v>
      </c>
      <c r="I109" s="17">
        <v>5.0999999999999996</v>
      </c>
      <c r="J109" s="17">
        <v>0</v>
      </c>
      <c r="K109" s="17">
        <v>0</v>
      </c>
      <c r="L109" s="17">
        <v>5.3</v>
      </c>
      <c r="M109" s="19">
        <v>2.95</v>
      </c>
      <c r="N109" s="19">
        <v>1.1200000000000001</v>
      </c>
      <c r="O109" s="19">
        <v>1.1100000000000001</v>
      </c>
      <c r="P109" s="28">
        <v>0.37</v>
      </c>
      <c r="Q109" s="17">
        <v>396</v>
      </c>
      <c r="R109" s="17">
        <v>9442</v>
      </c>
      <c r="S109" s="17">
        <v>1.9</v>
      </c>
      <c r="T109" s="17">
        <v>1.2</v>
      </c>
      <c r="U109" s="17">
        <v>0.5</v>
      </c>
      <c r="V109" s="17">
        <v>3.3</v>
      </c>
      <c r="W109" s="17">
        <v>0.2</v>
      </c>
      <c r="X109" s="17">
        <v>3.4</v>
      </c>
      <c r="Y109" s="17">
        <v>17.5</v>
      </c>
      <c r="Z109" s="17">
        <v>1</v>
      </c>
      <c r="AA109" s="17">
        <v>7.1</v>
      </c>
      <c r="AB109" s="17">
        <v>70.599999999999994</v>
      </c>
      <c r="AC109" s="17">
        <v>253</v>
      </c>
      <c r="AD109" s="17">
        <v>79</v>
      </c>
      <c r="AE109" s="17">
        <v>352</v>
      </c>
      <c r="AF109" s="17">
        <v>6</v>
      </c>
      <c r="AG109" s="17">
        <v>497</v>
      </c>
      <c r="AH109" s="17">
        <v>21</v>
      </c>
      <c r="AI109" s="17">
        <v>6.5</v>
      </c>
      <c r="AJ109" s="17">
        <v>5.3</v>
      </c>
      <c r="AK109" s="17">
        <v>14.3</v>
      </c>
      <c r="AL109" s="17">
        <v>36.1</v>
      </c>
      <c r="AM109" s="27">
        <v>0</v>
      </c>
    </row>
    <row r="110" spans="1:39" x14ac:dyDescent="0.25">
      <c r="A110" s="10">
        <v>109</v>
      </c>
      <c r="B110" s="9" t="s">
        <v>158</v>
      </c>
      <c r="C110" s="9" t="s">
        <v>209</v>
      </c>
      <c r="D110" s="10">
        <v>3</v>
      </c>
      <c r="E110" s="11">
        <v>244</v>
      </c>
      <c r="F110" s="17">
        <v>55.8</v>
      </c>
      <c r="G110" s="17">
        <v>1.4</v>
      </c>
      <c r="H110" s="17">
        <v>20.100000000000001</v>
      </c>
      <c r="I110" s="17">
        <v>8.1</v>
      </c>
      <c r="J110" s="17">
        <v>0.1</v>
      </c>
      <c r="K110" s="22" t="s">
        <v>100</v>
      </c>
      <c r="L110" s="17">
        <v>14.6</v>
      </c>
      <c r="M110" s="19">
        <v>5.33</v>
      </c>
      <c r="N110" s="19">
        <v>6.93</v>
      </c>
      <c r="O110" s="19">
        <v>1.69</v>
      </c>
      <c r="P110" s="19">
        <v>0</v>
      </c>
      <c r="Q110" s="17">
        <v>66</v>
      </c>
      <c r="R110" s="27">
        <v>0</v>
      </c>
      <c r="S110" s="27">
        <v>3.9</v>
      </c>
      <c r="T110" s="22" t="s">
        <v>100</v>
      </c>
      <c r="U110" s="22" t="s">
        <v>100</v>
      </c>
      <c r="V110" s="22" t="s">
        <v>100</v>
      </c>
      <c r="W110" s="27">
        <v>0.2</v>
      </c>
      <c r="X110" s="27">
        <v>0.4</v>
      </c>
      <c r="Y110" s="27">
        <v>5.3</v>
      </c>
      <c r="Z110" s="27">
        <v>0.4</v>
      </c>
      <c r="AA110" s="27">
        <v>0.8</v>
      </c>
      <c r="AB110" s="27">
        <v>4.7</v>
      </c>
      <c r="AC110" s="27">
        <v>8.6999999999999993</v>
      </c>
      <c r="AD110" s="17">
        <v>362</v>
      </c>
      <c r="AE110" s="27">
        <v>392.5</v>
      </c>
      <c r="AF110" s="27">
        <v>7.5</v>
      </c>
      <c r="AG110" s="27">
        <v>165.7</v>
      </c>
      <c r="AH110" s="27">
        <v>19.899999999999999</v>
      </c>
      <c r="AI110" s="27">
        <v>3.7</v>
      </c>
      <c r="AJ110" s="27">
        <v>3.6</v>
      </c>
      <c r="AK110" s="27">
        <v>0.2</v>
      </c>
      <c r="AL110" s="27">
        <v>11.7</v>
      </c>
      <c r="AM110" s="27">
        <v>0</v>
      </c>
    </row>
    <row r="111" spans="1:39" x14ac:dyDescent="0.25">
      <c r="A111" s="10">
        <v>110</v>
      </c>
      <c r="B111" s="9" t="s">
        <v>158</v>
      </c>
      <c r="C111" s="9" t="s">
        <v>210</v>
      </c>
      <c r="D111" s="10">
        <v>1</v>
      </c>
      <c r="E111" s="11">
        <v>284</v>
      </c>
      <c r="F111" s="17">
        <v>57.9</v>
      </c>
      <c r="G111" s="17">
        <v>0.7</v>
      </c>
      <c r="H111" s="17">
        <v>19.3</v>
      </c>
      <c r="I111" s="17">
        <v>0</v>
      </c>
      <c r="J111" s="17">
        <v>0</v>
      </c>
      <c r="K111" s="17">
        <v>0</v>
      </c>
      <c r="L111" s="17">
        <v>22.3</v>
      </c>
      <c r="M111" s="19">
        <v>8.1300000000000008</v>
      </c>
      <c r="N111" s="19">
        <v>10.1</v>
      </c>
      <c r="O111" s="19">
        <v>0.75</v>
      </c>
      <c r="P111" s="28">
        <v>0.84</v>
      </c>
      <c r="Q111" s="17">
        <v>132</v>
      </c>
      <c r="R111" s="17">
        <v>0</v>
      </c>
      <c r="S111" s="17">
        <v>1.3</v>
      </c>
      <c r="T111" s="17">
        <v>0.4</v>
      </c>
      <c r="U111" s="17">
        <v>0.3</v>
      </c>
      <c r="V111" s="17">
        <v>1.2</v>
      </c>
      <c r="W111" s="17">
        <v>0</v>
      </c>
      <c r="X111" s="17">
        <v>0.3</v>
      </c>
      <c r="Y111" s="17">
        <v>3.5</v>
      </c>
      <c r="Z111" s="17">
        <v>0.2</v>
      </c>
      <c r="AA111" s="17">
        <v>0.7</v>
      </c>
      <c r="AB111" s="17">
        <v>3.1</v>
      </c>
      <c r="AC111" s="17">
        <v>7</v>
      </c>
      <c r="AD111" s="17">
        <v>65</v>
      </c>
      <c r="AE111" s="17">
        <v>184</v>
      </c>
      <c r="AF111" s="17">
        <v>5</v>
      </c>
      <c r="AG111" s="17">
        <v>145</v>
      </c>
      <c r="AH111" s="17">
        <v>15</v>
      </c>
      <c r="AI111" s="17">
        <v>2.6</v>
      </c>
      <c r="AJ111" s="17">
        <v>4.0999999999999996</v>
      </c>
      <c r="AK111" s="17">
        <v>0.1</v>
      </c>
      <c r="AL111" s="17">
        <v>13.2</v>
      </c>
      <c r="AM111" s="27">
        <v>0</v>
      </c>
    </row>
    <row r="112" spans="1:39" x14ac:dyDescent="0.25">
      <c r="A112" s="10">
        <v>111</v>
      </c>
      <c r="B112" s="9" t="s">
        <v>158</v>
      </c>
      <c r="C112" s="9" t="s">
        <v>211</v>
      </c>
      <c r="D112" s="10">
        <v>2</v>
      </c>
      <c r="E112" s="11">
        <v>162</v>
      </c>
      <c r="F112" s="17">
        <v>74</v>
      </c>
      <c r="G112" s="17">
        <v>1.2</v>
      </c>
      <c r="H112" s="17">
        <v>11.2</v>
      </c>
      <c r="I112" s="17">
        <v>1</v>
      </c>
      <c r="J112" s="22" t="s">
        <v>100</v>
      </c>
      <c r="K112" s="17">
        <v>0</v>
      </c>
      <c r="L112" s="17">
        <v>12.6</v>
      </c>
      <c r="M112" s="22" t="s">
        <v>100</v>
      </c>
      <c r="N112" s="22" t="s">
        <v>100</v>
      </c>
      <c r="O112" s="22" t="s">
        <v>100</v>
      </c>
      <c r="P112" s="22" t="s">
        <v>100</v>
      </c>
      <c r="Q112" s="22" t="s">
        <v>100</v>
      </c>
      <c r="R112" s="22" t="s">
        <v>100</v>
      </c>
      <c r="S112" s="22" t="s">
        <v>100</v>
      </c>
      <c r="T112" s="22" t="s">
        <v>100</v>
      </c>
      <c r="U112" s="22" t="s">
        <v>100</v>
      </c>
      <c r="V112" s="22" t="s">
        <v>100</v>
      </c>
      <c r="W112" s="17">
        <v>0.1</v>
      </c>
      <c r="X112" s="17">
        <v>0.2</v>
      </c>
      <c r="Y112" s="17">
        <v>1.3</v>
      </c>
      <c r="Z112" s="22" t="s">
        <v>100</v>
      </c>
      <c r="AA112" s="22" t="s">
        <v>100</v>
      </c>
      <c r="AB112" s="22" t="s">
        <v>100</v>
      </c>
      <c r="AC112" s="22" t="s">
        <v>100</v>
      </c>
      <c r="AD112" s="17">
        <v>110</v>
      </c>
      <c r="AE112" s="17">
        <v>144</v>
      </c>
      <c r="AF112" s="17">
        <v>17</v>
      </c>
      <c r="AG112" s="17">
        <v>171</v>
      </c>
      <c r="AH112" s="22" t="s">
        <v>100</v>
      </c>
      <c r="AI112" s="17">
        <v>1.3</v>
      </c>
      <c r="AJ112" s="22" t="s">
        <v>100</v>
      </c>
      <c r="AK112" s="22" t="s">
        <v>100</v>
      </c>
      <c r="AL112" s="22" t="s">
        <v>100</v>
      </c>
      <c r="AM112" s="27">
        <v>0</v>
      </c>
    </row>
    <row r="113" spans="1:39" x14ac:dyDescent="0.25">
      <c r="A113" s="10">
        <v>112</v>
      </c>
      <c r="B113" s="9" t="s">
        <v>158</v>
      </c>
      <c r="C113" s="9" t="s">
        <v>212</v>
      </c>
      <c r="D113" s="10">
        <v>1</v>
      </c>
      <c r="E113" s="11">
        <v>180</v>
      </c>
      <c r="F113" s="17">
        <v>65.3</v>
      </c>
      <c r="G113" s="17">
        <v>3.7</v>
      </c>
      <c r="H113" s="17">
        <v>16.5</v>
      </c>
      <c r="I113" s="17">
        <v>4.2</v>
      </c>
      <c r="J113" s="17">
        <v>0</v>
      </c>
      <c r="K113" s="17">
        <v>0</v>
      </c>
      <c r="L113" s="17">
        <v>10.3</v>
      </c>
      <c r="M113" s="19">
        <v>3.42</v>
      </c>
      <c r="N113" s="19">
        <v>4.9000000000000004</v>
      </c>
      <c r="O113" s="19">
        <v>1.26</v>
      </c>
      <c r="P113" s="22" t="s">
        <v>100</v>
      </c>
      <c r="Q113" s="17">
        <v>59</v>
      </c>
      <c r="R113" s="17">
        <v>0</v>
      </c>
      <c r="S113" s="17">
        <v>0</v>
      </c>
      <c r="T113" s="17">
        <v>0.7</v>
      </c>
      <c r="U113" s="17">
        <v>0.2</v>
      </c>
      <c r="V113" s="17">
        <v>0</v>
      </c>
      <c r="W113" s="17">
        <v>0.6</v>
      </c>
      <c r="X113" s="17">
        <v>0.2</v>
      </c>
      <c r="Y113" s="17">
        <v>3.9</v>
      </c>
      <c r="Z113" s="17">
        <v>0.4</v>
      </c>
      <c r="AA113" s="27">
        <v>0.5</v>
      </c>
      <c r="AB113" s="17">
        <v>0.9</v>
      </c>
      <c r="AC113" s="17">
        <v>1</v>
      </c>
      <c r="AD113" s="17">
        <v>1039</v>
      </c>
      <c r="AE113" s="17">
        <v>319</v>
      </c>
      <c r="AF113" s="17">
        <v>7</v>
      </c>
      <c r="AG113" s="17">
        <v>155</v>
      </c>
      <c r="AH113" s="17">
        <v>16</v>
      </c>
      <c r="AI113" s="17">
        <v>0.8</v>
      </c>
      <c r="AJ113" s="17">
        <v>1.9</v>
      </c>
      <c r="AK113" s="17">
        <v>0.1</v>
      </c>
      <c r="AL113" s="17">
        <v>17.399999999999999</v>
      </c>
      <c r="AM113" s="27">
        <v>0</v>
      </c>
    </row>
    <row r="114" spans="1:39" x14ac:dyDescent="0.25">
      <c r="A114" s="10">
        <v>113</v>
      </c>
      <c r="B114" s="9" t="s">
        <v>158</v>
      </c>
      <c r="C114" s="9" t="s">
        <v>213</v>
      </c>
      <c r="D114" s="10">
        <v>3</v>
      </c>
      <c r="E114" s="11">
        <v>113</v>
      </c>
      <c r="F114" s="17">
        <v>73.400000000000006</v>
      </c>
      <c r="G114" s="17">
        <v>2.1</v>
      </c>
      <c r="H114" s="17">
        <v>20.100000000000001</v>
      </c>
      <c r="I114" s="17">
        <v>1.3</v>
      </c>
      <c r="J114" s="22" t="s">
        <v>100</v>
      </c>
      <c r="K114" s="22" t="s">
        <v>100</v>
      </c>
      <c r="L114" s="17">
        <v>3.1</v>
      </c>
      <c r="M114" s="19">
        <v>1.08</v>
      </c>
      <c r="N114" s="19">
        <v>1.1100000000000001</v>
      </c>
      <c r="O114" s="19">
        <v>0.56999999999999995</v>
      </c>
      <c r="P114" s="19">
        <v>0</v>
      </c>
      <c r="Q114" s="17">
        <v>51.1</v>
      </c>
      <c r="R114" s="27">
        <v>0</v>
      </c>
      <c r="S114" s="27">
        <v>31</v>
      </c>
      <c r="T114" s="22" t="s">
        <v>100</v>
      </c>
      <c r="U114" s="22" t="s">
        <v>100</v>
      </c>
      <c r="V114" s="22" t="s">
        <v>100</v>
      </c>
      <c r="W114" s="27">
        <v>0.8</v>
      </c>
      <c r="X114" s="27">
        <v>0.2</v>
      </c>
      <c r="Y114" s="27">
        <v>4.9000000000000004</v>
      </c>
      <c r="Z114" s="27">
        <v>0.4</v>
      </c>
      <c r="AA114" s="27">
        <v>0.6</v>
      </c>
      <c r="AB114" s="27">
        <v>0.8</v>
      </c>
      <c r="AC114" s="27">
        <v>3.8</v>
      </c>
      <c r="AD114" s="17">
        <v>615</v>
      </c>
      <c r="AE114" s="27">
        <v>311.39999999999998</v>
      </c>
      <c r="AF114" s="27">
        <v>3.8</v>
      </c>
      <c r="AG114" s="27">
        <v>249.1</v>
      </c>
      <c r="AH114" s="27">
        <v>18.2</v>
      </c>
      <c r="AI114" s="27">
        <v>1</v>
      </c>
      <c r="AJ114" s="27">
        <v>1.9</v>
      </c>
      <c r="AK114" s="27">
        <v>0.1</v>
      </c>
      <c r="AL114" s="27">
        <v>14.9</v>
      </c>
      <c r="AM114" s="27">
        <v>0</v>
      </c>
    </row>
    <row r="115" spans="1:39" x14ac:dyDescent="0.25">
      <c r="A115" s="10">
        <v>114</v>
      </c>
      <c r="B115" s="9" t="s">
        <v>158</v>
      </c>
      <c r="C115" s="9" t="s">
        <v>214</v>
      </c>
      <c r="D115" s="10">
        <v>2</v>
      </c>
      <c r="E115" s="11">
        <v>312</v>
      </c>
      <c r="F115" s="17">
        <v>44</v>
      </c>
      <c r="G115" s="17">
        <v>10</v>
      </c>
      <c r="H115" s="17">
        <v>20.5</v>
      </c>
      <c r="I115" s="17">
        <v>0</v>
      </c>
      <c r="J115" s="27">
        <v>0</v>
      </c>
      <c r="K115" s="17">
        <v>0</v>
      </c>
      <c r="L115" s="17">
        <v>25.5</v>
      </c>
      <c r="M115" s="19">
        <v>10.79</v>
      </c>
      <c r="N115" s="19">
        <v>12.65</v>
      </c>
      <c r="O115" s="19">
        <v>2.0699999999999998</v>
      </c>
      <c r="P115" s="22" t="s">
        <v>100</v>
      </c>
      <c r="Q115" s="17">
        <v>93</v>
      </c>
      <c r="R115" s="27">
        <v>0</v>
      </c>
      <c r="S115" s="27">
        <v>0</v>
      </c>
      <c r="T115" s="27">
        <v>1.3</v>
      </c>
      <c r="U115" s="27">
        <v>0.5</v>
      </c>
      <c r="V115" s="27">
        <v>0</v>
      </c>
      <c r="W115" s="27">
        <v>1.2</v>
      </c>
      <c r="X115" s="27">
        <v>0.5</v>
      </c>
      <c r="Y115" s="27">
        <v>9.6999999999999993</v>
      </c>
      <c r="Z115" s="27">
        <v>0.5</v>
      </c>
      <c r="AA115" s="27">
        <v>1.1000000000000001</v>
      </c>
      <c r="AB115" s="27">
        <v>1.1000000000000001</v>
      </c>
      <c r="AC115" s="27">
        <v>4.7</v>
      </c>
      <c r="AD115" s="27">
        <v>2368.9</v>
      </c>
      <c r="AE115" s="27">
        <v>645.9</v>
      </c>
      <c r="AF115" s="27">
        <v>12.6</v>
      </c>
      <c r="AG115" s="27">
        <v>443.8</v>
      </c>
      <c r="AH115" s="27">
        <v>34.700000000000003</v>
      </c>
      <c r="AI115" s="27">
        <v>2.1</v>
      </c>
      <c r="AJ115" s="27">
        <v>3.9</v>
      </c>
      <c r="AK115" s="27">
        <v>0.2</v>
      </c>
      <c r="AL115" s="27">
        <v>31.3</v>
      </c>
      <c r="AM115" s="27">
        <v>0</v>
      </c>
    </row>
    <row r="116" spans="1:39" x14ac:dyDescent="0.25">
      <c r="A116" s="10">
        <v>115</v>
      </c>
      <c r="B116" s="9" t="s">
        <v>158</v>
      </c>
      <c r="C116" s="9" t="s">
        <v>215</v>
      </c>
      <c r="D116" s="10">
        <v>1</v>
      </c>
      <c r="E116" s="11">
        <v>124</v>
      </c>
      <c r="F116" s="17">
        <v>72</v>
      </c>
      <c r="G116" s="17">
        <v>1.7</v>
      </c>
      <c r="H116" s="17">
        <v>19.600000000000001</v>
      </c>
      <c r="I116" s="17">
        <v>2.9</v>
      </c>
      <c r="J116" s="17">
        <v>0</v>
      </c>
      <c r="K116" s="17">
        <v>0</v>
      </c>
      <c r="L116" s="17">
        <v>3.8</v>
      </c>
      <c r="M116" s="19">
        <v>1.0900000000000001</v>
      </c>
      <c r="N116" s="19">
        <v>0.86</v>
      </c>
      <c r="O116" s="19">
        <v>1.1499999999999999</v>
      </c>
      <c r="P116" s="22" t="s">
        <v>100</v>
      </c>
      <c r="Q116" s="17">
        <v>67</v>
      </c>
      <c r="R116" s="17">
        <v>0</v>
      </c>
      <c r="S116" s="17">
        <v>0</v>
      </c>
      <c r="T116" s="17">
        <v>0</v>
      </c>
      <c r="U116" s="17">
        <v>0.4</v>
      </c>
      <c r="V116" s="17">
        <v>0</v>
      </c>
      <c r="W116" s="17">
        <v>0.1</v>
      </c>
      <c r="X116" s="17">
        <v>0.3</v>
      </c>
      <c r="Y116" s="17">
        <v>3.5</v>
      </c>
      <c r="Z116" s="17">
        <v>0.2</v>
      </c>
      <c r="AA116" s="22" t="s">
        <v>100</v>
      </c>
      <c r="AB116" s="17">
        <v>0.3</v>
      </c>
      <c r="AC116" s="17">
        <v>6</v>
      </c>
      <c r="AD116" s="17">
        <v>1038</v>
      </c>
      <c r="AE116" s="17">
        <v>299</v>
      </c>
      <c r="AF116" s="17">
        <v>5</v>
      </c>
      <c r="AG116" s="17">
        <v>304</v>
      </c>
      <c r="AH116" s="17">
        <v>20</v>
      </c>
      <c r="AI116" s="17">
        <v>1.4</v>
      </c>
      <c r="AJ116" s="17">
        <v>2.4</v>
      </c>
      <c r="AK116" s="17">
        <v>0.1</v>
      </c>
      <c r="AL116" s="17">
        <v>37</v>
      </c>
      <c r="AM116" s="27">
        <v>0</v>
      </c>
    </row>
    <row r="117" spans="1:39" x14ac:dyDescent="0.25">
      <c r="A117" s="10">
        <v>116</v>
      </c>
      <c r="B117" s="9" t="s">
        <v>158</v>
      </c>
      <c r="C117" s="9" t="s">
        <v>216</v>
      </c>
      <c r="D117" s="10">
        <v>1</v>
      </c>
      <c r="E117" s="11">
        <v>118</v>
      </c>
      <c r="F117" s="17">
        <v>73.5</v>
      </c>
      <c r="G117" s="17">
        <v>3.2</v>
      </c>
      <c r="H117" s="17">
        <v>16.3</v>
      </c>
      <c r="I117" s="17">
        <v>3</v>
      </c>
      <c r="J117" s="17">
        <v>1.2</v>
      </c>
      <c r="K117" s="17">
        <v>0</v>
      </c>
      <c r="L117" s="17">
        <v>4</v>
      </c>
      <c r="M117" s="19">
        <v>1.2</v>
      </c>
      <c r="N117" s="19">
        <v>1.34</v>
      </c>
      <c r="O117" s="19">
        <v>0.87</v>
      </c>
      <c r="P117" s="22" t="s">
        <v>100</v>
      </c>
      <c r="Q117" s="17">
        <v>64</v>
      </c>
      <c r="R117" s="17">
        <v>16</v>
      </c>
      <c r="S117" s="17">
        <v>0</v>
      </c>
      <c r="T117" s="27">
        <v>0</v>
      </c>
      <c r="U117" s="27">
        <v>0.4</v>
      </c>
      <c r="V117" s="27">
        <v>0</v>
      </c>
      <c r="W117" s="17">
        <v>0.2</v>
      </c>
      <c r="X117" s="17">
        <v>0.3</v>
      </c>
      <c r="Y117" s="17">
        <v>4.0999999999999996</v>
      </c>
      <c r="Z117" s="17">
        <v>0.1</v>
      </c>
      <c r="AA117" s="22" t="s">
        <v>100</v>
      </c>
      <c r="AB117" s="17">
        <v>0.8</v>
      </c>
      <c r="AC117" s="27">
        <v>5.7</v>
      </c>
      <c r="AD117" s="17">
        <v>909</v>
      </c>
      <c r="AE117" s="17">
        <v>253</v>
      </c>
      <c r="AF117" s="17">
        <v>7</v>
      </c>
      <c r="AG117" s="17">
        <v>289</v>
      </c>
      <c r="AH117" s="17">
        <v>16</v>
      </c>
      <c r="AI117" s="17">
        <v>1</v>
      </c>
      <c r="AJ117" s="17">
        <v>2.1</v>
      </c>
      <c r="AK117" s="27">
        <v>0.1</v>
      </c>
      <c r="AL117" s="17">
        <v>38.200000000000003</v>
      </c>
      <c r="AM117" s="27">
        <v>0</v>
      </c>
    </row>
    <row r="118" spans="1:39" x14ac:dyDescent="0.25">
      <c r="A118" s="10">
        <v>117</v>
      </c>
      <c r="B118" s="9" t="s">
        <v>158</v>
      </c>
      <c r="C118" s="9" t="s">
        <v>217</v>
      </c>
      <c r="D118" s="10">
        <v>3</v>
      </c>
      <c r="E118" s="11">
        <v>83</v>
      </c>
      <c r="F118" s="17">
        <v>77.7</v>
      </c>
      <c r="G118" s="17">
        <v>2.9</v>
      </c>
      <c r="H118" s="17">
        <v>17.899999999999999</v>
      </c>
      <c r="I118" s="17">
        <v>0.4</v>
      </c>
      <c r="J118" s="27">
        <v>0.4</v>
      </c>
      <c r="K118" s="17">
        <v>0</v>
      </c>
      <c r="L118" s="17">
        <v>1.1000000000000001</v>
      </c>
      <c r="M118" s="19">
        <v>0.27</v>
      </c>
      <c r="N118" s="19">
        <v>0.19</v>
      </c>
      <c r="O118" s="19">
        <v>0.23</v>
      </c>
      <c r="P118" s="19">
        <v>0</v>
      </c>
      <c r="Q118" s="17">
        <v>41.4</v>
      </c>
      <c r="R118" s="27">
        <v>0</v>
      </c>
      <c r="S118" s="27">
        <v>0</v>
      </c>
      <c r="T118" s="27">
        <v>0</v>
      </c>
      <c r="U118" s="27">
        <v>0.3</v>
      </c>
      <c r="V118" s="27">
        <v>0</v>
      </c>
      <c r="W118" s="27">
        <v>0</v>
      </c>
      <c r="X118" s="27">
        <v>0.2</v>
      </c>
      <c r="Y118" s="27">
        <v>2.8</v>
      </c>
      <c r="Z118" s="27">
        <v>0.2</v>
      </c>
      <c r="AA118" s="22" t="s">
        <v>100</v>
      </c>
      <c r="AB118" s="27">
        <v>0.2</v>
      </c>
      <c r="AC118" s="27">
        <v>4.8</v>
      </c>
      <c r="AD118" s="17">
        <v>943</v>
      </c>
      <c r="AE118" s="27">
        <v>238.1</v>
      </c>
      <c r="AF118" s="27">
        <v>4</v>
      </c>
      <c r="AG118" s="27">
        <v>242.1</v>
      </c>
      <c r="AH118" s="27">
        <v>15.9</v>
      </c>
      <c r="AI118" s="27">
        <v>1.1000000000000001</v>
      </c>
      <c r="AJ118" s="27">
        <v>1.9</v>
      </c>
      <c r="AK118" s="27">
        <v>0.1</v>
      </c>
      <c r="AL118" s="27">
        <v>29.5</v>
      </c>
      <c r="AM118" s="27">
        <v>0</v>
      </c>
    </row>
    <row r="119" spans="1:39" x14ac:dyDescent="0.25">
      <c r="A119" s="10">
        <v>118</v>
      </c>
      <c r="B119" s="9" t="s">
        <v>158</v>
      </c>
      <c r="C119" s="9" t="s">
        <v>218</v>
      </c>
      <c r="D119" s="10">
        <v>1</v>
      </c>
      <c r="E119" s="11">
        <v>263</v>
      </c>
      <c r="F119" s="17">
        <v>57.4</v>
      </c>
      <c r="G119" s="17">
        <v>3.9</v>
      </c>
      <c r="H119" s="17">
        <v>16.3</v>
      </c>
      <c r="I119" s="17">
        <v>1.8</v>
      </c>
      <c r="J119" s="17">
        <v>0</v>
      </c>
      <c r="K119" s="17">
        <v>0</v>
      </c>
      <c r="L119" s="17">
        <v>20.7</v>
      </c>
      <c r="M119" s="19">
        <v>7.18</v>
      </c>
      <c r="N119" s="19">
        <v>9.58</v>
      </c>
      <c r="O119" s="19">
        <v>2.4700000000000002</v>
      </c>
      <c r="P119" s="22" t="s">
        <v>100</v>
      </c>
      <c r="Q119" s="17">
        <v>70</v>
      </c>
      <c r="R119" s="17">
        <v>0</v>
      </c>
      <c r="S119" s="17">
        <v>0</v>
      </c>
      <c r="T119" s="17">
        <v>0.7</v>
      </c>
      <c r="U119" s="17">
        <v>0.3</v>
      </c>
      <c r="V119" s="17">
        <v>0</v>
      </c>
      <c r="W119" s="17">
        <v>0.7</v>
      </c>
      <c r="X119" s="17">
        <v>0.2</v>
      </c>
      <c r="Y119" s="17">
        <v>4.2</v>
      </c>
      <c r="Z119" s="17">
        <v>0.3</v>
      </c>
      <c r="AA119" s="17">
        <v>0.2</v>
      </c>
      <c r="AB119" s="17">
        <v>1</v>
      </c>
      <c r="AC119" s="17">
        <v>1</v>
      </c>
      <c r="AD119" s="17">
        <v>1245</v>
      </c>
      <c r="AE119" s="17">
        <v>311</v>
      </c>
      <c r="AF119" s="17">
        <v>10</v>
      </c>
      <c r="AG119" s="17">
        <v>157</v>
      </c>
      <c r="AH119" s="17">
        <v>16</v>
      </c>
      <c r="AI119" s="17">
        <v>0.8</v>
      </c>
      <c r="AJ119" s="17">
        <v>1.9</v>
      </c>
      <c r="AK119" s="17">
        <v>0.1</v>
      </c>
      <c r="AL119" s="17">
        <v>20</v>
      </c>
      <c r="AM119" s="27">
        <v>0</v>
      </c>
    </row>
    <row r="120" spans="1:39" x14ac:dyDescent="0.25">
      <c r="A120" s="10">
        <v>119</v>
      </c>
      <c r="B120" s="9" t="s">
        <v>158</v>
      </c>
      <c r="C120" s="9" t="s">
        <v>219</v>
      </c>
      <c r="D120" s="10">
        <v>3</v>
      </c>
      <c r="E120" s="11">
        <v>397</v>
      </c>
      <c r="F120" s="17">
        <v>45</v>
      </c>
      <c r="G120" s="17">
        <v>2</v>
      </c>
      <c r="H120" s="17">
        <v>14</v>
      </c>
      <c r="I120" s="17">
        <v>2.1</v>
      </c>
      <c r="J120" s="17">
        <v>0.6</v>
      </c>
      <c r="K120" s="22" t="s">
        <v>100</v>
      </c>
      <c r="L120" s="17">
        <v>36.9</v>
      </c>
      <c r="M120" s="19">
        <v>11.82</v>
      </c>
      <c r="N120" s="19">
        <v>14.57</v>
      </c>
      <c r="O120" s="19">
        <v>8.76</v>
      </c>
      <c r="P120" s="19">
        <v>0</v>
      </c>
      <c r="Q120" s="17">
        <v>80</v>
      </c>
      <c r="R120" s="27">
        <v>34.200000000000003</v>
      </c>
      <c r="S120" s="27">
        <v>0</v>
      </c>
      <c r="T120" s="27">
        <v>1.8</v>
      </c>
      <c r="U120" s="27">
        <v>1.3</v>
      </c>
      <c r="V120" s="27">
        <v>0.4</v>
      </c>
      <c r="W120" s="27">
        <v>0.3</v>
      </c>
      <c r="X120" s="27">
        <v>0.2</v>
      </c>
      <c r="Y120" s="27">
        <v>6.9</v>
      </c>
      <c r="Z120" s="27">
        <v>0.2</v>
      </c>
      <c r="AA120" s="27">
        <v>0.9</v>
      </c>
      <c r="AB120" s="27">
        <v>1.2</v>
      </c>
      <c r="AC120" s="27">
        <v>2.5</v>
      </c>
      <c r="AD120" s="17">
        <v>587</v>
      </c>
      <c r="AE120" s="27">
        <v>389</v>
      </c>
      <c r="AF120" s="27">
        <v>10.1</v>
      </c>
      <c r="AG120" s="27">
        <v>168.5</v>
      </c>
      <c r="AH120" s="27">
        <v>19</v>
      </c>
      <c r="AI120" s="27">
        <v>1.3</v>
      </c>
      <c r="AJ120" s="27">
        <v>2.5</v>
      </c>
      <c r="AK120" s="27">
        <v>0.1</v>
      </c>
      <c r="AL120" s="27">
        <v>22.6</v>
      </c>
      <c r="AM120" s="27">
        <v>0</v>
      </c>
    </row>
    <row r="121" spans="1:39" x14ac:dyDescent="0.25">
      <c r="A121" s="10">
        <v>120</v>
      </c>
      <c r="B121" s="9" t="s">
        <v>158</v>
      </c>
      <c r="C121" s="9" t="s">
        <v>220</v>
      </c>
      <c r="D121" s="10">
        <v>1</v>
      </c>
      <c r="E121" s="11">
        <v>346</v>
      </c>
      <c r="F121" s="17">
        <v>51.1</v>
      </c>
      <c r="G121" s="17">
        <v>2.7</v>
      </c>
      <c r="H121" s="17">
        <v>14.3</v>
      </c>
      <c r="I121" s="17">
        <v>0.6</v>
      </c>
      <c r="J121" s="27">
        <v>0.6</v>
      </c>
      <c r="K121" s="17">
        <v>0</v>
      </c>
      <c r="L121" s="17">
        <v>31.3</v>
      </c>
      <c r="M121" s="19">
        <v>11.27</v>
      </c>
      <c r="N121" s="19">
        <v>14.34</v>
      </c>
      <c r="O121" s="19">
        <v>4.03</v>
      </c>
      <c r="P121" s="28">
        <v>0.13</v>
      </c>
      <c r="Q121" s="17">
        <v>76</v>
      </c>
      <c r="R121" s="17">
        <v>0</v>
      </c>
      <c r="S121" s="17">
        <v>2</v>
      </c>
      <c r="T121" s="27">
        <v>1.6</v>
      </c>
      <c r="U121" s="27">
        <v>1.1000000000000001</v>
      </c>
      <c r="V121" s="27">
        <v>0.3</v>
      </c>
      <c r="W121" s="17">
        <v>0.6</v>
      </c>
      <c r="X121" s="17">
        <v>0.2</v>
      </c>
      <c r="Y121" s="17">
        <v>3.3</v>
      </c>
      <c r="Z121" s="17">
        <v>0.3</v>
      </c>
      <c r="AA121" s="17">
        <v>0.5</v>
      </c>
      <c r="AB121" s="17">
        <v>0.9</v>
      </c>
      <c r="AC121" s="17">
        <v>8</v>
      </c>
      <c r="AD121" s="17">
        <v>731</v>
      </c>
      <c r="AE121" s="17">
        <v>253</v>
      </c>
      <c r="AF121" s="17">
        <v>18</v>
      </c>
      <c r="AG121" s="17">
        <v>142</v>
      </c>
      <c r="AH121" s="17">
        <v>14</v>
      </c>
      <c r="AI121" s="17">
        <v>1.2</v>
      </c>
      <c r="AJ121" s="17">
        <v>1.8</v>
      </c>
      <c r="AK121" s="17">
        <v>0.1</v>
      </c>
      <c r="AL121" s="17">
        <v>24.8</v>
      </c>
      <c r="AM121" s="27">
        <v>0</v>
      </c>
    </row>
    <row r="122" spans="1:39" x14ac:dyDescent="0.25">
      <c r="A122" s="10">
        <v>121</v>
      </c>
      <c r="B122" s="9" t="s">
        <v>158</v>
      </c>
      <c r="C122" s="9" t="s">
        <v>221</v>
      </c>
      <c r="D122" s="10">
        <v>1</v>
      </c>
      <c r="E122" s="11">
        <v>311</v>
      </c>
      <c r="F122" s="17">
        <v>52.3</v>
      </c>
      <c r="G122" s="17">
        <v>2.9</v>
      </c>
      <c r="H122" s="17">
        <v>16.399999999999999</v>
      </c>
      <c r="I122" s="17">
        <v>3.1</v>
      </c>
      <c r="J122" s="17">
        <v>0</v>
      </c>
      <c r="K122" s="17">
        <v>0</v>
      </c>
      <c r="L122" s="17">
        <v>25.4</v>
      </c>
      <c r="M122" s="19">
        <v>9.51</v>
      </c>
      <c r="N122" s="19">
        <v>11.38</v>
      </c>
      <c r="O122" s="19">
        <v>3.12</v>
      </c>
      <c r="P122" s="28">
        <v>0</v>
      </c>
      <c r="Q122" s="17">
        <v>56</v>
      </c>
      <c r="R122" s="17">
        <v>0</v>
      </c>
      <c r="S122" s="17">
        <v>0</v>
      </c>
      <c r="T122" s="17">
        <v>1</v>
      </c>
      <c r="U122" s="17">
        <v>0.2</v>
      </c>
      <c r="V122" s="17">
        <v>1.6</v>
      </c>
      <c r="W122" s="17">
        <v>0.1</v>
      </c>
      <c r="X122" s="17">
        <v>0.2</v>
      </c>
      <c r="Y122" s="17">
        <v>2.7</v>
      </c>
      <c r="Z122" s="17">
        <v>0.1</v>
      </c>
      <c r="AA122" s="17">
        <v>0.4</v>
      </c>
      <c r="AB122" s="17">
        <v>1.5</v>
      </c>
      <c r="AC122" s="17">
        <v>3</v>
      </c>
      <c r="AD122" s="17">
        <v>1246</v>
      </c>
      <c r="AE122" s="17">
        <v>163</v>
      </c>
      <c r="AF122" s="17">
        <v>18</v>
      </c>
      <c r="AG122" s="17">
        <v>97</v>
      </c>
      <c r="AH122" s="17">
        <v>11</v>
      </c>
      <c r="AI122" s="17">
        <v>1.4</v>
      </c>
      <c r="AJ122" s="17">
        <v>2.1</v>
      </c>
      <c r="AK122" s="17">
        <v>0.1</v>
      </c>
      <c r="AL122" s="17">
        <v>22.6</v>
      </c>
      <c r="AM122" s="27">
        <v>0</v>
      </c>
    </row>
    <row r="123" spans="1:39" x14ac:dyDescent="0.25">
      <c r="A123" s="10">
        <v>122</v>
      </c>
      <c r="B123" s="9" t="s">
        <v>158</v>
      </c>
      <c r="C123" s="9" t="s">
        <v>222</v>
      </c>
      <c r="D123" s="10">
        <v>3</v>
      </c>
      <c r="E123" s="11">
        <v>248</v>
      </c>
      <c r="F123" s="17">
        <v>55.3</v>
      </c>
      <c r="G123" s="17">
        <v>1.3</v>
      </c>
      <c r="H123" s="17">
        <v>10.7</v>
      </c>
      <c r="I123" s="17">
        <v>17.8</v>
      </c>
      <c r="J123" s="27">
        <v>0</v>
      </c>
      <c r="K123" s="22" t="s">
        <v>100</v>
      </c>
      <c r="L123" s="17">
        <v>14.9</v>
      </c>
      <c r="M123" s="28">
        <v>3.97</v>
      </c>
      <c r="N123" s="28">
        <v>6.16</v>
      </c>
      <c r="O123" s="28">
        <v>3.48</v>
      </c>
      <c r="P123" s="22" t="s">
        <v>100</v>
      </c>
      <c r="Q123" s="17">
        <v>35</v>
      </c>
      <c r="R123" s="27">
        <v>18.5</v>
      </c>
      <c r="S123" s="27">
        <v>0</v>
      </c>
      <c r="T123" s="27">
        <v>0.1</v>
      </c>
      <c r="U123" s="27">
        <v>1</v>
      </c>
      <c r="V123" s="27">
        <v>2.2000000000000002</v>
      </c>
      <c r="W123" s="27">
        <v>0.1</v>
      </c>
      <c r="X123" s="27">
        <v>0.1</v>
      </c>
      <c r="Y123" s="27">
        <v>9.6999999999999993</v>
      </c>
      <c r="Z123" s="27">
        <v>0.4</v>
      </c>
      <c r="AA123" s="27">
        <v>0.8</v>
      </c>
      <c r="AB123" s="27">
        <v>0.3</v>
      </c>
      <c r="AC123" s="27">
        <v>19.399999999999999</v>
      </c>
      <c r="AD123" s="17">
        <v>394</v>
      </c>
      <c r="AE123" s="27">
        <v>185.8</v>
      </c>
      <c r="AF123" s="27">
        <v>18.5</v>
      </c>
      <c r="AG123" s="27">
        <v>171</v>
      </c>
      <c r="AH123" s="27">
        <v>22.2</v>
      </c>
      <c r="AI123" s="27">
        <v>1.2</v>
      </c>
      <c r="AJ123" s="27">
        <v>0.9</v>
      </c>
      <c r="AK123" s="27">
        <v>0.1</v>
      </c>
      <c r="AL123" s="27">
        <v>25.9</v>
      </c>
      <c r="AM123" s="27">
        <v>0</v>
      </c>
    </row>
    <row r="124" spans="1:39" x14ac:dyDescent="0.25">
      <c r="A124" s="10">
        <v>123</v>
      </c>
      <c r="B124" s="9" t="s">
        <v>158</v>
      </c>
      <c r="C124" s="9" t="s">
        <v>223</v>
      </c>
      <c r="D124" s="10">
        <v>2</v>
      </c>
      <c r="E124" s="11">
        <v>429</v>
      </c>
      <c r="F124" s="17">
        <v>42.3</v>
      </c>
      <c r="G124" s="17">
        <v>2.9</v>
      </c>
      <c r="H124" s="17">
        <v>11.5</v>
      </c>
      <c r="I124" s="17">
        <v>1.3</v>
      </c>
      <c r="J124" s="22" t="s">
        <v>100</v>
      </c>
      <c r="K124" s="17">
        <v>0</v>
      </c>
      <c r="L124" s="17">
        <v>42</v>
      </c>
      <c r="M124" s="19">
        <v>17.77</v>
      </c>
      <c r="N124" s="19">
        <v>20.83</v>
      </c>
      <c r="O124" s="19">
        <v>3.4</v>
      </c>
      <c r="P124" s="22" t="s">
        <v>100</v>
      </c>
      <c r="Q124" s="17">
        <v>93</v>
      </c>
      <c r="R124" s="27">
        <v>1240.4000000000001</v>
      </c>
      <c r="S124" s="17">
        <v>0</v>
      </c>
      <c r="T124" s="22" t="s">
        <v>100</v>
      </c>
      <c r="U124" s="17">
        <v>0</v>
      </c>
      <c r="V124" s="22" t="s">
        <v>100</v>
      </c>
      <c r="W124" s="17">
        <v>0.2</v>
      </c>
      <c r="X124" s="17">
        <v>0.8</v>
      </c>
      <c r="Y124" s="17">
        <v>3.6</v>
      </c>
      <c r="Z124" s="17">
        <v>0</v>
      </c>
      <c r="AA124" s="17">
        <v>0</v>
      </c>
      <c r="AB124" s="17">
        <v>0</v>
      </c>
      <c r="AC124" s="17">
        <v>0</v>
      </c>
      <c r="AD124" s="17">
        <v>446</v>
      </c>
      <c r="AE124" s="17">
        <v>181</v>
      </c>
      <c r="AF124" s="17">
        <v>36</v>
      </c>
      <c r="AG124" s="17">
        <v>225</v>
      </c>
      <c r="AH124" s="17">
        <v>0</v>
      </c>
      <c r="AI124" s="17">
        <v>6</v>
      </c>
      <c r="AJ124" s="17">
        <v>0</v>
      </c>
      <c r="AK124" s="17">
        <v>0</v>
      </c>
      <c r="AL124" s="17">
        <v>0</v>
      </c>
      <c r="AM124" s="27">
        <v>0</v>
      </c>
    </row>
    <row r="125" spans="1:39" x14ac:dyDescent="0.25">
      <c r="A125" s="10">
        <v>124</v>
      </c>
      <c r="B125" s="9" t="s">
        <v>158</v>
      </c>
      <c r="C125" s="9" t="s">
        <v>224</v>
      </c>
      <c r="D125" s="10">
        <v>1</v>
      </c>
      <c r="E125" s="11">
        <v>462</v>
      </c>
      <c r="F125" s="17">
        <v>37</v>
      </c>
      <c r="G125" s="17">
        <v>3.1</v>
      </c>
      <c r="H125" s="17">
        <v>11.4</v>
      </c>
      <c r="I125" s="17">
        <v>4.7</v>
      </c>
      <c r="J125" s="22" t="s">
        <v>100</v>
      </c>
      <c r="K125" s="17">
        <v>0</v>
      </c>
      <c r="L125" s="17">
        <v>43.8</v>
      </c>
      <c r="M125" s="19">
        <v>14.45</v>
      </c>
      <c r="N125" s="19">
        <v>25.61</v>
      </c>
      <c r="O125" s="19">
        <v>0.84</v>
      </c>
      <c r="P125" s="22" t="s">
        <v>100</v>
      </c>
      <c r="Q125" s="17">
        <v>150</v>
      </c>
      <c r="R125" s="17">
        <v>1001</v>
      </c>
      <c r="S125" s="17">
        <v>2</v>
      </c>
      <c r="T125" s="22" t="s">
        <v>100</v>
      </c>
      <c r="U125" s="22" t="s">
        <v>100</v>
      </c>
      <c r="V125" s="22" t="s">
        <v>100</v>
      </c>
      <c r="W125" s="17">
        <v>0.1</v>
      </c>
      <c r="X125" s="17">
        <v>0.3</v>
      </c>
      <c r="Y125" s="17">
        <v>2.5</v>
      </c>
      <c r="Z125" s="17">
        <v>0.1</v>
      </c>
      <c r="AA125" s="17">
        <v>1.2</v>
      </c>
      <c r="AB125" s="17">
        <v>9.4</v>
      </c>
      <c r="AC125" s="17">
        <v>60</v>
      </c>
      <c r="AD125" s="17">
        <v>697</v>
      </c>
      <c r="AE125" s="17">
        <v>138</v>
      </c>
      <c r="AF125" s="17">
        <v>70</v>
      </c>
      <c r="AG125" s="17">
        <v>200</v>
      </c>
      <c r="AH125" s="17">
        <v>13</v>
      </c>
      <c r="AI125" s="17">
        <v>5.5</v>
      </c>
      <c r="AJ125" s="17">
        <v>0.9</v>
      </c>
      <c r="AK125" s="17">
        <v>0.4</v>
      </c>
      <c r="AL125" s="17">
        <v>44</v>
      </c>
      <c r="AM125" s="27">
        <v>0</v>
      </c>
    </row>
    <row r="126" spans="1:39" x14ac:dyDescent="0.25">
      <c r="A126" s="10">
        <v>125</v>
      </c>
      <c r="B126" s="9" t="s">
        <v>158</v>
      </c>
      <c r="C126" s="9" t="s">
        <v>225</v>
      </c>
      <c r="D126" s="10">
        <v>3</v>
      </c>
      <c r="E126" s="11">
        <v>89</v>
      </c>
      <c r="F126" s="17">
        <v>77.400000000000006</v>
      </c>
      <c r="G126" s="17">
        <v>2.8</v>
      </c>
      <c r="H126" s="17">
        <v>16.7</v>
      </c>
      <c r="I126" s="17">
        <v>1.2</v>
      </c>
      <c r="J126" s="27">
        <v>0.9</v>
      </c>
      <c r="K126" s="17">
        <v>0</v>
      </c>
      <c r="L126" s="17">
        <v>1.9</v>
      </c>
      <c r="M126" s="19">
        <v>0.57999999999999996</v>
      </c>
      <c r="N126" s="19">
        <v>0.72</v>
      </c>
      <c r="O126" s="19">
        <v>0.5</v>
      </c>
      <c r="P126" s="19">
        <v>0</v>
      </c>
      <c r="Q126" s="17">
        <v>43</v>
      </c>
      <c r="R126" s="27">
        <v>0</v>
      </c>
      <c r="S126" s="27">
        <v>0</v>
      </c>
      <c r="T126" s="27">
        <v>0.2</v>
      </c>
      <c r="U126" s="27">
        <v>0.1</v>
      </c>
      <c r="V126" s="27">
        <v>0</v>
      </c>
      <c r="W126" s="27">
        <v>0</v>
      </c>
      <c r="X126" s="27">
        <v>0.1</v>
      </c>
      <c r="Y126" s="27">
        <v>6.7</v>
      </c>
      <c r="Z126" s="27">
        <v>0.4</v>
      </c>
      <c r="AA126" s="27">
        <v>0.3</v>
      </c>
      <c r="AB126" s="27">
        <v>0.3</v>
      </c>
      <c r="AC126" s="27">
        <v>3.8</v>
      </c>
      <c r="AD126" s="17">
        <v>976</v>
      </c>
      <c r="AE126" s="27">
        <v>349.1</v>
      </c>
      <c r="AF126" s="27">
        <v>13.2</v>
      </c>
      <c r="AG126" s="27">
        <v>234.3</v>
      </c>
      <c r="AH126" s="27">
        <v>17.899999999999999</v>
      </c>
      <c r="AI126" s="27">
        <v>0.4</v>
      </c>
      <c r="AJ126" s="27">
        <v>0.9</v>
      </c>
      <c r="AK126" s="27">
        <v>0</v>
      </c>
      <c r="AL126" s="27">
        <v>12.2</v>
      </c>
      <c r="AM126" s="27">
        <v>0</v>
      </c>
    </row>
    <row r="127" spans="1:39" x14ac:dyDescent="0.25">
      <c r="A127" s="10">
        <v>126</v>
      </c>
      <c r="B127" s="9" t="s">
        <v>158</v>
      </c>
      <c r="C127" s="9" t="s">
        <v>226</v>
      </c>
      <c r="D127" s="10">
        <v>3</v>
      </c>
      <c r="E127" s="11">
        <v>93</v>
      </c>
      <c r="F127" s="17">
        <v>76.900000000000006</v>
      </c>
      <c r="G127" s="17">
        <v>2.7</v>
      </c>
      <c r="H127" s="17">
        <v>15.4</v>
      </c>
      <c r="I127" s="17">
        <v>2.7</v>
      </c>
      <c r="J127" s="27">
        <v>0.9</v>
      </c>
      <c r="K127" s="17">
        <v>0</v>
      </c>
      <c r="L127" s="17">
        <v>2.2999999999999998</v>
      </c>
      <c r="M127" s="19">
        <v>0.74</v>
      </c>
      <c r="N127" s="19">
        <v>0.79</v>
      </c>
      <c r="O127" s="19">
        <v>0.67</v>
      </c>
      <c r="P127" s="19">
        <v>0</v>
      </c>
      <c r="Q127" s="17">
        <v>44</v>
      </c>
      <c r="R127" s="27">
        <v>0</v>
      </c>
      <c r="S127" s="27">
        <v>0</v>
      </c>
      <c r="T127" s="27">
        <v>0.2</v>
      </c>
      <c r="U127" s="27">
        <v>0.1</v>
      </c>
      <c r="V127" s="27">
        <v>0</v>
      </c>
      <c r="W127" s="27">
        <v>0</v>
      </c>
      <c r="X127" s="27">
        <v>0.1</v>
      </c>
      <c r="Y127" s="27">
        <v>6.9</v>
      </c>
      <c r="Z127" s="27">
        <v>0.4</v>
      </c>
      <c r="AA127" s="27">
        <v>0.3</v>
      </c>
      <c r="AB127" s="27">
        <v>0.4</v>
      </c>
      <c r="AC127" s="27">
        <v>3.8</v>
      </c>
      <c r="AD127" s="17">
        <v>821</v>
      </c>
      <c r="AE127" s="27">
        <v>356.8</v>
      </c>
      <c r="AF127" s="27">
        <v>13.5</v>
      </c>
      <c r="AG127" s="27">
        <v>239.5</v>
      </c>
      <c r="AH127" s="27">
        <v>18.3</v>
      </c>
      <c r="AI127" s="27">
        <v>0.4</v>
      </c>
      <c r="AJ127" s="27">
        <v>0.9</v>
      </c>
      <c r="AK127" s="27">
        <v>0</v>
      </c>
      <c r="AL127" s="27">
        <v>12.5</v>
      </c>
      <c r="AM127" s="27">
        <v>0</v>
      </c>
    </row>
    <row r="128" spans="1:39" x14ac:dyDescent="0.25">
      <c r="A128" s="10">
        <v>127</v>
      </c>
      <c r="B128" s="9" t="s">
        <v>158</v>
      </c>
      <c r="C128" s="9" t="s">
        <v>227</v>
      </c>
      <c r="D128" s="10">
        <v>1</v>
      </c>
      <c r="E128" s="11">
        <v>126</v>
      </c>
      <c r="F128" s="17">
        <v>70.900000000000006</v>
      </c>
      <c r="G128" s="17">
        <v>2.1</v>
      </c>
      <c r="H128" s="17">
        <v>22.2</v>
      </c>
      <c r="I128" s="17">
        <v>1.4</v>
      </c>
      <c r="J128" s="27">
        <v>1.1000000000000001</v>
      </c>
      <c r="K128" s="17">
        <v>0</v>
      </c>
      <c r="L128" s="17">
        <v>3.5</v>
      </c>
      <c r="M128" s="19">
        <v>0.98</v>
      </c>
      <c r="N128" s="19">
        <v>1.1399999999999999</v>
      </c>
      <c r="O128" s="19">
        <v>0.84</v>
      </c>
      <c r="P128" s="28">
        <v>0.03</v>
      </c>
      <c r="Q128" s="17">
        <v>42</v>
      </c>
      <c r="R128" s="17">
        <v>0</v>
      </c>
      <c r="S128" s="17">
        <v>0</v>
      </c>
      <c r="T128" s="27">
        <v>0.2</v>
      </c>
      <c r="U128" s="27">
        <v>0.2</v>
      </c>
      <c r="V128" s="27">
        <v>0</v>
      </c>
      <c r="W128" s="17">
        <v>0.1</v>
      </c>
      <c r="X128" s="17">
        <v>0.1</v>
      </c>
      <c r="Y128" s="17">
        <v>9.1</v>
      </c>
      <c r="Z128" s="17">
        <v>0.3</v>
      </c>
      <c r="AA128" s="17">
        <v>0.5</v>
      </c>
      <c r="AB128" s="17">
        <v>0.3</v>
      </c>
      <c r="AC128" s="17">
        <v>5</v>
      </c>
      <c r="AD128" s="17">
        <v>397</v>
      </c>
      <c r="AE128" s="17">
        <v>248</v>
      </c>
      <c r="AF128" s="17">
        <v>9</v>
      </c>
      <c r="AG128" s="17">
        <v>214</v>
      </c>
      <c r="AH128" s="17">
        <v>21</v>
      </c>
      <c r="AI128" s="17">
        <v>0.7</v>
      </c>
      <c r="AJ128" s="17">
        <v>1.5</v>
      </c>
      <c r="AK128" s="17">
        <v>0</v>
      </c>
      <c r="AL128" s="17">
        <v>25.7</v>
      </c>
      <c r="AM128" s="27">
        <v>0</v>
      </c>
    </row>
    <row r="129" spans="1:39" x14ac:dyDescent="0.25">
      <c r="A129" s="10">
        <v>128</v>
      </c>
      <c r="B129" s="9" t="s">
        <v>158</v>
      </c>
      <c r="C129" s="9" t="s">
        <v>228</v>
      </c>
      <c r="D129" s="10">
        <v>3</v>
      </c>
      <c r="E129" s="11">
        <v>101</v>
      </c>
      <c r="F129" s="17">
        <v>74.900000000000006</v>
      </c>
      <c r="G129" s="17">
        <v>2.8</v>
      </c>
      <c r="H129" s="17">
        <v>17.8</v>
      </c>
      <c r="I129" s="17">
        <v>2.2000000000000002</v>
      </c>
      <c r="J129" s="27">
        <v>0.1</v>
      </c>
      <c r="K129" s="22" t="s">
        <v>100</v>
      </c>
      <c r="L129" s="17">
        <v>2.2999999999999998</v>
      </c>
      <c r="M129" s="28">
        <v>0.77</v>
      </c>
      <c r="N129" s="28">
        <v>0.71</v>
      </c>
      <c r="O129" s="28">
        <v>0.43</v>
      </c>
      <c r="P129" s="22" t="s">
        <v>100</v>
      </c>
      <c r="Q129" s="27">
        <v>36</v>
      </c>
      <c r="R129" s="27">
        <v>0</v>
      </c>
      <c r="S129" s="27">
        <v>0</v>
      </c>
      <c r="T129" s="22" t="s">
        <v>100</v>
      </c>
      <c r="U129" s="22" t="s">
        <v>100</v>
      </c>
      <c r="V129" s="27">
        <v>0</v>
      </c>
      <c r="W129" s="27">
        <v>0</v>
      </c>
      <c r="X129" s="27">
        <v>0</v>
      </c>
      <c r="Y129" s="27">
        <v>3.7</v>
      </c>
      <c r="Z129" s="27">
        <v>0.2</v>
      </c>
      <c r="AA129" s="27">
        <v>0.3</v>
      </c>
      <c r="AB129" s="27">
        <v>0.1</v>
      </c>
      <c r="AC129" s="27">
        <v>1.1000000000000001</v>
      </c>
      <c r="AD129" s="17">
        <v>810</v>
      </c>
      <c r="AE129" s="27">
        <v>72.2</v>
      </c>
      <c r="AF129" s="27">
        <v>6.5</v>
      </c>
      <c r="AG129" s="27">
        <v>64.7</v>
      </c>
      <c r="AH129" s="27">
        <v>9.6999999999999993</v>
      </c>
      <c r="AI129" s="27">
        <v>0.3</v>
      </c>
      <c r="AJ129" s="27">
        <v>0.3</v>
      </c>
      <c r="AK129" s="27">
        <v>0</v>
      </c>
      <c r="AL129" s="27">
        <v>8.1999999999999993</v>
      </c>
      <c r="AM129" s="27">
        <v>0</v>
      </c>
    </row>
    <row r="130" spans="1:39" x14ac:dyDescent="0.25">
      <c r="A130" s="10">
        <v>129</v>
      </c>
      <c r="B130" s="9" t="s">
        <v>158</v>
      </c>
      <c r="C130" s="9" t="s">
        <v>229</v>
      </c>
      <c r="D130" s="10">
        <v>1</v>
      </c>
      <c r="E130" s="11">
        <v>504</v>
      </c>
      <c r="F130" s="17">
        <v>28.6</v>
      </c>
      <c r="G130" s="17">
        <v>4.7</v>
      </c>
      <c r="H130" s="17">
        <v>19.3</v>
      </c>
      <c r="I130" s="17">
        <v>1.2</v>
      </c>
      <c r="J130" s="17">
        <v>0</v>
      </c>
      <c r="K130" s="17">
        <v>0</v>
      </c>
      <c r="L130" s="17">
        <v>46.3</v>
      </c>
      <c r="M130" s="19">
        <v>17.71</v>
      </c>
      <c r="N130" s="19">
        <v>20.77</v>
      </c>
      <c r="O130" s="19">
        <v>4.46</v>
      </c>
      <c r="P130" s="28">
        <v>1.53</v>
      </c>
      <c r="Q130" s="17">
        <v>97</v>
      </c>
      <c r="R130" s="17">
        <v>0</v>
      </c>
      <c r="S130" s="17">
        <v>0</v>
      </c>
      <c r="T130" s="17">
        <v>1.3</v>
      </c>
      <c r="U130" s="17">
        <v>1</v>
      </c>
      <c r="V130" s="17">
        <v>5.8</v>
      </c>
      <c r="W130" s="17">
        <v>0.3</v>
      </c>
      <c r="X130" s="17">
        <v>0.3</v>
      </c>
      <c r="Y130" s="17">
        <v>5</v>
      </c>
      <c r="Z130" s="17">
        <v>0.4</v>
      </c>
      <c r="AA130" s="17">
        <v>0.9</v>
      </c>
      <c r="AB130" s="17">
        <v>1.3</v>
      </c>
      <c r="AC130" s="17">
        <v>5</v>
      </c>
      <c r="AD130" s="17">
        <v>1582</v>
      </c>
      <c r="AE130" s="17">
        <v>274</v>
      </c>
      <c r="AF130" s="17">
        <v>19</v>
      </c>
      <c r="AG130" s="17">
        <v>158</v>
      </c>
      <c r="AH130" s="17">
        <v>18</v>
      </c>
      <c r="AI130" s="17">
        <v>1.3</v>
      </c>
      <c r="AJ130" s="17">
        <v>2.4</v>
      </c>
      <c r="AK130" s="17">
        <v>0.1</v>
      </c>
      <c r="AL130" s="17">
        <v>29</v>
      </c>
      <c r="AM130" s="27">
        <v>0</v>
      </c>
    </row>
    <row r="131" spans="1:39" x14ac:dyDescent="0.25">
      <c r="A131" s="10">
        <v>130</v>
      </c>
      <c r="B131" s="9" t="s">
        <v>158</v>
      </c>
      <c r="C131" s="9" t="s">
        <v>230</v>
      </c>
      <c r="D131" s="10">
        <v>3</v>
      </c>
      <c r="E131" s="11">
        <v>206</v>
      </c>
      <c r="F131" s="17">
        <v>63.6</v>
      </c>
      <c r="G131" s="17">
        <v>1.2</v>
      </c>
      <c r="H131" s="17">
        <v>21.3</v>
      </c>
      <c r="I131" s="17">
        <v>0.9</v>
      </c>
      <c r="J131" s="17">
        <v>0</v>
      </c>
      <c r="K131" s="22" t="s">
        <v>100</v>
      </c>
      <c r="L131" s="17">
        <v>13</v>
      </c>
      <c r="M131" s="19">
        <v>4.76</v>
      </c>
      <c r="N131" s="19">
        <v>6.05</v>
      </c>
      <c r="O131" s="19">
        <v>1.62</v>
      </c>
      <c r="P131" s="19">
        <v>0</v>
      </c>
      <c r="Q131" s="17">
        <v>89</v>
      </c>
      <c r="R131" s="27">
        <v>2.4</v>
      </c>
      <c r="S131" s="27">
        <v>0.2</v>
      </c>
      <c r="T131" s="27">
        <v>0.6</v>
      </c>
      <c r="U131" s="27">
        <v>0.2</v>
      </c>
      <c r="V131" s="27">
        <v>0</v>
      </c>
      <c r="W131" s="27">
        <v>0.5</v>
      </c>
      <c r="X131" s="27">
        <v>0.3</v>
      </c>
      <c r="Y131" s="27">
        <v>3.7</v>
      </c>
      <c r="Z131" s="27">
        <v>0.3</v>
      </c>
      <c r="AA131" s="27">
        <v>0.5</v>
      </c>
      <c r="AB131" s="27">
        <v>0.6</v>
      </c>
      <c r="AC131" s="27">
        <v>8.1</v>
      </c>
      <c r="AD131" s="17">
        <v>276</v>
      </c>
      <c r="AE131" s="27">
        <v>285</v>
      </c>
      <c r="AF131" s="27">
        <v>11.3</v>
      </c>
      <c r="AG131" s="27">
        <v>212.9</v>
      </c>
      <c r="AH131" s="27">
        <v>17.8</v>
      </c>
      <c r="AI131" s="27">
        <v>0.8</v>
      </c>
      <c r="AJ131" s="27">
        <v>2.4</v>
      </c>
      <c r="AK131" s="27">
        <v>0.1</v>
      </c>
      <c r="AL131" s="27">
        <v>36.700000000000003</v>
      </c>
      <c r="AM131" s="27">
        <v>0</v>
      </c>
    </row>
    <row r="132" spans="1:39" x14ac:dyDescent="0.25">
      <c r="A132" s="10">
        <v>131</v>
      </c>
      <c r="B132" s="9" t="s">
        <v>158</v>
      </c>
      <c r="C132" s="9" t="s">
        <v>231</v>
      </c>
      <c r="D132" s="10">
        <v>3</v>
      </c>
      <c r="E132" s="11">
        <v>253</v>
      </c>
      <c r="F132" s="17">
        <v>61.3</v>
      </c>
      <c r="G132" s="17">
        <v>2.1</v>
      </c>
      <c r="H132" s="17">
        <v>9.1</v>
      </c>
      <c r="I132" s="17">
        <v>6.1</v>
      </c>
      <c r="J132" s="17">
        <v>1</v>
      </c>
      <c r="K132" s="22" t="s">
        <v>100</v>
      </c>
      <c r="L132" s="17">
        <v>21.4</v>
      </c>
      <c r="M132" s="19">
        <v>8.19</v>
      </c>
      <c r="N132" s="19">
        <v>8.64</v>
      </c>
      <c r="O132" s="19">
        <v>3.59</v>
      </c>
      <c r="P132" s="19">
        <v>0</v>
      </c>
      <c r="Q132" s="17">
        <v>99</v>
      </c>
      <c r="R132" s="27">
        <v>0</v>
      </c>
      <c r="S132" s="27">
        <v>0</v>
      </c>
      <c r="T132" s="27">
        <v>1</v>
      </c>
      <c r="U132" s="27">
        <v>0.1</v>
      </c>
      <c r="V132" s="27">
        <v>0</v>
      </c>
      <c r="W132" s="27">
        <v>0.1</v>
      </c>
      <c r="X132" s="27">
        <v>0.1</v>
      </c>
      <c r="Y132" s="27">
        <v>0.9</v>
      </c>
      <c r="Z132" s="27">
        <v>0</v>
      </c>
      <c r="AA132" s="27">
        <v>0.4</v>
      </c>
      <c r="AB132" s="27">
        <v>0.7</v>
      </c>
      <c r="AC132" s="27">
        <v>3.7</v>
      </c>
      <c r="AD132" s="17">
        <v>703</v>
      </c>
      <c r="AE132" s="27">
        <v>27.9</v>
      </c>
      <c r="AF132" s="27">
        <v>4.4000000000000004</v>
      </c>
      <c r="AG132" s="27">
        <v>16.2</v>
      </c>
      <c r="AH132" s="27">
        <v>5.9</v>
      </c>
      <c r="AI132" s="27">
        <v>4.7</v>
      </c>
      <c r="AJ132" s="27">
        <v>1</v>
      </c>
      <c r="AK132" s="27">
        <v>0</v>
      </c>
      <c r="AL132" s="27">
        <v>11.4</v>
      </c>
      <c r="AM132" s="27">
        <v>0</v>
      </c>
    </row>
    <row r="133" spans="1:39" x14ac:dyDescent="0.25">
      <c r="A133" s="10">
        <v>132</v>
      </c>
      <c r="B133" s="9" t="s">
        <v>158</v>
      </c>
      <c r="C133" s="9" t="s">
        <v>232</v>
      </c>
      <c r="D133" s="10">
        <v>1</v>
      </c>
      <c r="E133" s="11">
        <v>379</v>
      </c>
      <c r="F133" s="17">
        <v>47.3</v>
      </c>
      <c r="G133" s="17">
        <v>2.2999999999999998</v>
      </c>
      <c r="H133" s="17">
        <v>14.6</v>
      </c>
      <c r="I133" s="17">
        <v>1.3</v>
      </c>
      <c r="J133" s="17">
        <v>1.3</v>
      </c>
      <c r="K133" s="17">
        <v>0</v>
      </c>
      <c r="L133" s="17">
        <v>34.5</v>
      </c>
      <c r="M133" s="19">
        <v>13.4</v>
      </c>
      <c r="N133" s="19">
        <v>15.9</v>
      </c>
      <c r="O133" s="19">
        <v>3.46</v>
      </c>
      <c r="P133" s="22" t="s">
        <v>100</v>
      </c>
      <c r="Q133" s="17">
        <v>120</v>
      </c>
      <c r="R133" s="17">
        <v>0</v>
      </c>
      <c r="S133" s="17">
        <v>0</v>
      </c>
      <c r="T133" s="17">
        <v>1.3</v>
      </c>
      <c r="U133" s="17">
        <v>0.1</v>
      </c>
      <c r="V133" s="17">
        <v>0</v>
      </c>
      <c r="W133" s="17">
        <v>0.1</v>
      </c>
      <c r="X133" s="17">
        <v>0.1</v>
      </c>
      <c r="Y133" s="17">
        <v>1.2</v>
      </c>
      <c r="Z133" s="17">
        <v>0</v>
      </c>
      <c r="AA133" s="17">
        <v>0.6</v>
      </c>
      <c r="AB133" s="17">
        <v>1</v>
      </c>
      <c r="AC133" s="17">
        <v>5</v>
      </c>
      <c r="AD133" s="17">
        <v>680</v>
      </c>
      <c r="AE133" s="17">
        <v>38</v>
      </c>
      <c r="AF133" s="17">
        <v>6</v>
      </c>
      <c r="AG133" s="17">
        <v>22</v>
      </c>
      <c r="AH133" s="17">
        <v>8</v>
      </c>
      <c r="AI133" s="17">
        <v>6.4</v>
      </c>
      <c r="AJ133" s="17">
        <v>1.3</v>
      </c>
      <c r="AK133" s="17">
        <v>0</v>
      </c>
      <c r="AL133" s="17">
        <v>15.5</v>
      </c>
      <c r="AM133" s="27">
        <v>0</v>
      </c>
    </row>
    <row r="134" spans="1:39" x14ac:dyDescent="0.25">
      <c r="A134" s="10">
        <v>133</v>
      </c>
      <c r="B134" s="9" t="s">
        <v>158</v>
      </c>
      <c r="C134" s="9" t="s">
        <v>233</v>
      </c>
      <c r="D134" s="10">
        <v>3</v>
      </c>
      <c r="E134" s="11">
        <v>359</v>
      </c>
      <c r="F134" s="17">
        <v>45.8</v>
      </c>
      <c r="G134" s="17">
        <v>1.9</v>
      </c>
      <c r="H134" s="17">
        <v>15.5</v>
      </c>
      <c r="I134" s="17">
        <v>6.8</v>
      </c>
      <c r="J134" s="17">
        <v>0.7</v>
      </c>
      <c r="K134" s="22" t="s">
        <v>100</v>
      </c>
      <c r="L134" s="17">
        <v>30</v>
      </c>
      <c r="M134" s="19">
        <v>8.81</v>
      </c>
      <c r="N134" s="19">
        <v>12.72</v>
      </c>
      <c r="O134" s="19">
        <v>7.08</v>
      </c>
      <c r="P134" s="19">
        <v>0</v>
      </c>
      <c r="Q134" s="17">
        <v>66</v>
      </c>
      <c r="R134" s="27">
        <v>0</v>
      </c>
      <c r="S134" s="27">
        <v>0</v>
      </c>
      <c r="T134" s="27">
        <v>1.9</v>
      </c>
      <c r="U134" s="27">
        <v>0.5</v>
      </c>
      <c r="V134" s="27">
        <v>7</v>
      </c>
      <c r="W134" s="27">
        <v>0</v>
      </c>
      <c r="X134" s="27">
        <v>0.2</v>
      </c>
      <c r="Y134" s="27">
        <v>0.9</v>
      </c>
      <c r="Z134" s="27">
        <v>0.4</v>
      </c>
      <c r="AA134" s="22" t="s">
        <v>100</v>
      </c>
      <c r="AB134" s="27">
        <v>2.2000000000000002</v>
      </c>
      <c r="AC134" s="27">
        <v>4.0999999999999996</v>
      </c>
      <c r="AD134" s="17">
        <v>748</v>
      </c>
      <c r="AE134" s="27">
        <v>64.2</v>
      </c>
      <c r="AF134" s="27">
        <v>33.1</v>
      </c>
      <c r="AG134" s="27">
        <v>116</v>
      </c>
      <c r="AH134" s="27">
        <v>18.600000000000001</v>
      </c>
      <c r="AI134" s="27">
        <v>3.1</v>
      </c>
      <c r="AJ134" s="27">
        <v>2</v>
      </c>
      <c r="AK134" s="27">
        <v>0.3</v>
      </c>
      <c r="AL134" s="27">
        <v>0.2</v>
      </c>
      <c r="AM134" s="27">
        <v>0</v>
      </c>
    </row>
    <row r="135" spans="1:39" x14ac:dyDescent="0.25">
      <c r="A135" s="10">
        <v>134</v>
      </c>
      <c r="B135" s="9" t="s">
        <v>158</v>
      </c>
      <c r="C135" s="9" t="s">
        <v>234</v>
      </c>
      <c r="D135" s="10">
        <v>2</v>
      </c>
      <c r="E135" s="11">
        <v>205</v>
      </c>
      <c r="F135" s="17">
        <v>66</v>
      </c>
      <c r="G135" s="17">
        <v>2.6</v>
      </c>
      <c r="H135" s="17">
        <v>15.8</v>
      </c>
      <c r="I135" s="17">
        <v>0</v>
      </c>
      <c r="J135" s="27">
        <v>0</v>
      </c>
      <c r="K135" s="17">
        <v>0</v>
      </c>
      <c r="L135" s="17">
        <v>15.7</v>
      </c>
      <c r="M135" s="28">
        <v>4.9000000000000004</v>
      </c>
      <c r="N135" s="28">
        <v>8.07</v>
      </c>
      <c r="O135" s="28">
        <v>1.63</v>
      </c>
      <c r="P135" s="22" t="s">
        <v>100</v>
      </c>
      <c r="Q135" s="27">
        <v>69</v>
      </c>
      <c r="R135" s="27">
        <v>0</v>
      </c>
      <c r="S135" s="27">
        <v>0</v>
      </c>
      <c r="T135" s="27">
        <v>1.2</v>
      </c>
      <c r="U135" s="27">
        <v>0.3</v>
      </c>
      <c r="V135" s="27">
        <v>4.4000000000000004</v>
      </c>
      <c r="W135" s="17">
        <v>0.1</v>
      </c>
      <c r="X135" s="17">
        <v>0.2</v>
      </c>
      <c r="Y135" s="27">
        <v>0.6</v>
      </c>
      <c r="Z135" s="27">
        <v>0.2</v>
      </c>
      <c r="AA135" s="22" t="s">
        <v>100</v>
      </c>
      <c r="AB135" s="27">
        <v>1.4</v>
      </c>
      <c r="AC135" s="27">
        <v>2.6</v>
      </c>
      <c r="AD135" s="27">
        <v>1223</v>
      </c>
      <c r="AE135" s="27">
        <v>40.299999999999997</v>
      </c>
      <c r="AF135" s="27">
        <v>20.8</v>
      </c>
      <c r="AG135" s="17">
        <v>106</v>
      </c>
      <c r="AH135" s="27">
        <v>11.7</v>
      </c>
      <c r="AI135" s="17">
        <v>1.5</v>
      </c>
      <c r="AJ135" s="27">
        <v>1.3</v>
      </c>
      <c r="AK135" s="27">
        <v>0.2</v>
      </c>
      <c r="AL135" s="27">
        <v>0.1</v>
      </c>
      <c r="AM135" s="27">
        <v>0</v>
      </c>
    </row>
    <row r="136" spans="1:39" x14ac:dyDescent="0.25">
      <c r="A136" s="10">
        <v>135</v>
      </c>
      <c r="B136" s="9" t="s">
        <v>158</v>
      </c>
      <c r="C136" s="9" t="s">
        <v>235</v>
      </c>
      <c r="D136" s="10">
        <v>4</v>
      </c>
      <c r="E136" s="11">
        <v>426</v>
      </c>
      <c r="F136" s="27">
        <v>39.5</v>
      </c>
      <c r="G136" s="27">
        <v>4.7</v>
      </c>
      <c r="H136" s="17">
        <v>14.5</v>
      </c>
      <c r="I136" s="17">
        <v>0.7</v>
      </c>
      <c r="J136" s="17">
        <v>0.5</v>
      </c>
      <c r="K136" s="27">
        <v>0</v>
      </c>
      <c r="L136" s="17">
        <v>40.6</v>
      </c>
      <c r="M136" s="19">
        <v>14.1</v>
      </c>
      <c r="N136" s="19">
        <v>17.899999999999999</v>
      </c>
      <c r="O136" s="19">
        <v>8.41</v>
      </c>
      <c r="P136" s="19">
        <v>0.1</v>
      </c>
      <c r="Q136" s="17">
        <v>93.7</v>
      </c>
      <c r="R136" s="27">
        <v>0</v>
      </c>
      <c r="S136" s="27">
        <v>0</v>
      </c>
      <c r="T136" s="27">
        <v>1</v>
      </c>
      <c r="U136" s="27">
        <v>0.2</v>
      </c>
      <c r="V136" s="27">
        <v>3.2</v>
      </c>
      <c r="W136" s="27">
        <v>0.4</v>
      </c>
      <c r="X136" s="27">
        <v>0.4</v>
      </c>
      <c r="Y136" s="27">
        <v>6.1</v>
      </c>
      <c r="Z136" s="27">
        <v>0.5</v>
      </c>
      <c r="AA136" s="27">
        <v>1.2</v>
      </c>
      <c r="AB136" s="27">
        <v>1.5</v>
      </c>
      <c r="AC136" s="27">
        <v>3</v>
      </c>
      <c r="AD136" s="17">
        <v>2028</v>
      </c>
      <c r="AE136" s="27">
        <v>316</v>
      </c>
      <c r="AF136" s="27">
        <v>15</v>
      </c>
      <c r="AG136" s="27">
        <v>191</v>
      </c>
      <c r="AH136" s="27">
        <v>19</v>
      </c>
      <c r="AI136" s="27">
        <v>1.6</v>
      </c>
      <c r="AJ136" s="27">
        <v>2.9</v>
      </c>
      <c r="AK136" s="27">
        <v>0.4</v>
      </c>
      <c r="AL136" s="27">
        <v>31.3</v>
      </c>
      <c r="AM136" s="27">
        <v>0</v>
      </c>
    </row>
    <row r="137" spans="1:39" x14ac:dyDescent="0.25">
      <c r="A137" s="10">
        <v>136</v>
      </c>
      <c r="B137" s="9" t="s">
        <v>158</v>
      </c>
      <c r="C137" s="9" t="s">
        <v>236</v>
      </c>
      <c r="D137" s="10">
        <v>1</v>
      </c>
      <c r="E137" s="11">
        <v>261</v>
      </c>
      <c r="F137" s="17">
        <v>60</v>
      </c>
      <c r="G137" s="17">
        <v>3.3</v>
      </c>
      <c r="H137" s="17">
        <v>12.6</v>
      </c>
      <c r="I137" s="17">
        <v>1.9</v>
      </c>
      <c r="J137" s="17">
        <v>1.5</v>
      </c>
      <c r="K137" s="17">
        <v>0</v>
      </c>
      <c r="L137" s="17">
        <v>22.2</v>
      </c>
      <c r="M137" s="19">
        <v>9.8699999999999992</v>
      </c>
      <c r="N137" s="19">
        <v>10.65</v>
      </c>
      <c r="O137" s="19">
        <v>1.04</v>
      </c>
      <c r="P137" s="28">
        <v>0.5</v>
      </c>
      <c r="Q137" s="17">
        <v>71</v>
      </c>
      <c r="R137" s="17">
        <v>0</v>
      </c>
      <c r="S137" s="17">
        <v>0</v>
      </c>
      <c r="T137" s="17">
        <v>1.2</v>
      </c>
      <c r="U137" s="17">
        <v>0.2</v>
      </c>
      <c r="V137" s="17">
        <v>1.3</v>
      </c>
      <c r="W137" s="17">
        <v>0.1</v>
      </c>
      <c r="X137" s="17">
        <v>0.2</v>
      </c>
      <c r="Y137" s="17">
        <v>3.2</v>
      </c>
      <c r="Z137" s="17">
        <v>0.2</v>
      </c>
      <c r="AA137" s="17">
        <v>1</v>
      </c>
      <c r="AB137" s="17">
        <v>3.1</v>
      </c>
      <c r="AC137" s="17">
        <v>2</v>
      </c>
      <c r="AD137" s="17">
        <v>1140</v>
      </c>
      <c r="AE137" s="17">
        <v>188</v>
      </c>
      <c r="AF137" s="17">
        <v>6</v>
      </c>
      <c r="AG137" s="17">
        <v>205</v>
      </c>
      <c r="AH137" s="17">
        <v>13</v>
      </c>
      <c r="AI137" s="17">
        <v>2.2000000000000002</v>
      </c>
      <c r="AJ137" s="17">
        <v>1.8</v>
      </c>
      <c r="AK137" s="17">
        <v>0.2</v>
      </c>
      <c r="AL137" s="17">
        <v>14.6</v>
      </c>
      <c r="AM137" s="27">
        <v>0</v>
      </c>
    </row>
    <row r="138" spans="1:39" x14ac:dyDescent="0.25">
      <c r="A138" s="10">
        <v>137</v>
      </c>
      <c r="B138" s="9" t="s">
        <v>158</v>
      </c>
      <c r="C138" s="9" t="s">
        <v>237</v>
      </c>
      <c r="D138" s="10">
        <v>1</v>
      </c>
      <c r="E138" s="11">
        <v>151</v>
      </c>
      <c r="F138" s="17">
        <v>74.900000000000006</v>
      </c>
      <c r="G138" s="17">
        <v>1.5</v>
      </c>
      <c r="H138" s="17">
        <v>11.7</v>
      </c>
      <c r="I138" s="17">
        <v>1.5</v>
      </c>
      <c r="J138" s="17">
        <v>0</v>
      </c>
      <c r="K138" s="17">
        <v>0</v>
      </c>
      <c r="L138" s="17">
        <v>10.5</v>
      </c>
      <c r="M138" s="19">
        <v>2.39</v>
      </c>
      <c r="N138" s="19">
        <v>1.88</v>
      </c>
      <c r="O138" s="19">
        <v>1.63</v>
      </c>
      <c r="P138" s="28">
        <v>0.51</v>
      </c>
      <c r="Q138" s="17">
        <v>3100</v>
      </c>
      <c r="R138" s="17">
        <v>6</v>
      </c>
      <c r="S138" s="17">
        <v>10.5</v>
      </c>
      <c r="T138" s="17">
        <v>0</v>
      </c>
      <c r="U138" s="17">
        <v>1.7</v>
      </c>
      <c r="V138" s="17">
        <v>0.1</v>
      </c>
      <c r="W138" s="17">
        <v>0.1</v>
      </c>
      <c r="X138" s="17">
        <v>0.2</v>
      </c>
      <c r="Y138" s="17">
        <v>3.6</v>
      </c>
      <c r="Z138" s="17">
        <v>0.1</v>
      </c>
      <c r="AA138" s="17">
        <v>1.2</v>
      </c>
      <c r="AB138" s="17">
        <v>10.1</v>
      </c>
      <c r="AC138" s="17">
        <v>5</v>
      </c>
      <c r="AD138" s="17">
        <v>108</v>
      </c>
      <c r="AE138" s="17">
        <v>244</v>
      </c>
      <c r="AF138" s="17">
        <v>9</v>
      </c>
      <c r="AG138" s="17">
        <v>335</v>
      </c>
      <c r="AH138" s="17">
        <v>12</v>
      </c>
      <c r="AI138" s="17">
        <v>2.2999999999999998</v>
      </c>
      <c r="AJ138" s="17">
        <v>1.1000000000000001</v>
      </c>
      <c r="AK138" s="17">
        <v>0.2</v>
      </c>
      <c r="AL138" s="17">
        <v>21.8</v>
      </c>
      <c r="AM138" s="27">
        <v>0</v>
      </c>
    </row>
    <row r="139" spans="1:39" x14ac:dyDescent="0.25">
      <c r="A139" s="10">
        <v>138</v>
      </c>
      <c r="B139" s="9" t="s">
        <v>158</v>
      </c>
      <c r="C139" s="9" t="s">
        <v>238</v>
      </c>
      <c r="D139" s="10">
        <v>1</v>
      </c>
      <c r="E139" s="11">
        <v>517</v>
      </c>
      <c r="F139" s="17">
        <v>21.6</v>
      </c>
      <c r="G139" s="17">
        <v>4.3</v>
      </c>
      <c r="H139" s="17">
        <v>29.1</v>
      </c>
      <c r="I139" s="17">
        <v>0.8</v>
      </c>
      <c r="J139" s="17">
        <v>0.8</v>
      </c>
      <c r="K139" s="17">
        <v>0</v>
      </c>
      <c r="L139" s="17">
        <v>44.2</v>
      </c>
      <c r="M139" s="19">
        <v>16</v>
      </c>
      <c r="N139" s="19">
        <v>21.9</v>
      </c>
      <c r="O139" s="19">
        <v>4.3</v>
      </c>
      <c r="P139" s="28">
        <v>0</v>
      </c>
      <c r="Q139" s="17">
        <v>102</v>
      </c>
      <c r="R139" s="17">
        <v>0</v>
      </c>
      <c r="S139" s="17">
        <v>0</v>
      </c>
      <c r="T139" s="22" t="s">
        <v>100</v>
      </c>
      <c r="U139" s="27">
        <v>0.3</v>
      </c>
      <c r="V139" s="17">
        <v>1.6</v>
      </c>
      <c r="W139" s="17">
        <v>0.6</v>
      </c>
      <c r="X139" s="17">
        <v>0.3</v>
      </c>
      <c r="Y139" s="17">
        <v>4.9000000000000004</v>
      </c>
      <c r="Z139" s="17">
        <v>0.5</v>
      </c>
      <c r="AA139" s="17">
        <v>1.1000000000000001</v>
      </c>
      <c r="AB139" s="17">
        <v>1.9</v>
      </c>
      <c r="AC139" s="17">
        <v>2</v>
      </c>
      <c r="AD139" s="17">
        <v>1420</v>
      </c>
      <c r="AE139" s="17">
        <v>385</v>
      </c>
      <c r="AF139" s="17">
        <v>14</v>
      </c>
      <c r="AG139" s="17">
        <v>142</v>
      </c>
      <c r="AH139" s="17">
        <v>17</v>
      </c>
      <c r="AI139" s="17">
        <v>1.9</v>
      </c>
      <c r="AJ139" s="17">
        <v>3.2</v>
      </c>
      <c r="AK139" s="17">
        <v>0.1</v>
      </c>
      <c r="AL139" s="17">
        <v>26.1</v>
      </c>
      <c r="AM139" s="27">
        <v>0</v>
      </c>
    </row>
    <row r="140" spans="1:39" x14ac:dyDescent="0.25">
      <c r="A140" s="10">
        <v>139</v>
      </c>
      <c r="B140" s="9" t="s">
        <v>158</v>
      </c>
      <c r="C140" s="9" t="s">
        <v>239</v>
      </c>
      <c r="D140" s="10">
        <v>2</v>
      </c>
      <c r="E140" s="11">
        <v>299</v>
      </c>
      <c r="F140" s="17">
        <v>52.6</v>
      </c>
      <c r="G140" s="17">
        <v>3.4</v>
      </c>
      <c r="H140" s="17">
        <v>15.9</v>
      </c>
      <c r="I140" s="17">
        <v>3.5</v>
      </c>
      <c r="J140" s="22" t="s">
        <v>100</v>
      </c>
      <c r="K140" s="17">
        <v>0</v>
      </c>
      <c r="L140" s="17">
        <v>24.6</v>
      </c>
      <c r="M140" s="19">
        <v>10.41</v>
      </c>
      <c r="N140" s="19">
        <v>12.2</v>
      </c>
      <c r="O140" s="19">
        <v>1.99</v>
      </c>
      <c r="P140" s="22" t="s">
        <v>100</v>
      </c>
      <c r="Q140" s="22" t="s">
        <v>100</v>
      </c>
      <c r="R140" s="22" t="s">
        <v>100</v>
      </c>
      <c r="S140" s="22" t="s">
        <v>100</v>
      </c>
      <c r="T140" s="22" t="s">
        <v>100</v>
      </c>
      <c r="U140" s="22" t="s">
        <v>100</v>
      </c>
      <c r="V140" s="22" t="s">
        <v>100</v>
      </c>
      <c r="W140" s="17">
        <v>0.2</v>
      </c>
      <c r="X140" s="17">
        <v>0.2</v>
      </c>
      <c r="Y140" s="22" t="s">
        <v>100</v>
      </c>
      <c r="Z140" s="22" t="s">
        <v>100</v>
      </c>
      <c r="AA140" s="22" t="s">
        <v>100</v>
      </c>
      <c r="AB140" s="22" t="s">
        <v>100</v>
      </c>
      <c r="AC140" s="22" t="s">
        <v>100</v>
      </c>
      <c r="AD140" s="17">
        <v>1215</v>
      </c>
      <c r="AE140" s="17">
        <v>270</v>
      </c>
      <c r="AF140" s="22" t="s">
        <v>100</v>
      </c>
      <c r="AG140" s="17">
        <v>267</v>
      </c>
      <c r="AH140" s="22" t="s">
        <v>100</v>
      </c>
      <c r="AI140" s="17">
        <v>3.3</v>
      </c>
      <c r="AJ140" s="22" t="s">
        <v>100</v>
      </c>
      <c r="AK140" s="22" t="s">
        <v>100</v>
      </c>
      <c r="AL140" s="22" t="s">
        <v>100</v>
      </c>
      <c r="AM140" s="27">
        <v>0</v>
      </c>
    </row>
    <row r="141" spans="1:39" x14ac:dyDescent="0.25">
      <c r="A141" s="10">
        <v>140</v>
      </c>
      <c r="B141" s="9" t="s">
        <v>158</v>
      </c>
      <c r="C141" s="9" t="s">
        <v>240</v>
      </c>
      <c r="D141" s="10">
        <v>4</v>
      </c>
      <c r="E141" s="11">
        <v>250</v>
      </c>
      <c r="F141" s="27">
        <v>60.7</v>
      </c>
      <c r="G141" s="27">
        <v>3.5</v>
      </c>
      <c r="H141" s="17">
        <v>12</v>
      </c>
      <c r="I141" s="17">
        <v>2.5</v>
      </c>
      <c r="J141" s="17">
        <v>0.5</v>
      </c>
      <c r="K141" s="27">
        <v>0</v>
      </c>
      <c r="L141" s="17">
        <v>21.3</v>
      </c>
      <c r="M141" s="19">
        <v>6.91</v>
      </c>
      <c r="N141" s="19">
        <v>8.76</v>
      </c>
      <c r="O141" s="19">
        <v>5.63</v>
      </c>
      <c r="P141" s="19">
        <v>0.4</v>
      </c>
      <c r="Q141" s="17">
        <v>53.4</v>
      </c>
      <c r="R141" s="27">
        <v>0</v>
      </c>
      <c r="S141" s="27">
        <v>0</v>
      </c>
      <c r="T141" s="22" t="s">
        <v>100</v>
      </c>
      <c r="U141" s="27">
        <v>0.2</v>
      </c>
      <c r="V141" s="22" t="s">
        <v>100</v>
      </c>
      <c r="W141" s="27">
        <v>0.1</v>
      </c>
      <c r="X141" s="27">
        <v>0.1</v>
      </c>
      <c r="Y141" s="27">
        <v>2.7</v>
      </c>
      <c r="Z141" s="27">
        <v>0.2</v>
      </c>
      <c r="AA141" s="27">
        <v>0.3</v>
      </c>
      <c r="AB141" s="27">
        <v>1.6</v>
      </c>
      <c r="AC141" s="27">
        <v>6</v>
      </c>
      <c r="AD141" s="17">
        <v>793</v>
      </c>
      <c r="AE141" s="27">
        <v>152</v>
      </c>
      <c r="AF141" s="27">
        <v>99</v>
      </c>
      <c r="AG141" s="27">
        <v>206</v>
      </c>
      <c r="AH141" s="27">
        <v>15</v>
      </c>
      <c r="AI141" s="27">
        <v>1.1000000000000001</v>
      </c>
      <c r="AJ141" s="27">
        <v>1.2</v>
      </c>
      <c r="AK141" s="27">
        <v>0.1</v>
      </c>
      <c r="AL141" s="27">
        <v>12.5</v>
      </c>
      <c r="AM141" s="27">
        <v>0</v>
      </c>
    </row>
    <row r="142" spans="1:39" x14ac:dyDescent="0.25">
      <c r="A142" s="10">
        <v>141</v>
      </c>
      <c r="B142" s="9" t="s">
        <v>158</v>
      </c>
      <c r="C142" s="9" t="s">
        <v>241</v>
      </c>
      <c r="D142" s="10">
        <v>1</v>
      </c>
      <c r="E142" s="11">
        <v>235</v>
      </c>
      <c r="F142" s="17">
        <v>63.1</v>
      </c>
      <c r="G142" s="17">
        <v>1.8</v>
      </c>
      <c r="H142" s="17">
        <v>15.4</v>
      </c>
      <c r="I142" s="17">
        <v>1.6</v>
      </c>
      <c r="J142" s="17">
        <v>0</v>
      </c>
      <c r="K142" s="17">
        <v>0</v>
      </c>
      <c r="L142" s="17">
        <v>18.100000000000001</v>
      </c>
      <c r="M142" s="19">
        <v>3.84</v>
      </c>
      <c r="N142" s="19">
        <v>5.16</v>
      </c>
      <c r="O142" s="19">
        <v>4.66</v>
      </c>
      <c r="P142" s="28">
        <v>0.83</v>
      </c>
      <c r="Q142" s="17">
        <v>160</v>
      </c>
      <c r="R142" s="17">
        <v>0</v>
      </c>
      <c r="S142" s="17">
        <v>0.5</v>
      </c>
      <c r="T142" s="17">
        <v>0.4</v>
      </c>
      <c r="U142" s="17">
        <v>0.2</v>
      </c>
      <c r="V142" s="17">
        <v>1.6</v>
      </c>
      <c r="W142" s="17">
        <v>0.1</v>
      </c>
      <c r="X142" s="17">
        <v>0.2</v>
      </c>
      <c r="Y142" s="17">
        <v>3.7</v>
      </c>
      <c r="Z142" s="17">
        <v>0.2</v>
      </c>
      <c r="AA142" s="27">
        <v>0.6</v>
      </c>
      <c r="AB142" s="17">
        <v>0.8</v>
      </c>
      <c r="AC142" s="17">
        <v>4</v>
      </c>
      <c r="AD142" s="17">
        <v>639</v>
      </c>
      <c r="AE142" s="17">
        <v>229</v>
      </c>
      <c r="AF142" s="17">
        <v>32</v>
      </c>
      <c r="AG142" s="17">
        <v>155</v>
      </c>
      <c r="AH142" s="17">
        <v>16</v>
      </c>
      <c r="AI142" s="17">
        <v>1.1000000000000001</v>
      </c>
      <c r="AJ142" s="17">
        <v>3</v>
      </c>
      <c r="AK142" s="17">
        <v>0.1</v>
      </c>
      <c r="AL142" s="17">
        <v>0</v>
      </c>
      <c r="AM142" s="27">
        <v>0</v>
      </c>
    </row>
    <row r="143" spans="1:39" x14ac:dyDescent="0.25">
      <c r="A143" s="10">
        <v>142</v>
      </c>
      <c r="B143" s="9" t="s">
        <v>158</v>
      </c>
      <c r="C143" s="9" t="s">
        <v>242</v>
      </c>
      <c r="D143" s="10">
        <v>4</v>
      </c>
      <c r="E143" s="11">
        <v>226</v>
      </c>
      <c r="F143" s="27">
        <v>61.4</v>
      </c>
      <c r="G143" s="27">
        <v>3.1</v>
      </c>
      <c r="H143" s="17">
        <v>15.3</v>
      </c>
      <c r="I143" s="17">
        <v>3.5</v>
      </c>
      <c r="J143" s="17">
        <v>1</v>
      </c>
      <c r="K143" s="27">
        <v>0</v>
      </c>
      <c r="L143" s="17">
        <v>16.7</v>
      </c>
      <c r="M143" s="19">
        <v>5.6</v>
      </c>
      <c r="N143" s="19">
        <v>6.8</v>
      </c>
      <c r="O143" s="19">
        <v>3.5</v>
      </c>
      <c r="P143" s="19">
        <v>0.1</v>
      </c>
      <c r="Q143" s="17">
        <v>96</v>
      </c>
      <c r="R143" s="27">
        <v>0</v>
      </c>
      <c r="S143" s="27">
        <v>0</v>
      </c>
      <c r="T143" s="27">
        <v>0.5</v>
      </c>
      <c r="U143" s="27">
        <v>0.2</v>
      </c>
      <c r="V143" s="27">
        <v>0</v>
      </c>
      <c r="W143" s="27">
        <v>0.1</v>
      </c>
      <c r="X143" s="27">
        <v>0.3</v>
      </c>
      <c r="Y143" s="27">
        <v>4.7</v>
      </c>
      <c r="Z143" s="27">
        <v>0.3</v>
      </c>
      <c r="AA143" s="27">
        <v>1.1000000000000001</v>
      </c>
      <c r="AB143" s="27">
        <v>0.5</v>
      </c>
      <c r="AC143" s="27">
        <v>9</v>
      </c>
      <c r="AD143" s="17">
        <v>713</v>
      </c>
      <c r="AE143" s="27">
        <v>202</v>
      </c>
      <c r="AF143" s="27">
        <v>74</v>
      </c>
      <c r="AG143" s="27">
        <v>162</v>
      </c>
      <c r="AH143" s="27">
        <v>20</v>
      </c>
      <c r="AI143" s="27">
        <v>1.2</v>
      </c>
      <c r="AJ143" s="27">
        <v>1.1000000000000001</v>
      </c>
      <c r="AK143" s="27">
        <v>0.1</v>
      </c>
      <c r="AL143" s="27">
        <v>23</v>
      </c>
      <c r="AM143" s="27">
        <v>0</v>
      </c>
    </row>
    <row r="144" spans="1:39" x14ac:dyDescent="0.25">
      <c r="A144" s="10">
        <v>143</v>
      </c>
      <c r="B144" s="9" t="s">
        <v>243</v>
      </c>
      <c r="C144" s="9" t="s">
        <v>244</v>
      </c>
      <c r="D144" s="10">
        <v>1</v>
      </c>
      <c r="E144" s="11">
        <v>74</v>
      </c>
      <c r="F144" s="17">
        <v>81.8</v>
      </c>
      <c r="G144" s="27">
        <v>1.8</v>
      </c>
      <c r="H144" s="17">
        <v>12.8</v>
      </c>
      <c r="I144" s="17">
        <v>2.6</v>
      </c>
      <c r="J144" s="27">
        <v>0</v>
      </c>
      <c r="K144" s="17">
        <v>0</v>
      </c>
      <c r="L144" s="17">
        <v>1</v>
      </c>
      <c r="M144" s="19">
        <v>0.09</v>
      </c>
      <c r="N144" s="19">
        <v>0.08</v>
      </c>
      <c r="O144" s="19">
        <v>0.28000000000000003</v>
      </c>
      <c r="P144" s="28">
        <v>0.02</v>
      </c>
      <c r="Q144" s="17">
        <v>34</v>
      </c>
      <c r="R144" s="17">
        <v>90</v>
      </c>
      <c r="S144" s="17">
        <v>13.1</v>
      </c>
      <c r="T144" s="27">
        <v>0</v>
      </c>
      <c r="U144" s="17">
        <v>0</v>
      </c>
      <c r="V144" s="27">
        <v>0.2</v>
      </c>
      <c r="W144" s="17">
        <v>0.1</v>
      </c>
      <c r="X144" s="17">
        <v>0.2</v>
      </c>
      <c r="Y144" s="17">
        <v>1.8</v>
      </c>
      <c r="Z144" s="17">
        <v>0.1</v>
      </c>
      <c r="AA144" s="17">
        <v>0.4</v>
      </c>
      <c r="AB144" s="17">
        <v>49.4</v>
      </c>
      <c r="AC144" s="17">
        <v>16</v>
      </c>
      <c r="AD144" s="17">
        <v>56</v>
      </c>
      <c r="AE144" s="17">
        <v>313</v>
      </c>
      <c r="AF144" s="17">
        <v>46</v>
      </c>
      <c r="AG144" s="17">
        <v>168</v>
      </c>
      <c r="AH144" s="17">
        <v>9</v>
      </c>
      <c r="AI144" s="17">
        <v>14</v>
      </c>
      <c r="AJ144" s="17">
        <v>1.4</v>
      </c>
      <c r="AK144" s="17">
        <v>0.3</v>
      </c>
      <c r="AL144" s="17">
        <v>44</v>
      </c>
      <c r="AM144" s="27">
        <v>0</v>
      </c>
    </row>
    <row r="145" spans="1:39" x14ac:dyDescent="0.25">
      <c r="A145" s="10">
        <v>144</v>
      </c>
      <c r="B145" s="9" t="s">
        <v>243</v>
      </c>
      <c r="C145" s="9" t="s">
        <v>245</v>
      </c>
      <c r="D145" s="10">
        <v>2</v>
      </c>
      <c r="E145" s="11">
        <v>121</v>
      </c>
      <c r="F145" s="17">
        <v>71.900000000000006</v>
      </c>
      <c r="G145" s="17">
        <v>2</v>
      </c>
      <c r="H145" s="17">
        <v>20</v>
      </c>
      <c r="I145" s="17">
        <v>2.8</v>
      </c>
      <c r="J145" s="27">
        <v>0</v>
      </c>
      <c r="K145" s="17">
        <v>0</v>
      </c>
      <c r="L145" s="17">
        <v>3.3</v>
      </c>
      <c r="M145" s="19">
        <v>1.46</v>
      </c>
      <c r="N145" s="19">
        <v>0.82</v>
      </c>
      <c r="O145" s="19">
        <v>1.01</v>
      </c>
      <c r="P145" s="28">
        <v>0.05</v>
      </c>
      <c r="Q145" s="17">
        <v>34</v>
      </c>
      <c r="R145" s="27">
        <v>120.5</v>
      </c>
      <c r="S145" s="27">
        <v>0</v>
      </c>
      <c r="T145" s="27">
        <v>0.1</v>
      </c>
      <c r="U145" s="27">
        <v>0.9</v>
      </c>
      <c r="V145" s="27">
        <v>0.2</v>
      </c>
      <c r="W145" s="27">
        <v>0</v>
      </c>
      <c r="X145" s="17">
        <v>0.2</v>
      </c>
      <c r="Y145" s="17">
        <v>0.6</v>
      </c>
      <c r="Z145" s="27">
        <v>0</v>
      </c>
      <c r="AA145" s="27">
        <v>0.2</v>
      </c>
      <c r="AB145" s="27">
        <v>15.1</v>
      </c>
      <c r="AC145" s="27">
        <v>5.7</v>
      </c>
      <c r="AD145" s="17">
        <v>395</v>
      </c>
      <c r="AE145" s="17">
        <v>220</v>
      </c>
      <c r="AF145" s="17">
        <v>62</v>
      </c>
      <c r="AG145" s="17">
        <v>458</v>
      </c>
      <c r="AH145" s="27">
        <v>25.9</v>
      </c>
      <c r="AI145" s="17">
        <v>5.2</v>
      </c>
      <c r="AJ145" s="27">
        <v>0.7</v>
      </c>
      <c r="AK145" s="27">
        <v>0.1</v>
      </c>
      <c r="AL145" s="27">
        <v>40.799999999999997</v>
      </c>
      <c r="AM145" s="27">
        <v>0</v>
      </c>
    </row>
    <row r="146" spans="1:39" x14ac:dyDescent="0.25">
      <c r="A146" s="10">
        <v>145</v>
      </c>
      <c r="B146" s="9" t="s">
        <v>243</v>
      </c>
      <c r="C146" s="9" t="s">
        <v>246</v>
      </c>
      <c r="D146" s="10">
        <v>2</v>
      </c>
      <c r="E146" s="11">
        <v>106</v>
      </c>
      <c r="F146" s="17">
        <v>73.8</v>
      </c>
      <c r="G146" s="17">
        <v>2.5</v>
      </c>
      <c r="H146" s="17">
        <v>16</v>
      </c>
      <c r="I146" s="17">
        <v>5.5</v>
      </c>
      <c r="J146" s="27">
        <v>0</v>
      </c>
      <c r="K146" s="17">
        <v>0</v>
      </c>
      <c r="L146" s="17">
        <v>2.2000000000000002</v>
      </c>
      <c r="M146" s="28">
        <v>0.17</v>
      </c>
      <c r="N146" s="28">
        <v>0.15</v>
      </c>
      <c r="O146" s="28">
        <v>0.13</v>
      </c>
      <c r="P146" s="22" t="s">
        <v>100</v>
      </c>
      <c r="Q146" s="27">
        <v>65</v>
      </c>
      <c r="R146" s="27">
        <v>20</v>
      </c>
      <c r="S146" s="27">
        <v>3.1</v>
      </c>
      <c r="T146" s="27">
        <v>0</v>
      </c>
      <c r="U146" s="27">
        <v>0.1</v>
      </c>
      <c r="V146" s="27">
        <v>0.1</v>
      </c>
      <c r="W146" s="27">
        <v>0</v>
      </c>
      <c r="X146" s="27">
        <v>0.1</v>
      </c>
      <c r="Y146" s="27">
        <v>0.8</v>
      </c>
      <c r="Z146" s="27">
        <v>0.3</v>
      </c>
      <c r="AA146" s="27">
        <v>0.2</v>
      </c>
      <c r="AB146" s="27">
        <v>7</v>
      </c>
      <c r="AC146" s="27">
        <v>4.5999999999999996</v>
      </c>
      <c r="AD146" s="27">
        <v>158.69999999999999</v>
      </c>
      <c r="AE146" s="27">
        <v>267.39999999999998</v>
      </c>
      <c r="AF146" s="27">
        <v>43.9</v>
      </c>
      <c r="AG146" s="27">
        <v>108.7</v>
      </c>
      <c r="AH146" s="27">
        <v>66.3</v>
      </c>
      <c r="AI146" s="27">
        <v>3.9</v>
      </c>
      <c r="AJ146" s="27">
        <v>1.3</v>
      </c>
      <c r="AK146" s="27">
        <v>0.8</v>
      </c>
      <c r="AL146" s="27">
        <v>34.5</v>
      </c>
      <c r="AM146" s="27">
        <v>0</v>
      </c>
    </row>
    <row r="147" spans="1:39" x14ac:dyDescent="0.25">
      <c r="A147" s="10">
        <v>146</v>
      </c>
      <c r="B147" s="9" t="s">
        <v>243</v>
      </c>
      <c r="C147" s="9" t="s">
        <v>247</v>
      </c>
      <c r="D147" s="10">
        <v>2</v>
      </c>
      <c r="E147" s="11">
        <v>74</v>
      </c>
      <c r="F147" s="17">
        <v>81.099999999999994</v>
      </c>
      <c r="G147" s="17">
        <v>1.4</v>
      </c>
      <c r="H147" s="17">
        <v>14.2</v>
      </c>
      <c r="I147" s="17">
        <v>2.5</v>
      </c>
      <c r="J147" s="27">
        <v>0</v>
      </c>
      <c r="K147" s="17">
        <v>0</v>
      </c>
      <c r="L147" s="17">
        <v>0.8</v>
      </c>
      <c r="M147" s="28">
        <v>0.15</v>
      </c>
      <c r="N147" s="28">
        <v>0.18</v>
      </c>
      <c r="O147" s="28">
        <v>0.22</v>
      </c>
      <c r="P147" s="22" t="s">
        <v>100</v>
      </c>
      <c r="Q147" s="27">
        <v>28</v>
      </c>
      <c r="R147" s="27">
        <v>46.7</v>
      </c>
      <c r="S147" s="27">
        <v>7.8</v>
      </c>
      <c r="T147" s="27">
        <v>0</v>
      </c>
      <c r="U147" s="27">
        <v>0.5</v>
      </c>
      <c r="V147" s="27">
        <v>0.1</v>
      </c>
      <c r="W147" s="17">
        <v>0.1</v>
      </c>
      <c r="X147" s="17">
        <v>0.1</v>
      </c>
      <c r="Y147" s="17">
        <v>0.9</v>
      </c>
      <c r="Z147" s="27">
        <v>0</v>
      </c>
      <c r="AA147" s="27">
        <v>0.5</v>
      </c>
      <c r="AB147" s="27">
        <v>11.7</v>
      </c>
      <c r="AC147" s="27">
        <v>40.9</v>
      </c>
      <c r="AD147" s="27">
        <v>278.3</v>
      </c>
      <c r="AE147" s="27">
        <v>311.39999999999998</v>
      </c>
      <c r="AF147" s="17">
        <v>73</v>
      </c>
      <c r="AG147" s="17">
        <v>237</v>
      </c>
      <c r="AH147" s="27">
        <v>33.1</v>
      </c>
      <c r="AI147" s="17">
        <v>1.2</v>
      </c>
      <c r="AJ147" s="27">
        <v>1.6</v>
      </c>
      <c r="AK147" s="27">
        <v>0.1</v>
      </c>
      <c r="AL147" s="27">
        <v>43.6</v>
      </c>
      <c r="AM147" s="27">
        <v>0</v>
      </c>
    </row>
    <row r="148" spans="1:39" x14ac:dyDescent="0.25">
      <c r="A148" s="10">
        <v>147</v>
      </c>
      <c r="B148" s="9" t="s">
        <v>243</v>
      </c>
      <c r="C148" s="9" t="s">
        <v>248</v>
      </c>
      <c r="D148" s="10">
        <v>2</v>
      </c>
      <c r="E148" s="11">
        <v>132</v>
      </c>
      <c r="F148" s="17">
        <v>70.8</v>
      </c>
      <c r="G148" s="17">
        <v>1.6</v>
      </c>
      <c r="H148" s="17">
        <v>21.3</v>
      </c>
      <c r="I148" s="17">
        <v>1.9</v>
      </c>
      <c r="J148" s="22" t="s">
        <v>100</v>
      </c>
      <c r="K148" s="17">
        <v>0</v>
      </c>
      <c r="L148" s="17">
        <v>4.4000000000000004</v>
      </c>
      <c r="M148" s="28">
        <v>0.83</v>
      </c>
      <c r="N148" s="28">
        <v>1</v>
      </c>
      <c r="O148" s="28">
        <v>1.19</v>
      </c>
      <c r="P148" s="22" t="s">
        <v>100</v>
      </c>
      <c r="Q148" s="27">
        <v>56</v>
      </c>
      <c r="R148" s="27">
        <v>68.400000000000006</v>
      </c>
      <c r="S148" s="27">
        <v>10.199999999999999</v>
      </c>
      <c r="T148" s="22" t="s">
        <v>100</v>
      </c>
      <c r="U148" s="22" t="s">
        <v>100</v>
      </c>
      <c r="V148" s="22" t="s">
        <v>100</v>
      </c>
      <c r="W148" s="27">
        <v>0.2</v>
      </c>
      <c r="X148" s="17">
        <v>0.2</v>
      </c>
      <c r="Y148" s="17">
        <v>0.8</v>
      </c>
      <c r="Z148" s="27">
        <v>0.1</v>
      </c>
      <c r="AA148" s="27">
        <v>0.7</v>
      </c>
      <c r="AB148" s="27">
        <v>18</v>
      </c>
      <c r="AC148" s="27">
        <v>57.1</v>
      </c>
      <c r="AD148" s="17">
        <v>315</v>
      </c>
      <c r="AE148" s="17">
        <v>89</v>
      </c>
      <c r="AF148" s="17">
        <v>65</v>
      </c>
      <c r="AG148" s="17">
        <v>251</v>
      </c>
      <c r="AH148" s="27">
        <v>27.8</v>
      </c>
      <c r="AI148" s="17">
        <v>3.3</v>
      </c>
      <c r="AJ148" s="27">
        <v>2</v>
      </c>
      <c r="AK148" s="27">
        <v>0.1</v>
      </c>
      <c r="AL148" s="27">
        <v>67.3</v>
      </c>
      <c r="AM148" s="27">
        <v>0</v>
      </c>
    </row>
    <row r="149" spans="1:39" x14ac:dyDescent="0.25">
      <c r="A149" s="10">
        <v>148</v>
      </c>
      <c r="B149" s="9" t="s">
        <v>243</v>
      </c>
      <c r="C149" s="9" t="s">
        <v>249</v>
      </c>
      <c r="D149" s="10">
        <v>2</v>
      </c>
      <c r="E149" s="11">
        <v>100</v>
      </c>
      <c r="F149" s="17">
        <v>76.8</v>
      </c>
      <c r="G149" s="17">
        <v>2.2000000000000002</v>
      </c>
      <c r="H149" s="17">
        <v>16</v>
      </c>
      <c r="I149" s="17">
        <v>1.9</v>
      </c>
      <c r="J149" s="22" t="s">
        <v>100</v>
      </c>
      <c r="K149" s="17">
        <v>0</v>
      </c>
      <c r="L149" s="17">
        <v>3.1</v>
      </c>
      <c r="M149" s="28">
        <v>0.59</v>
      </c>
      <c r="N149" s="28">
        <v>0.7</v>
      </c>
      <c r="O149" s="28">
        <v>0.84</v>
      </c>
      <c r="P149" s="22" t="s">
        <v>100</v>
      </c>
      <c r="Q149" s="27">
        <v>56</v>
      </c>
      <c r="R149" s="27">
        <v>54.3</v>
      </c>
      <c r="S149" s="27">
        <v>8.1</v>
      </c>
      <c r="T149" s="22" t="s">
        <v>100</v>
      </c>
      <c r="U149" s="22" t="s">
        <v>100</v>
      </c>
      <c r="V149" s="22" t="s">
        <v>100</v>
      </c>
      <c r="W149" s="27">
        <v>0.2</v>
      </c>
      <c r="X149" s="17">
        <v>0.1</v>
      </c>
      <c r="Y149" s="17">
        <v>0.6</v>
      </c>
      <c r="Z149" s="27">
        <v>0.1</v>
      </c>
      <c r="AA149" s="27">
        <v>0.6</v>
      </c>
      <c r="AB149" s="27">
        <v>14.3</v>
      </c>
      <c r="AC149" s="27">
        <v>45.4</v>
      </c>
      <c r="AD149" s="17">
        <v>392</v>
      </c>
      <c r="AE149" s="17">
        <v>68</v>
      </c>
      <c r="AF149" s="17">
        <v>43</v>
      </c>
      <c r="AG149" s="17">
        <v>426</v>
      </c>
      <c r="AH149" s="27">
        <v>22.1</v>
      </c>
      <c r="AI149" s="17">
        <v>7.4</v>
      </c>
      <c r="AJ149" s="27">
        <v>1.6</v>
      </c>
      <c r="AK149" s="27">
        <v>0.1</v>
      </c>
      <c r="AL149" s="27">
        <v>53.5</v>
      </c>
      <c r="AM149" s="27">
        <v>0</v>
      </c>
    </row>
    <row r="150" spans="1:39" x14ac:dyDescent="0.25">
      <c r="A150" s="10">
        <v>149</v>
      </c>
      <c r="B150" s="9" t="s">
        <v>243</v>
      </c>
      <c r="C150" s="9" t="s">
        <v>250</v>
      </c>
      <c r="D150" s="10">
        <v>2</v>
      </c>
      <c r="E150" s="11">
        <v>72</v>
      </c>
      <c r="F150" s="17">
        <v>82.9</v>
      </c>
      <c r="G150" s="17">
        <v>1.3</v>
      </c>
      <c r="H150" s="17">
        <v>10</v>
      </c>
      <c r="I150" s="17">
        <v>4</v>
      </c>
      <c r="J150" s="27">
        <v>0</v>
      </c>
      <c r="K150" s="17">
        <v>0</v>
      </c>
      <c r="L150" s="17">
        <v>1.8</v>
      </c>
      <c r="M150" s="19">
        <v>0.42</v>
      </c>
      <c r="N150" s="19">
        <v>0.51</v>
      </c>
      <c r="O150" s="19">
        <v>0.61</v>
      </c>
      <c r="P150" s="22" t="s">
        <v>100</v>
      </c>
      <c r="Q150" s="17">
        <v>95</v>
      </c>
      <c r="R150" s="27">
        <v>42.3</v>
      </c>
      <c r="S150" s="27">
        <v>7</v>
      </c>
      <c r="T150" s="27">
        <v>0</v>
      </c>
      <c r="U150" s="27">
        <v>0.5</v>
      </c>
      <c r="V150" s="27">
        <v>0.1</v>
      </c>
      <c r="W150" s="27">
        <v>0.1</v>
      </c>
      <c r="X150" s="27">
        <v>0.2</v>
      </c>
      <c r="Y150" s="27">
        <v>1.4</v>
      </c>
      <c r="Z150" s="27">
        <v>0</v>
      </c>
      <c r="AA150" s="27">
        <v>0.4</v>
      </c>
      <c r="AB150" s="27">
        <v>10.6</v>
      </c>
      <c r="AC150" s="27">
        <v>37</v>
      </c>
      <c r="AD150" s="17">
        <v>137</v>
      </c>
      <c r="AE150" s="17">
        <v>138</v>
      </c>
      <c r="AF150" s="17">
        <v>26</v>
      </c>
      <c r="AG150" s="17">
        <v>197</v>
      </c>
      <c r="AH150" s="17">
        <v>34</v>
      </c>
      <c r="AI150" s="17">
        <v>4</v>
      </c>
      <c r="AJ150" s="17">
        <v>1.6</v>
      </c>
      <c r="AK150" s="17">
        <v>0.1</v>
      </c>
      <c r="AL150" s="27">
        <v>39.4</v>
      </c>
      <c r="AM150" s="27">
        <v>0</v>
      </c>
    </row>
    <row r="151" spans="1:39" x14ac:dyDescent="0.25">
      <c r="A151" s="10">
        <v>150</v>
      </c>
      <c r="B151" s="9" t="s">
        <v>243</v>
      </c>
      <c r="C151" s="9" t="s">
        <v>251</v>
      </c>
      <c r="D151" s="10">
        <v>1</v>
      </c>
      <c r="E151" s="11">
        <v>86</v>
      </c>
      <c r="F151" s="17">
        <v>80.599999999999994</v>
      </c>
      <c r="G151" s="27">
        <v>1.6</v>
      </c>
      <c r="H151" s="17">
        <v>11.9</v>
      </c>
      <c r="I151" s="17">
        <v>3.7</v>
      </c>
      <c r="J151" s="27">
        <v>0</v>
      </c>
      <c r="K151" s="17">
        <v>0</v>
      </c>
      <c r="L151" s="17">
        <v>2.2000000000000002</v>
      </c>
      <c r="M151" s="19">
        <v>0.43</v>
      </c>
      <c r="N151" s="19">
        <v>0.51</v>
      </c>
      <c r="O151" s="19">
        <v>0.61</v>
      </c>
      <c r="P151" s="22" t="s">
        <v>100</v>
      </c>
      <c r="Q151" s="17">
        <v>28</v>
      </c>
      <c r="R151" s="17">
        <v>48</v>
      </c>
      <c r="S151" s="17">
        <v>8</v>
      </c>
      <c r="T151" s="27">
        <v>0</v>
      </c>
      <c r="U151" s="17">
        <v>0.7</v>
      </c>
      <c r="V151" s="27">
        <v>0.1</v>
      </c>
      <c r="W151" s="17">
        <v>0.2</v>
      </c>
      <c r="X151" s="17">
        <v>0.2</v>
      </c>
      <c r="Y151" s="17">
        <v>1.6</v>
      </c>
      <c r="Z151" s="17">
        <v>0.1</v>
      </c>
      <c r="AA151" s="17">
        <v>0.5</v>
      </c>
      <c r="AB151" s="17">
        <v>12</v>
      </c>
      <c r="AC151" s="17">
        <v>42</v>
      </c>
      <c r="AD151" s="17">
        <v>286</v>
      </c>
      <c r="AE151" s="17">
        <v>320</v>
      </c>
      <c r="AF151" s="17">
        <v>26</v>
      </c>
      <c r="AG151" s="17">
        <v>197</v>
      </c>
      <c r="AH151" s="17">
        <v>34</v>
      </c>
      <c r="AI151" s="17">
        <v>4</v>
      </c>
      <c r="AJ151" s="17">
        <v>1.6</v>
      </c>
      <c r="AK151" s="17">
        <v>0.1</v>
      </c>
      <c r="AL151" s="17">
        <v>54</v>
      </c>
      <c r="AM151" s="27">
        <v>0</v>
      </c>
    </row>
    <row r="152" spans="1:39" x14ac:dyDescent="0.25">
      <c r="A152" s="10">
        <v>151</v>
      </c>
      <c r="B152" s="9" t="s">
        <v>243</v>
      </c>
      <c r="C152" s="9" t="s">
        <v>252</v>
      </c>
      <c r="D152" s="10">
        <v>2</v>
      </c>
      <c r="E152" s="11">
        <v>123</v>
      </c>
      <c r="F152" s="17">
        <v>73.7</v>
      </c>
      <c r="G152" s="17">
        <v>1.9</v>
      </c>
      <c r="H152" s="17">
        <v>14.4</v>
      </c>
      <c r="I152" s="17">
        <v>4.9000000000000004</v>
      </c>
      <c r="J152" s="22" t="s">
        <v>100</v>
      </c>
      <c r="K152" s="17">
        <v>0</v>
      </c>
      <c r="L152" s="17">
        <v>5.0999999999999996</v>
      </c>
      <c r="M152" s="19">
        <v>2.2799999999999998</v>
      </c>
      <c r="N152" s="19">
        <v>1.39</v>
      </c>
      <c r="O152" s="19">
        <v>1.35</v>
      </c>
      <c r="P152" s="22" t="s">
        <v>100</v>
      </c>
      <c r="Q152" s="17">
        <v>266.2</v>
      </c>
      <c r="R152" s="22" t="s">
        <v>100</v>
      </c>
      <c r="S152" s="22" t="s">
        <v>100</v>
      </c>
      <c r="T152" s="22" t="s">
        <v>100</v>
      </c>
      <c r="U152" s="22" t="s">
        <v>100</v>
      </c>
      <c r="V152" s="22" t="s">
        <v>100</v>
      </c>
      <c r="W152" s="22" t="s">
        <v>100</v>
      </c>
      <c r="X152" s="22" t="s">
        <v>100</v>
      </c>
      <c r="Y152" s="22" t="s">
        <v>100</v>
      </c>
      <c r="Z152" s="22" t="s">
        <v>100</v>
      </c>
      <c r="AA152" s="22" t="s">
        <v>100</v>
      </c>
      <c r="AB152" s="22" t="s">
        <v>100</v>
      </c>
      <c r="AC152" s="22" t="s">
        <v>100</v>
      </c>
      <c r="AD152" s="22" t="s">
        <v>100</v>
      </c>
      <c r="AE152" s="22" t="s">
        <v>100</v>
      </c>
      <c r="AF152" s="17">
        <v>38</v>
      </c>
      <c r="AG152" s="17">
        <v>294</v>
      </c>
      <c r="AH152" s="22" t="s">
        <v>100</v>
      </c>
      <c r="AI152" s="17">
        <v>0.9</v>
      </c>
      <c r="AJ152" s="22" t="s">
        <v>100</v>
      </c>
      <c r="AK152" s="22" t="s">
        <v>100</v>
      </c>
      <c r="AL152" s="22" t="s">
        <v>100</v>
      </c>
      <c r="AM152" s="27">
        <v>0</v>
      </c>
    </row>
    <row r="153" spans="1:39" x14ac:dyDescent="0.25">
      <c r="A153" s="10">
        <v>152</v>
      </c>
      <c r="B153" s="9" t="s">
        <v>243</v>
      </c>
      <c r="C153" s="9" t="s">
        <v>253</v>
      </c>
      <c r="D153" s="10">
        <v>3</v>
      </c>
      <c r="E153" s="11">
        <v>181</v>
      </c>
      <c r="F153" s="17">
        <v>54.6</v>
      </c>
      <c r="G153" s="17">
        <v>0.4</v>
      </c>
      <c r="H153" s="17">
        <v>35</v>
      </c>
      <c r="I153" s="17">
        <v>9.8000000000000007</v>
      </c>
      <c r="J153" s="22" t="s">
        <v>100</v>
      </c>
      <c r="K153" s="17">
        <v>0</v>
      </c>
      <c r="L153" s="17">
        <v>0.2</v>
      </c>
      <c r="M153" s="28">
        <v>0.03</v>
      </c>
      <c r="N153" s="28">
        <v>0.02</v>
      </c>
      <c r="O153" s="28">
        <v>0.04</v>
      </c>
      <c r="P153" s="22" t="s">
        <v>100</v>
      </c>
      <c r="Q153" s="27">
        <v>112</v>
      </c>
      <c r="R153" s="27">
        <v>263.89999999999998</v>
      </c>
      <c r="S153" s="27">
        <v>12.4</v>
      </c>
      <c r="T153" s="22" t="s">
        <v>100</v>
      </c>
      <c r="U153" s="22" t="s">
        <v>100</v>
      </c>
      <c r="V153" s="22" t="s">
        <v>100</v>
      </c>
      <c r="W153" s="27">
        <v>0</v>
      </c>
      <c r="X153" s="27">
        <v>2.1</v>
      </c>
      <c r="Y153" s="27">
        <v>2.8</v>
      </c>
      <c r="Z153" s="27">
        <v>0.4</v>
      </c>
      <c r="AA153" s="27">
        <v>1.2</v>
      </c>
      <c r="AB153" s="27">
        <v>7</v>
      </c>
      <c r="AC153" s="27">
        <v>37.4</v>
      </c>
      <c r="AD153" s="17">
        <v>34.700000000000003</v>
      </c>
      <c r="AE153" s="27">
        <v>826.7</v>
      </c>
      <c r="AF153" s="17">
        <v>27.6</v>
      </c>
      <c r="AG153" s="17">
        <v>13</v>
      </c>
      <c r="AH153" s="17">
        <v>20.9</v>
      </c>
      <c r="AI153" s="27">
        <v>14.1</v>
      </c>
      <c r="AJ153" s="17">
        <v>17.2</v>
      </c>
      <c r="AK153" s="17">
        <v>0.3</v>
      </c>
      <c r="AL153" s="27">
        <v>104.6</v>
      </c>
      <c r="AM153" s="27">
        <v>0</v>
      </c>
    </row>
    <row r="154" spans="1:39" x14ac:dyDescent="0.25">
      <c r="A154" s="10">
        <v>153</v>
      </c>
      <c r="B154" s="9" t="s">
        <v>243</v>
      </c>
      <c r="C154" s="9" t="s">
        <v>254</v>
      </c>
      <c r="D154" s="10">
        <v>2</v>
      </c>
      <c r="E154" s="11">
        <v>113</v>
      </c>
      <c r="F154" s="17">
        <v>71.099999999999994</v>
      </c>
      <c r="G154" s="17">
        <v>1.2</v>
      </c>
      <c r="H154" s="17">
        <v>21.7</v>
      </c>
      <c r="I154" s="17">
        <v>5.5</v>
      </c>
      <c r="J154" s="27">
        <v>0</v>
      </c>
      <c r="K154" s="17">
        <v>0</v>
      </c>
      <c r="L154" s="17">
        <v>0.5</v>
      </c>
      <c r="M154" s="19">
        <v>0.21</v>
      </c>
      <c r="N154" s="19">
        <v>0.16</v>
      </c>
      <c r="O154" s="19">
        <v>0.13</v>
      </c>
      <c r="P154" s="22" t="s">
        <v>100</v>
      </c>
      <c r="Q154" s="27">
        <v>85</v>
      </c>
      <c r="R154" s="27">
        <v>2.2999999999999998</v>
      </c>
      <c r="S154" s="27">
        <v>2.2999999999999998</v>
      </c>
      <c r="T154" s="27">
        <v>0</v>
      </c>
      <c r="U154" s="27">
        <v>4.5</v>
      </c>
      <c r="V154" s="27">
        <v>26.1</v>
      </c>
      <c r="W154" s="17">
        <v>0</v>
      </c>
      <c r="X154" s="17">
        <v>0.1</v>
      </c>
      <c r="Y154" s="17">
        <v>1.7</v>
      </c>
      <c r="Z154" s="27">
        <v>0.2</v>
      </c>
      <c r="AA154" s="27">
        <v>3.4</v>
      </c>
      <c r="AB154" s="27">
        <v>0.8</v>
      </c>
      <c r="AC154" s="27">
        <v>5.7</v>
      </c>
      <c r="AD154" s="27">
        <v>341.9</v>
      </c>
      <c r="AE154" s="27">
        <v>284</v>
      </c>
      <c r="AF154" s="17">
        <v>55</v>
      </c>
      <c r="AG154" s="17">
        <v>147</v>
      </c>
      <c r="AH154" s="27">
        <v>54.5</v>
      </c>
      <c r="AI154" s="17">
        <v>0.7</v>
      </c>
      <c r="AJ154" s="27">
        <v>0.9</v>
      </c>
      <c r="AK154" s="27">
        <v>0.2</v>
      </c>
      <c r="AL154" s="27">
        <v>50.9</v>
      </c>
      <c r="AM154" s="27">
        <v>0</v>
      </c>
    </row>
    <row r="155" spans="1:39" x14ac:dyDescent="0.25">
      <c r="A155" s="10">
        <v>154</v>
      </c>
      <c r="B155" s="9" t="s">
        <v>243</v>
      </c>
      <c r="C155" s="9" t="s">
        <v>255</v>
      </c>
      <c r="D155" s="10">
        <v>2</v>
      </c>
      <c r="E155" s="11">
        <v>118</v>
      </c>
      <c r="F155" s="17">
        <v>71.5</v>
      </c>
      <c r="G155" s="17">
        <v>2</v>
      </c>
      <c r="H155" s="17">
        <v>21.3</v>
      </c>
      <c r="I155" s="17">
        <v>2.8</v>
      </c>
      <c r="J155" s="27">
        <v>0</v>
      </c>
      <c r="K155" s="17">
        <v>0</v>
      </c>
      <c r="L155" s="17">
        <v>2.4</v>
      </c>
      <c r="M155" s="19">
        <v>0.92</v>
      </c>
      <c r="N155" s="19">
        <v>0.67</v>
      </c>
      <c r="O155" s="19">
        <v>0.8</v>
      </c>
      <c r="P155" s="28">
        <v>0.04</v>
      </c>
      <c r="Q155" s="27">
        <v>50</v>
      </c>
      <c r="R155" s="27">
        <v>122.2</v>
      </c>
      <c r="S155" s="27">
        <v>0</v>
      </c>
      <c r="T155" s="27">
        <v>0.1</v>
      </c>
      <c r="U155" s="27">
        <v>0.9</v>
      </c>
      <c r="V155" s="27">
        <v>0.2</v>
      </c>
      <c r="W155" s="27">
        <v>0</v>
      </c>
      <c r="X155" s="17">
        <v>0.1</v>
      </c>
      <c r="Y155" s="17">
        <v>1.2</v>
      </c>
      <c r="Z155" s="27">
        <v>0</v>
      </c>
      <c r="AA155" s="27">
        <v>0.2</v>
      </c>
      <c r="AB155" s="27">
        <v>15.3</v>
      </c>
      <c r="AC155" s="27">
        <v>5.7</v>
      </c>
      <c r="AD155" s="17">
        <v>332</v>
      </c>
      <c r="AE155" s="17">
        <v>116</v>
      </c>
      <c r="AF155" s="17">
        <v>81</v>
      </c>
      <c r="AG155" s="17">
        <v>258</v>
      </c>
      <c r="AH155" s="27">
        <v>26.3</v>
      </c>
      <c r="AI155" s="17">
        <v>12.5</v>
      </c>
      <c r="AJ155" s="27">
        <v>0.7</v>
      </c>
      <c r="AK155" s="27">
        <v>0.1</v>
      </c>
      <c r="AL155" s="27">
        <v>41.4</v>
      </c>
      <c r="AM155" s="27">
        <v>0</v>
      </c>
    </row>
    <row r="156" spans="1:39" x14ac:dyDescent="0.25">
      <c r="A156" s="10">
        <v>155</v>
      </c>
      <c r="B156" s="9" t="s">
        <v>243</v>
      </c>
      <c r="C156" s="9" t="s">
        <v>256</v>
      </c>
      <c r="D156" s="10">
        <v>2</v>
      </c>
      <c r="E156" s="11">
        <v>80</v>
      </c>
      <c r="F156" s="17">
        <v>78.5</v>
      </c>
      <c r="G156" s="17">
        <v>1.9</v>
      </c>
      <c r="H156" s="17">
        <v>14.2</v>
      </c>
      <c r="I156" s="17">
        <v>5</v>
      </c>
      <c r="J156" s="27">
        <v>0</v>
      </c>
      <c r="K156" s="17">
        <v>0</v>
      </c>
      <c r="L156" s="17">
        <v>0.4</v>
      </c>
      <c r="M156" s="19">
        <v>0.15</v>
      </c>
      <c r="N156" s="19">
        <v>0.11</v>
      </c>
      <c r="O156" s="19">
        <v>0.13</v>
      </c>
      <c r="P156" s="28">
        <v>0.01</v>
      </c>
      <c r="Q156" s="27">
        <v>30</v>
      </c>
      <c r="R156" s="27">
        <v>92.1</v>
      </c>
      <c r="S156" s="27">
        <v>0</v>
      </c>
      <c r="T156" s="27">
        <v>0</v>
      </c>
      <c r="U156" s="27">
        <v>0.7</v>
      </c>
      <c r="V156" s="27">
        <v>0.2</v>
      </c>
      <c r="W156" s="27">
        <v>0</v>
      </c>
      <c r="X156" s="27">
        <v>0</v>
      </c>
      <c r="Y156" s="27">
        <v>0.4</v>
      </c>
      <c r="Z156" s="27">
        <v>0</v>
      </c>
      <c r="AA156" s="27">
        <v>0.2</v>
      </c>
      <c r="AB156" s="27">
        <v>11.5</v>
      </c>
      <c r="AC156" s="27">
        <v>5.0999999999999996</v>
      </c>
      <c r="AD156" s="27">
        <v>614.70000000000005</v>
      </c>
      <c r="AE156" s="27">
        <v>47.1</v>
      </c>
      <c r="AF156" s="17">
        <v>75</v>
      </c>
      <c r="AG156" s="17">
        <v>233</v>
      </c>
      <c r="AH156" s="27">
        <v>19.399999999999999</v>
      </c>
      <c r="AI156" s="17">
        <v>4.8</v>
      </c>
      <c r="AJ156" s="27">
        <v>0.5</v>
      </c>
      <c r="AK156" s="27">
        <v>0.1</v>
      </c>
      <c r="AL156" s="27">
        <v>31.3</v>
      </c>
      <c r="AM156" s="27">
        <v>0</v>
      </c>
    </row>
    <row r="157" spans="1:39" x14ac:dyDescent="0.25">
      <c r="A157" s="10">
        <v>156</v>
      </c>
      <c r="B157" s="9" t="s">
        <v>243</v>
      </c>
      <c r="C157" s="9" t="s">
        <v>257</v>
      </c>
      <c r="D157" s="10">
        <v>1</v>
      </c>
      <c r="E157" s="11">
        <v>81</v>
      </c>
      <c r="F157" s="17">
        <v>82.1</v>
      </c>
      <c r="G157" s="17">
        <v>1.2</v>
      </c>
      <c r="H157" s="17">
        <v>9.5</v>
      </c>
      <c r="I157" s="17">
        <v>5</v>
      </c>
      <c r="J157" s="27">
        <v>1</v>
      </c>
      <c r="K157" s="17">
        <v>0</v>
      </c>
      <c r="L157" s="17">
        <v>2.2999999999999998</v>
      </c>
      <c r="M157" s="19">
        <v>0.51</v>
      </c>
      <c r="N157" s="19">
        <v>0.36</v>
      </c>
      <c r="O157" s="19">
        <v>0.89</v>
      </c>
      <c r="P157" s="28">
        <v>0.05</v>
      </c>
      <c r="Q157" s="17">
        <v>50</v>
      </c>
      <c r="R157" s="17">
        <v>81</v>
      </c>
      <c r="S157" s="17">
        <v>8</v>
      </c>
      <c r="T157" s="27">
        <v>0</v>
      </c>
      <c r="U157" s="27">
        <v>1.4</v>
      </c>
      <c r="V157" s="27">
        <v>1.6</v>
      </c>
      <c r="W157" s="17">
        <v>0.1</v>
      </c>
      <c r="X157" s="17">
        <v>0.2</v>
      </c>
      <c r="Y157" s="17">
        <v>2</v>
      </c>
      <c r="Z157" s="17">
        <v>0.1</v>
      </c>
      <c r="AA157" s="17">
        <v>0.5</v>
      </c>
      <c r="AB157" s="17">
        <v>16</v>
      </c>
      <c r="AC157" s="17">
        <v>10</v>
      </c>
      <c r="AD157" s="17">
        <v>106</v>
      </c>
      <c r="AE157" s="17">
        <v>168</v>
      </c>
      <c r="AF157" s="17">
        <v>8</v>
      </c>
      <c r="AG157" s="17">
        <v>162</v>
      </c>
      <c r="AH157" s="17">
        <v>22</v>
      </c>
      <c r="AI157" s="17">
        <v>5.0999999999999996</v>
      </c>
      <c r="AJ157" s="17">
        <v>16.600000000000001</v>
      </c>
      <c r="AK157" s="17">
        <v>1.6</v>
      </c>
      <c r="AL157" s="17">
        <v>77</v>
      </c>
      <c r="AM157" s="27">
        <v>0</v>
      </c>
    </row>
    <row r="158" spans="1:39" x14ac:dyDescent="0.25">
      <c r="A158" s="10">
        <v>157</v>
      </c>
      <c r="B158" s="9" t="s">
        <v>243</v>
      </c>
      <c r="C158" s="9" t="s">
        <v>258</v>
      </c>
      <c r="D158" s="10">
        <v>2</v>
      </c>
      <c r="E158" s="11">
        <v>57</v>
      </c>
      <c r="F158" s="17">
        <v>84.6</v>
      </c>
      <c r="G158" s="17">
        <v>2.4</v>
      </c>
      <c r="H158" s="17">
        <v>8.8000000000000007</v>
      </c>
      <c r="I158" s="17">
        <v>3.3</v>
      </c>
      <c r="J158" s="22" t="s">
        <v>100</v>
      </c>
      <c r="K158" s="17">
        <v>0</v>
      </c>
      <c r="L158" s="17">
        <v>0.9</v>
      </c>
      <c r="M158" s="19">
        <v>0.28999999999999998</v>
      </c>
      <c r="N158" s="19">
        <v>0.35</v>
      </c>
      <c r="O158" s="19">
        <v>0.26</v>
      </c>
      <c r="P158" s="22" t="s">
        <v>100</v>
      </c>
      <c r="Q158" s="17">
        <v>61.3</v>
      </c>
      <c r="R158" s="22" t="s">
        <v>100</v>
      </c>
      <c r="S158" s="22" t="s">
        <v>100</v>
      </c>
      <c r="T158" s="22" t="s">
        <v>100</v>
      </c>
      <c r="U158" s="22" t="s">
        <v>100</v>
      </c>
      <c r="V158" s="22" t="s">
        <v>100</v>
      </c>
      <c r="W158" s="22" t="s">
        <v>100</v>
      </c>
      <c r="X158" s="22" t="s">
        <v>100</v>
      </c>
      <c r="Y158" s="22" t="s">
        <v>100</v>
      </c>
      <c r="Z158" s="22" t="s">
        <v>100</v>
      </c>
      <c r="AA158" s="22" t="s">
        <v>100</v>
      </c>
      <c r="AB158" s="22" t="s">
        <v>100</v>
      </c>
      <c r="AC158" s="22" t="s">
        <v>100</v>
      </c>
      <c r="AD158" s="22" t="s">
        <v>100</v>
      </c>
      <c r="AE158" s="22" t="s">
        <v>100</v>
      </c>
      <c r="AF158" s="17">
        <v>57</v>
      </c>
      <c r="AG158" s="17">
        <v>108</v>
      </c>
      <c r="AH158" s="22" t="s">
        <v>100</v>
      </c>
      <c r="AI158" s="17">
        <v>16</v>
      </c>
      <c r="AJ158" s="22" t="s">
        <v>100</v>
      </c>
      <c r="AK158" s="22" t="s">
        <v>100</v>
      </c>
      <c r="AL158" s="22" t="s">
        <v>100</v>
      </c>
      <c r="AM158" s="27">
        <v>0</v>
      </c>
    </row>
    <row r="159" spans="1:39" x14ac:dyDescent="0.25">
      <c r="A159" s="10">
        <v>158</v>
      </c>
      <c r="B159" s="9" t="s">
        <v>243</v>
      </c>
      <c r="C159" s="9" t="s">
        <v>259</v>
      </c>
      <c r="D159" s="10">
        <v>1</v>
      </c>
      <c r="E159" s="11">
        <v>85</v>
      </c>
      <c r="F159" s="17">
        <v>78.5</v>
      </c>
      <c r="G159" s="17">
        <v>1.2</v>
      </c>
      <c r="H159" s="17">
        <v>20.100000000000001</v>
      </c>
      <c r="I159" s="17">
        <v>0</v>
      </c>
      <c r="J159" s="22" t="s">
        <v>100</v>
      </c>
      <c r="K159" s="22" t="s">
        <v>100</v>
      </c>
      <c r="L159" s="17">
        <v>0.5</v>
      </c>
      <c r="M159" s="19">
        <v>0.1</v>
      </c>
      <c r="N159" s="19">
        <v>0.09</v>
      </c>
      <c r="O159" s="19">
        <v>0.15</v>
      </c>
      <c r="P159" s="28">
        <v>0</v>
      </c>
      <c r="Q159" s="17">
        <v>161</v>
      </c>
      <c r="R159" s="22" t="s">
        <v>100</v>
      </c>
      <c r="S159" s="22" t="s">
        <v>100</v>
      </c>
      <c r="T159" s="22" t="s">
        <v>100</v>
      </c>
      <c r="U159" s="22" t="s">
        <v>100</v>
      </c>
      <c r="V159" s="22" t="s">
        <v>100</v>
      </c>
      <c r="W159" s="22" t="s">
        <v>100</v>
      </c>
      <c r="X159" s="22" t="s">
        <v>100</v>
      </c>
      <c r="Y159" s="22" t="s">
        <v>100</v>
      </c>
      <c r="Z159" s="22" t="s">
        <v>100</v>
      </c>
      <c r="AA159" s="22" t="s">
        <v>100</v>
      </c>
      <c r="AB159" s="22" t="s">
        <v>100</v>
      </c>
      <c r="AC159" s="22" t="s">
        <v>100</v>
      </c>
      <c r="AD159" s="17">
        <v>119</v>
      </c>
      <c r="AE159" s="17">
        <v>264</v>
      </c>
      <c r="AF159" s="17">
        <v>64</v>
      </c>
      <c r="AG159" s="17">
        <v>214</v>
      </c>
      <c r="AH159" s="17">
        <v>35</v>
      </c>
      <c r="AI159" s="17">
        <v>0.5</v>
      </c>
      <c r="AJ159" s="17">
        <v>1.3</v>
      </c>
      <c r="AK159" s="17">
        <v>0.4</v>
      </c>
      <c r="AL159" s="22" t="s">
        <v>100</v>
      </c>
      <c r="AM159" s="27">
        <v>0</v>
      </c>
    </row>
    <row r="160" spans="1:39" x14ac:dyDescent="0.25">
      <c r="A160" s="10">
        <v>159</v>
      </c>
      <c r="B160" s="9" t="s">
        <v>243</v>
      </c>
      <c r="C160" s="9" t="s">
        <v>260</v>
      </c>
      <c r="D160" s="10">
        <v>2</v>
      </c>
      <c r="E160" s="11">
        <v>110</v>
      </c>
      <c r="F160" s="17">
        <v>72.599999999999994</v>
      </c>
      <c r="G160" s="17">
        <v>2</v>
      </c>
      <c r="H160" s="17">
        <v>23.7</v>
      </c>
      <c r="I160" s="17">
        <v>0</v>
      </c>
      <c r="J160" s="22" t="s">
        <v>100</v>
      </c>
      <c r="K160" s="17">
        <v>0</v>
      </c>
      <c r="L160" s="17">
        <v>1.7</v>
      </c>
      <c r="M160" s="28">
        <v>0.34</v>
      </c>
      <c r="N160" s="28">
        <v>0.28999999999999998</v>
      </c>
      <c r="O160" s="28">
        <v>0.51</v>
      </c>
      <c r="P160" s="28">
        <v>0.01</v>
      </c>
      <c r="Q160" s="27">
        <v>161</v>
      </c>
      <c r="R160" s="22" t="s">
        <v>100</v>
      </c>
      <c r="S160" s="22" t="s">
        <v>100</v>
      </c>
      <c r="T160" s="22" t="s">
        <v>100</v>
      </c>
      <c r="U160" s="22" t="s">
        <v>100</v>
      </c>
      <c r="V160" s="22" t="s">
        <v>100</v>
      </c>
      <c r="W160" s="22" t="s">
        <v>100</v>
      </c>
      <c r="X160" s="22" t="s">
        <v>100</v>
      </c>
      <c r="Y160" s="22" t="s">
        <v>100</v>
      </c>
      <c r="Z160" s="22" t="s">
        <v>100</v>
      </c>
      <c r="AA160" s="22" t="s">
        <v>100</v>
      </c>
      <c r="AB160" s="22" t="s">
        <v>100</v>
      </c>
      <c r="AC160" s="22" t="s">
        <v>100</v>
      </c>
      <c r="AD160" s="17">
        <v>240</v>
      </c>
      <c r="AE160" s="17">
        <v>121</v>
      </c>
      <c r="AF160" s="17">
        <v>25</v>
      </c>
      <c r="AG160" s="17">
        <v>229</v>
      </c>
      <c r="AH160" s="27">
        <v>44.5</v>
      </c>
      <c r="AI160" s="17">
        <v>2.1</v>
      </c>
      <c r="AJ160" s="27">
        <v>1.7</v>
      </c>
      <c r="AK160" s="27">
        <v>0.5</v>
      </c>
      <c r="AL160" s="22" t="s">
        <v>100</v>
      </c>
      <c r="AM160" s="27">
        <v>0</v>
      </c>
    </row>
    <row r="161" spans="1:39" x14ac:dyDescent="0.25">
      <c r="A161" s="10">
        <v>160</v>
      </c>
      <c r="B161" s="9" t="s">
        <v>243</v>
      </c>
      <c r="C161" s="9" t="s">
        <v>261</v>
      </c>
      <c r="D161" s="10">
        <v>3</v>
      </c>
      <c r="E161" s="11">
        <v>87</v>
      </c>
      <c r="F161" s="17">
        <v>79.3</v>
      </c>
      <c r="G161" s="17">
        <v>1.3</v>
      </c>
      <c r="H161" s="17">
        <v>17.399999999999999</v>
      </c>
      <c r="I161" s="17">
        <v>0.2</v>
      </c>
      <c r="J161" s="17">
        <v>0</v>
      </c>
      <c r="K161" s="22" t="s">
        <v>100</v>
      </c>
      <c r="L161" s="17">
        <v>1.8</v>
      </c>
      <c r="M161" s="19">
        <v>0.28000000000000003</v>
      </c>
      <c r="N161" s="19">
        <v>0.32</v>
      </c>
      <c r="O161" s="19">
        <v>0.64</v>
      </c>
      <c r="P161" s="19">
        <v>0</v>
      </c>
      <c r="Q161" s="27">
        <v>42</v>
      </c>
      <c r="R161" s="27">
        <v>7.1</v>
      </c>
      <c r="S161" s="27">
        <v>7.1</v>
      </c>
      <c r="T161" s="22" t="s">
        <v>100</v>
      </c>
      <c r="U161" s="22" t="s">
        <v>100</v>
      </c>
      <c r="V161" s="22" t="s">
        <v>100</v>
      </c>
      <c r="W161" s="27">
        <v>0</v>
      </c>
      <c r="X161" s="27">
        <v>0</v>
      </c>
      <c r="Y161" s="27">
        <v>1.1000000000000001</v>
      </c>
      <c r="Z161" s="27">
        <v>0.2</v>
      </c>
      <c r="AA161" s="27">
        <v>0.4</v>
      </c>
      <c r="AB161" s="27">
        <v>9.1</v>
      </c>
      <c r="AC161" s="27">
        <v>44.6</v>
      </c>
      <c r="AD161" s="17">
        <v>312</v>
      </c>
      <c r="AE161" s="27">
        <v>206.7</v>
      </c>
      <c r="AF161" s="27">
        <v>46.6</v>
      </c>
      <c r="AG161" s="27">
        <v>221.9</v>
      </c>
      <c r="AH161" s="27">
        <v>49.6</v>
      </c>
      <c r="AI161" s="27">
        <v>0.6</v>
      </c>
      <c r="AJ161" s="27">
        <v>6</v>
      </c>
      <c r="AK161" s="27">
        <v>0.9</v>
      </c>
      <c r="AL161" s="27">
        <v>36.9</v>
      </c>
      <c r="AM161" s="27">
        <v>0</v>
      </c>
    </row>
    <row r="162" spans="1:39" x14ac:dyDescent="0.25">
      <c r="A162" s="10">
        <v>161</v>
      </c>
      <c r="B162" s="9" t="s">
        <v>243</v>
      </c>
      <c r="C162" s="9" t="s">
        <v>262</v>
      </c>
      <c r="D162" s="10">
        <v>3</v>
      </c>
      <c r="E162" s="11">
        <v>71</v>
      </c>
      <c r="F162" s="17">
        <v>82.6</v>
      </c>
      <c r="G162" s="17">
        <v>1.4</v>
      </c>
      <c r="H162" s="17">
        <v>14.5</v>
      </c>
      <c r="I162" s="17">
        <v>0</v>
      </c>
      <c r="J162" s="17">
        <v>0</v>
      </c>
      <c r="K162" s="22" t="s">
        <v>100</v>
      </c>
      <c r="L162" s="17">
        <v>1.5</v>
      </c>
      <c r="M162" s="19">
        <v>0.24</v>
      </c>
      <c r="N162" s="19">
        <v>0.28000000000000003</v>
      </c>
      <c r="O162" s="19">
        <v>0.53</v>
      </c>
      <c r="P162" s="22" t="s">
        <v>100</v>
      </c>
      <c r="Q162" s="27">
        <v>42</v>
      </c>
      <c r="R162" s="27">
        <v>6</v>
      </c>
      <c r="S162" s="27">
        <v>6</v>
      </c>
      <c r="T162" s="22" t="s">
        <v>100</v>
      </c>
      <c r="U162" s="22" t="s">
        <v>100</v>
      </c>
      <c r="V162" s="22" t="s">
        <v>100</v>
      </c>
      <c r="W162" s="27">
        <v>0</v>
      </c>
      <c r="X162" s="27">
        <v>0</v>
      </c>
      <c r="Y162" s="27">
        <v>0.9</v>
      </c>
      <c r="Z162" s="27">
        <v>0.1</v>
      </c>
      <c r="AA162" s="27">
        <v>0.3</v>
      </c>
      <c r="AB162" s="27">
        <v>7.7</v>
      </c>
      <c r="AC162" s="27">
        <v>37.5</v>
      </c>
      <c r="AD162" s="17">
        <v>446</v>
      </c>
      <c r="AE162" s="27">
        <v>173.7</v>
      </c>
      <c r="AF162" s="27">
        <v>39.200000000000003</v>
      </c>
      <c r="AG162" s="27">
        <v>186.5</v>
      </c>
      <c r="AH162" s="27">
        <v>41.7</v>
      </c>
      <c r="AI162" s="27">
        <v>0.5</v>
      </c>
      <c r="AJ162" s="27">
        <v>5.0999999999999996</v>
      </c>
      <c r="AK162" s="27">
        <v>0.8</v>
      </c>
      <c r="AL162" s="27">
        <v>31</v>
      </c>
      <c r="AM162" s="27">
        <v>0</v>
      </c>
    </row>
    <row r="163" spans="1:39" x14ac:dyDescent="0.25">
      <c r="A163" s="10">
        <v>162</v>
      </c>
      <c r="B163" s="9" t="s">
        <v>243</v>
      </c>
      <c r="C163" s="9" t="s">
        <v>263</v>
      </c>
      <c r="D163" s="10">
        <v>2</v>
      </c>
      <c r="E163" s="11">
        <v>115</v>
      </c>
      <c r="F163" s="17">
        <v>72</v>
      </c>
      <c r="G163" s="17">
        <v>2.8</v>
      </c>
      <c r="H163" s="17">
        <v>18.3</v>
      </c>
      <c r="I163" s="17">
        <v>3.8</v>
      </c>
      <c r="J163" s="22" t="s">
        <v>100</v>
      </c>
      <c r="K163" s="17">
        <v>0</v>
      </c>
      <c r="L163" s="17">
        <v>2.9</v>
      </c>
      <c r="M163" s="28">
        <v>0.6</v>
      </c>
      <c r="N163" s="28">
        <v>0.52</v>
      </c>
      <c r="O163" s="28">
        <v>1.04</v>
      </c>
      <c r="P163" s="22" t="s">
        <v>100</v>
      </c>
      <c r="Q163" s="17">
        <v>9.6999999999999993</v>
      </c>
      <c r="R163" s="27">
        <v>2.7</v>
      </c>
      <c r="S163" s="27">
        <v>4</v>
      </c>
      <c r="T163" s="22" t="s">
        <v>100</v>
      </c>
      <c r="U163" s="22" t="s">
        <v>100</v>
      </c>
      <c r="V163" s="22" t="s">
        <v>100</v>
      </c>
      <c r="W163" s="27">
        <v>0.1</v>
      </c>
      <c r="X163" s="27">
        <v>0.1</v>
      </c>
      <c r="Y163" s="27">
        <v>3.6</v>
      </c>
      <c r="Z163" s="27">
        <v>0.2</v>
      </c>
      <c r="AA163" s="27">
        <v>0.5</v>
      </c>
      <c r="AB163" s="27">
        <v>12</v>
      </c>
      <c r="AC163" s="27">
        <v>58.7</v>
      </c>
      <c r="AD163" s="17">
        <v>542</v>
      </c>
      <c r="AE163" s="17">
        <v>254</v>
      </c>
      <c r="AF163" s="17">
        <v>226</v>
      </c>
      <c r="AG163" s="17">
        <v>394</v>
      </c>
      <c r="AH163" s="27">
        <v>45.4</v>
      </c>
      <c r="AI163" s="17">
        <v>2.9</v>
      </c>
      <c r="AJ163" s="27">
        <v>4.7</v>
      </c>
      <c r="AK163" s="27">
        <v>0.9</v>
      </c>
      <c r="AL163" s="27">
        <v>49.9</v>
      </c>
      <c r="AM163" s="27">
        <v>0</v>
      </c>
    </row>
    <row r="164" spans="1:39" x14ac:dyDescent="0.25">
      <c r="A164" s="10">
        <v>163</v>
      </c>
      <c r="B164" s="9" t="s">
        <v>243</v>
      </c>
      <c r="C164" s="9" t="s">
        <v>264</v>
      </c>
      <c r="D164" s="10">
        <v>4</v>
      </c>
      <c r="E164" s="11">
        <v>120</v>
      </c>
      <c r="F164" s="27">
        <v>69.7</v>
      </c>
      <c r="G164" s="27">
        <v>0.9</v>
      </c>
      <c r="H164" s="17">
        <v>28</v>
      </c>
      <c r="I164" s="17">
        <v>0</v>
      </c>
      <c r="J164" s="17">
        <v>0</v>
      </c>
      <c r="K164" s="27">
        <v>0</v>
      </c>
      <c r="L164" s="17">
        <v>1.4</v>
      </c>
      <c r="M164" s="19">
        <v>0.5</v>
      </c>
      <c r="N164" s="19">
        <v>0.3</v>
      </c>
      <c r="O164" s="19">
        <v>0.6</v>
      </c>
      <c r="P164" s="19">
        <v>0.1</v>
      </c>
      <c r="Q164" s="17">
        <v>56</v>
      </c>
      <c r="R164" s="27">
        <v>17</v>
      </c>
      <c r="S164" s="27">
        <v>0</v>
      </c>
      <c r="T164" s="27">
        <v>1.2</v>
      </c>
      <c r="U164" s="27">
        <v>0.3</v>
      </c>
      <c r="V164" s="27">
        <v>0.2</v>
      </c>
      <c r="W164" s="27">
        <v>0</v>
      </c>
      <c r="X164" s="27">
        <v>0.1</v>
      </c>
      <c r="Y164" s="27">
        <v>10.1</v>
      </c>
      <c r="Z164" s="27">
        <v>0.3</v>
      </c>
      <c r="AA164" s="27">
        <v>0.1</v>
      </c>
      <c r="AB164" s="27">
        <v>2.5</v>
      </c>
      <c r="AC164" s="27">
        <v>4</v>
      </c>
      <c r="AD164" s="17">
        <v>500</v>
      </c>
      <c r="AE164" s="27">
        <v>179</v>
      </c>
      <c r="AF164" s="27">
        <v>17</v>
      </c>
      <c r="AG164" s="27">
        <v>139</v>
      </c>
      <c r="AH164" s="27">
        <v>23</v>
      </c>
      <c r="AI164" s="27">
        <v>1.6</v>
      </c>
      <c r="AJ164" s="27">
        <v>0.7</v>
      </c>
      <c r="AK164" s="27">
        <v>0.1</v>
      </c>
      <c r="AL164" s="27">
        <v>70.599999999999994</v>
      </c>
      <c r="AM164" s="27">
        <v>0</v>
      </c>
    </row>
    <row r="165" spans="1:39" x14ac:dyDescent="0.25">
      <c r="A165" s="10">
        <v>164</v>
      </c>
      <c r="B165" s="9" t="s">
        <v>243</v>
      </c>
      <c r="C165" s="9" t="s">
        <v>265</v>
      </c>
      <c r="D165" s="10">
        <v>1</v>
      </c>
      <c r="E165" s="11">
        <v>131</v>
      </c>
      <c r="F165" s="17">
        <v>71.3</v>
      </c>
      <c r="G165" s="27">
        <v>1.2</v>
      </c>
      <c r="H165" s="17">
        <v>29.6</v>
      </c>
      <c r="I165" s="17">
        <v>0</v>
      </c>
      <c r="J165" s="27">
        <v>0</v>
      </c>
      <c r="K165" s="17">
        <v>0</v>
      </c>
      <c r="L165" s="17">
        <v>0.5</v>
      </c>
      <c r="M165" s="19">
        <v>0.16</v>
      </c>
      <c r="N165" s="19">
        <v>0.14000000000000001</v>
      </c>
      <c r="O165" s="19">
        <v>0.13</v>
      </c>
      <c r="P165" s="28">
        <v>0</v>
      </c>
      <c r="Q165" s="17">
        <v>18</v>
      </c>
      <c r="R165" s="17">
        <v>23</v>
      </c>
      <c r="S165" s="17">
        <v>0</v>
      </c>
      <c r="T165" s="27">
        <v>1.6</v>
      </c>
      <c r="U165" s="17">
        <v>0.3</v>
      </c>
      <c r="V165" s="27">
        <v>0.3</v>
      </c>
      <c r="W165" s="17">
        <v>0</v>
      </c>
      <c r="X165" s="17">
        <v>0.1</v>
      </c>
      <c r="Y165" s="17">
        <v>12.4</v>
      </c>
      <c r="Z165" s="17">
        <v>0.4</v>
      </c>
      <c r="AA165" s="17">
        <v>0.4</v>
      </c>
      <c r="AB165" s="17">
        <v>2.2000000000000002</v>
      </c>
      <c r="AC165" s="17">
        <v>4.7</v>
      </c>
      <c r="AD165" s="17">
        <v>356</v>
      </c>
      <c r="AE165" s="17">
        <v>314</v>
      </c>
      <c r="AF165" s="17">
        <v>12</v>
      </c>
      <c r="AG165" s="17">
        <v>185</v>
      </c>
      <c r="AH165" s="17">
        <v>29</v>
      </c>
      <c r="AI165" s="17">
        <v>3.2</v>
      </c>
      <c r="AJ165" s="17">
        <v>0.4</v>
      </c>
      <c r="AK165" s="17">
        <v>0</v>
      </c>
      <c r="AL165" s="17">
        <v>72.099999999999994</v>
      </c>
      <c r="AM165" s="27">
        <v>0</v>
      </c>
    </row>
    <row r="166" spans="1:39" x14ac:dyDescent="0.25">
      <c r="A166" s="10">
        <v>165</v>
      </c>
      <c r="B166" s="9" t="s">
        <v>243</v>
      </c>
      <c r="C166" s="9" t="s">
        <v>266</v>
      </c>
      <c r="D166" s="10">
        <v>1</v>
      </c>
      <c r="E166" s="11">
        <v>198</v>
      </c>
      <c r="F166" s="17">
        <v>59.9</v>
      </c>
      <c r="G166" s="17">
        <v>2.8</v>
      </c>
      <c r="H166" s="17">
        <v>29.1</v>
      </c>
      <c r="I166" s="17">
        <v>0</v>
      </c>
      <c r="J166" s="17">
        <v>0</v>
      </c>
      <c r="K166" s="17">
        <v>0</v>
      </c>
      <c r="L166" s="17">
        <v>8.1999999999999993</v>
      </c>
      <c r="M166" s="19">
        <v>1.53</v>
      </c>
      <c r="N166" s="19">
        <v>2.95</v>
      </c>
      <c r="O166" s="19">
        <v>2.89</v>
      </c>
      <c r="P166" s="22" t="s">
        <v>100</v>
      </c>
      <c r="Q166" s="17">
        <v>18</v>
      </c>
      <c r="R166" s="17">
        <v>23</v>
      </c>
      <c r="S166" s="17">
        <v>0</v>
      </c>
      <c r="T166" s="17">
        <v>6.7</v>
      </c>
      <c r="U166" s="17">
        <v>0.9</v>
      </c>
      <c r="V166" s="17">
        <v>44</v>
      </c>
      <c r="W166" s="17">
        <v>0</v>
      </c>
      <c r="X166" s="17">
        <v>0.1</v>
      </c>
      <c r="Y166" s="17">
        <v>12.4</v>
      </c>
      <c r="Z166" s="17">
        <v>0.1</v>
      </c>
      <c r="AA166" s="17">
        <v>0.4</v>
      </c>
      <c r="AB166" s="17">
        <v>2.2000000000000002</v>
      </c>
      <c r="AC166" s="17">
        <v>5</v>
      </c>
      <c r="AD166" s="17">
        <v>416</v>
      </c>
      <c r="AE166" s="17">
        <v>207</v>
      </c>
      <c r="AF166" s="17">
        <v>13</v>
      </c>
      <c r="AG166" s="17">
        <v>311</v>
      </c>
      <c r="AH166" s="17">
        <v>31</v>
      </c>
      <c r="AI166" s="17">
        <v>1.4</v>
      </c>
      <c r="AJ166" s="17">
        <v>0.9</v>
      </c>
      <c r="AK166" s="17">
        <v>0.1</v>
      </c>
      <c r="AL166" s="17">
        <v>76</v>
      </c>
      <c r="AM166" s="27">
        <v>0</v>
      </c>
    </row>
    <row r="167" spans="1:39" x14ac:dyDescent="0.25">
      <c r="A167" s="10">
        <v>166</v>
      </c>
      <c r="B167" s="9" t="s">
        <v>243</v>
      </c>
      <c r="C167" s="9" t="s">
        <v>267</v>
      </c>
      <c r="D167" s="10">
        <v>2</v>
      </c>
      <c r="E167" s="11">
        <v>187</v>
      </c>
      <c r="F167" s="17">
        <v>68.2</v>
      </c>
      <c r="G167" s="17">
        <v>1.1000000000000001</v>
      </c>
      <c r="H167" s="17">
        <v>17.2</v>
      </c>
      <c r="I167" s="17">
        <v>0.6</v>
      </c>
      <c r="J167" s="22" t="s">
        <v>100</v>
      </c>
      <c r="K167" s="17">
        <v>0</v>
      </c>
      <c r="L167" s="17">
        <v>12.9</v>
      </c>
      <c r="M167" s="28">
        <v>5.44</v>
      </c>
      <c r="N167" s="28">
        <v>5.44</v>
      </c>
      <c r="O167" s="28">
        <v>0.95</v>
      </c>
      <c r="P167" s="22" t="s">
        <v>100</v>
      </c>
      <c r="Q167" s="17">
        <v>45.8</v>
      </c>
      <c r="R167" s="27">
        <v>36.9</v>
      </c>
      <c r="S167" s="27">
        <v>0</v>
      </c>
      <c r="T167" s="22" t="s">
        <v>100</v>
      </c>
      <c r="U167" s="22" t="s">
        <v>100</v>
      </c>
      <c r="V167" s="22" t="s">
        <v>100</v>
      </c>
      <c r="W167" s="27">
        <v>0.1</v>
      </c>
      <c r="X167" s="27">
        <v>0.2</v>
      </c>
      <c r="Y167" s="27">
        <v>5.5</v>
      </c>
      <c r="Z167" s="27">
        <v>0.4</v>
      </c>
      <c r="AA167" s="27">
        <v>0.9</v>
      </c>
      <c r="AB167" s="27">
        <v>2.2999999999999998</v>
      </c>
      <c r="AC167" s="27">
        <v>18.399999999999999</v>
      </c>
      <c r="AD167" s="17">
        <v>61</v>
      </c>
      <c r="AE167" s="17">
        <v>401</v>
      </c>
      <c r="AF167" s="27">
        <v>27</v>
      </c>
      <c r="AG167" s="27">
        <v>295</v>
      </c>
      <c r="AH167" s="27">
        <v>30.7</v>
      </c>
      <c r="AI167" s="27">
        <v>0.6</v>
      </c>
      <c r="AJ167" s="27">
        <v>0.9</v>
      </c>
      <c r="AK167" s="27">
        <v>0.1</v>
      </c>
      <c r="AL167" s="27">
        <v>44.9</v>
      </c>
      <c r="AM167" s="27">
        <v>0</v>
      </c>
    </row>
    <row r="168" spans="1:39" x14ac:dyDescent="0.25">
      <c r="A168" s="10">
        <v>167</v>
      </c>
      <c r="B168" s="9" t="s">
        <v>243</v>
      </c>
      <c r="C168" s="9" t="s">
        <v>268</v>
      </c>
      <c r="D168" s="10">
        <v>2</v>
      </c>
      <c r="E168" s="11">
        <v>77</v>
      </c>
      <c r="F168" s="17">
        <v>80</v>
      </c>
      <c r="G168" s="17">
        <v>1.1000000000000001</v>
      </c>
      <c r="H168" s="17">
        <v>15.5</v>
      </c>
      <c r="I168" s="17">
        <v>3.2</v>
      </c>
      <c r="J168" s="22" t="s">
        <v>100</v>
      </c>
      <c r="K168" s="17">
        <v>0</v>
      </c>
      <c r="L168" s="17">
        <v>0.2</v>
      </c>
      <c r="M168" s="28">
        <v>0.04</v>
      </c>
      <c r="N168" s="28">
        <v>0.03</v>
      </c>
      <c r="O168" s="28">
        <v>0.08</v>
      </c>
      <c r="P168" s="22" t="s">
        <v>100</v>
      </c>
      <c r="Q168" s="27">
        <v>41</v>
      </c>
      <c r="R168" s="27">
        <v>15.2</v>
      </c>
      <c r="S168" s="27">
        <v>0</v>
      </c>
      <c r="T168" s="22" t="s">
        <v>100</v>
      </c>
      <c r="U168" s="22" t="s">
        <v>100</v>
      </c>
      <c r="V168" s="22" t="s">
        <v>100</v>
      </c>
      <c r="W168" s="17">
        <v>0.2</v>
      </c>
      <c r="X168" s="17">
        <v>0.1</v>
      </c>
      <c r="Y168" s="17">
        <v>1.4</v>
      </c>
      <c r="Z168" s="27">
        <v>0.3</v>
      </c>
      <c r="AA168" s="27">
        <v>0.2</v>
      </c>
      <c r="AB168" s="27">
        <v>0.9</v>
      </c>
      <c r="AC168" s="27">
        <v>1.7</v>
      </c>
      <c r="AD168" s="27">
        <v>26.2</v>
      </c>
      <c r="AE168" s="27">
        <v>331.5</v>
      </c>
      <c r="AF168" s="17">
        <v>63</v>
      </c>
      <c r="AG168" s="17">
        <v>173</v>
      </c>
      <c r="AH168" s="27">
        <v>26.2</v>
      </c>
      <c r="AI168" s="17">
        <v>1.2</v>
      </c>
      <c r="AJ168" s="27">
        <v>0.3</v>
      </c>
      <c r="AK168" s="27">
        <v>0</v>
      </c>
      <c r="AL168" s="27">
        <v>30.9</v>
      </c>
      <c r="AM168" s="27">
        <v>0</v>
      </c>
    </row>
    <row r="169" spans="1:39" x14ac:dyDescent="0.25">
      <c r="A169" s="10">
        <v>168</v>
      </c>
      <c r="B169" s="9" t="s">
        <v>243</v>
      </c>
      <c r="C169" s="9" t="s">
        <v>269</v>
      </c>
      <c r="D169" s="10">
        <v>2</v>
      </c>
      <c r="E169" s="11">
        <v>73</v>
      </c>
      <c r="F169" s="17">
        <v>81.400000000000006</v>
      </c>
      <c r="G169" s="17">
        <v>1.1000000000000001</v>
      </c>
      <c r="H169" s="17">
        <v>16.5</v>
      </c>
      <c r="I169" s="17">
        <v>0.5</v>
      </c>
      <c r="J169" s="22" t="s">
        <v>100</v>
      </c>
      <c r="K169" s="17">
        <v>0</v>
      </c>
      <c r="L169" s="17">
        <v>0.5</v>
      </c>
      <c r="M169" s="28">
        <v>0.09</v>
      </c>
      <c r="N169" s="28">
        <v>7.0000000000000007E-2</v>
      </c>
      <c r="O169" s="28">
        <v>0.2</v>
      </c>
      <c r="P169" s="22" t="s">
        <v>100</v>
      </c>
      <c r="Q169" s="17">
        <v>34.6</v>
      </c>
      <c r="R169" s="27">
        <v>14.2</v>
      </c>
      <c r="S169" s="27">
        <v>0</v>
      </c>
      <c r="T169" s="22" t="s">
        <v>100</v>
      </c>
      <c r="U169" s="22" t="s">
        <v>100</v>
      </c>
      <c r="V169" s="22" t="s">
        <v>100</v>
      </c>
      <c r="W169" s="27">
        <v>0</v>
      </c>
      <c r="X169" s="27">
        <v>0.1</v>
      </c>
      <c r="Y169" s="27">
        <v>2.1</v>
      </c>
      <c r="Z169" s="27">
        <v>0.3</v>
      </c>
      <c r="AA169" s="27">
        <v>0.2</v>
      </c>
      <c r="AB169" s="27">
        <v>0.8</v>
      </c>
      <c r="AC169" s="27">
        <v>1.6</v>
      </c>
      <c r="AD169" s="17">
        <v>112</v>
      </c>
      <c r="AE169" s="17">
        <v>254</v>
      </c>
      <c r="AF169" s="27">
        <v>7.9</v>
      </c>
      <c r="AG169" s="27">
        <v>160.4</v>
      </c>
      <c r="AH169" s="27">
        <v>24.4</v>
      </c>
      <c r="AI169" s="27">
        <v>0.7</v>
      </c>
      <c r="AJ169" s="27">
        <v>0.3</v>
      </c>
      <c r="AK169" s="27">
        <v>0</v>
      </c>
      <c r="AL169" s="27">
        <v>28.7</v>
      </c>
      <c r="AM169" s="27">
        <v>0</v>
      </c>
    </row>
    <row r="170" spans="1:39" x14ac:dyDescent="0.25">
      <c r="A170" s="10">
        <v>169</v>
      </c>
      <c r="B170" s="9" t="s">
        <v>243</v>
      </c>
      <c r="C170" s="9" t="s">
        <v>270</v>
      </c>
      <c r="D170" s="10">
        <v>2</v>
      </c>
      <c r="E170" s="11">
        <v>71</v>
      </c>
      <c r="F170" s="17">
        <v>81.400000000000006</v>
      </c>
      <c r="G170" s="17">
        <v>1.1000000000000001</v>
      </c>
      <c r="H170" s="17">
        <v>15.8</v>
      </c>
      <c r="I170" s="17">
        <v>1.5</v>
      </c>
      <c r="J170" s="22" t="s">
        <v>100</v>
      </c>
      <c r="K170" s="17">
        <v>0</v>
      </c>
      <c r="L170" s="17">
        <v>0.2</v>
      </c>
      <c r="M170" s="28">
        <v>0.04</v>
      </c>
      <c r="N170" s="28">
        <v>0.03</v>
      </c>
      <c r="O170" s="28">
        <v>0.08</v>
      </c>
      <c r="P170" s="22" t="s">
        <v>100</v>
      </c>
      <c r="Q170" s="27">
        <v>41</v>
      </c>
      <c r="R170" s="27">
        <v>14.2</v>
      </c>
      <c r="S170" s="27">
        <v>0</v>
      </c>
      <c r="T170" s="22" t="s">
        <v>100</v>
      </c>
      <c r="U170" s="22" t="s">
        <v>100</v>
      </c>
      <c r="V170" s="22" t="s">
        <v>100</v>
      </c>
      <c r="W170" s="17">
        <v>0.1</v>
      </c>
      <c r="X170" s="17">
        <v>0.1</v>
      </c>
      <c r="Y170" s="17">
        <v>1.5</v>
      </c>
      <c r="Z170" s="27">
        <v>0.3</v>
      </c>
      <c r="AA170" s="27">
        <v>0.2</v>
      </c>
      <c r="AB170" s="27">
        <v>0.8</v>
      </c>
      <c r="AC170" s="27">
        <v>1.6</v>
      </c>
      <c r="AD170" s="27">
        <v>24.4</v>
      </c>
      <c r="AE170" s="27">
        <v>308.3</v>
      </c>
      <c r="AF170" s="17">
        <v>64</v>
      </c>
      <c r="AG170" s="17">
        <v>187</v>
      </c>
      <c r="AH170" s="27">
        <v>24.4</v>
      </c>
      <c r="AI170" s="17">
        <v>1.2</v>
      </c>
      <c r="AJ170" s="27">
        <v>0.3</v>
      </c>
      <c r="AK170" s="27">
        <v>0</v>
      </c>
      <c r="AL170" s="27">
        <v>28.7</v>
      </c>
      <c r="AM170" s="27">
        <v>0</v>
      </c>
    </row>
    <row r="171" spans="1:39" x14ac:dyDescent="0.25">
      <c r="A171" s="10">
        <v>170</v>
      </c>
      <c r="B171" s="9" t="s">
        <v>243</v>
      </c>
      <c r="C171" s="9" t="s">
        <v>271</v>
      </c>
      <c r="D171" s="10">
        <v>2</v>
      </c>
      <c r="E171" s="11">
        <v>97</v>
      </c>
      <c r="F171" s="17">
        <v>74.900000000000006</v>
      </c>
      <c r="G171" s="17">
        <v>1.4</v>
      </c>
      <c r="H171" s="17">
        <v>20.5</v>
      </c>
      <c r="I171" s="17">
        <v>2.7</v>
      </c>
      <c r="J171" s="27">
        <v>0</v>
      </c>
      <c r="K171" s="17">
        <v>0</v>
      </c>
      <c r="L171" s="17">
        <v>0.5</v>
      </c>
      <c r="M171" s="28">
        <v>0.17</v>
      </c>
      <c r="N171" s="28">
        <v>0.18</v>
      </c>
      <c r="O171" s="28">
        <v>7.0000000000000007E-2</v>
      </c>
      <c r="P171" s="22" t="s">
        <v>100</v>
      </c>
      <c r="Q171" s="27">
        <v>61</v>
      </c>
      <c r="R171" s="27">
        <v>13.7</v>
      </c>
      <c r="S171" s="27">
        <v>0</v>
      </c>
      <c r="T171" s="27">
        <v>0.8</v>
      </c>
      <c r="U171" s="27">
        <v>1.5</v>
      </c>
      <c r="V171" s="27">
        <v>0.1</v>
      </c>
      <c r="W171" s="27">
        <v>0.1</v>
      </c>
      <c r="X171" s="27">
        <v>0.1</v>
      </c>
      <c r="Y171" s="27">
        <v>4.8</v>
      </c>
      <c r="Z171" s="27">
        <v>0.3</v>
      </c>
      <c r="AA171" s="27">
        <v>0.9</v>
      </c>
      <c r="AB171" s="27">
        <v>2.9</v>
      </c>
      <c r="AC171" s="27">
        <v>17.100000000000001</v>
      </c>
      <c r="AD171" s="27">
        <v>64</v>
      </c>
      <c r="AE171" s="27">
        <v>394.2</v>
      </c>
      <c r="AF171" s="17">
        <v>38</v>
      </c>
      <c r="AG171" s="17">
        <v>226</v>
      </c>
      <c r="AH171" s="27">
        <v>45.7</v>
      </c>
      <c r="AI171" s="17">
        <v>1.2</v>
      </c>
      <c r="AJ171" s="27">
        <v>0.5</v>
      </c>
      <c r="AK171" s="27">
        <v>0</v>
      </c>
      <c r="AL171" s="27">
        <v>41.7</v>
      </c>
      <c r="AM171" s="27">
        <v>0</v>
      </c>
    </row>
    <row r="172" spans="1:39" x14ac:dyDescent="0.25">
      <c r="A172" s="10">
        <v>171</v>
      </c>
      <c r="B172" s="9" t="s">
        <v>243</v>
      </c>
      <c r="C172" s="9" t="s">
        <v>272</v>
      </c>
      <c r="D172" s="10">
        <v>2</v>
      </c>
      <c r="E172" s="11">
        <v>122</v>
      </c>
      <c r="F172" s="17">
        <v>73</v>
      </c>
      <c r="G172" s="17">
        <v>1.2</v>
      </c>
      <c r="H172" s="17">
        <v>21.9</v>
      </c>
      <c r="I172" s="17">
        <v>0.1</v>
      </c>
      <c r="J172" s="27">
        <v>0</v>
      </c>
      <c r="K172" s="17">
        <v>0</v>
      </c>
      <c r="L172" s="17">
        <v>3.8</v>
      </c>
      <c r="M172" s="19">
        <v>1.28</v>
      </c>
      <c r="N172" s="19">
        <v>0.86</v>
      </c>
      <c r="O172" s="19">
        <v>1.64</v>
      </c>
      <c r="P172" s="22" t="s">
        <v>100</v>
      </c>
      <c r="Q172" s="17">
        <v>39</v>
      </c>
      <c r="R172" s="27">
        <v>17.2</v>
      </c>
      <c r="S172" s="27">
        <v>1.8</v>
      </c>
      <c r="T172" s="27">
        <v>8.1999999999999993</v>
      </c>
      <c r="U172" s="27">
        <v>0.9</v>
      </c>
      <c r="V172" s="27">
        <v>0.1</v>
      </c>
      <c r="W172" s="27">
        <v>0.1</v>
      </c>
      <c r="X172" s="27">
        <v>0.4</v>
      </c>
      <c r="Y172" s="27">
        <v>7.5</v>
      </c>
      <c r="Z172" s="27">
        <v>0.3</v>
      </c>
      <c r="AA172" s="27">
        <v>0.3</v>
      </c>
      <c r="AB172" s="27">
        <v>4</v>
      </c>
      <c r="AC172" s="27">
        <v>1.8</v>
      </c>
      <c r="AD172" s="17">
        <v>72</v>
      </c>
      <c r="AE172" s="17">
        <v>223</v>
      </c>
      <c r="AF172" s="17">
        <v>30</v>
      </c>
      <c r="AG172" s="17">
        <v>325</v>
      </c>
      <c r="AH172" s="27">
        <v>25.3</v>
      </c>
      <c r="AI172" s="17">
        <v>1.8</v>
      </c>
      <c r="AJ172" s="27">
        <v>0.6</v>
      </c>
      <c r="AK172" s="27">
        <v>0.1</v>
      </c>
      <c r="AL172" s="27">
        <v>33</v>
      </c>
      <c r="AM172" s="27">
        <v>0</v>
      </c>
    </row>
    <row r="173" spans="1:39" x14ac:dyDescent="0.25">
      <c r="A173" s="10">
        <v>172</v>
      </c>
      <c r="B173" s="9" t="s">
        <v>243</v>
      </c>
      <c r="C173" s="9" t="s">
        <v>273</v>
      </c>
      <c r="D173" s="10">
        <v>1</v>
      </c>
      <c r="E173" s="11">
        <v>105</v>
      </c>
      <c r="F173" s="17">
        <v>75.900000000000006</v>
      </c>
      <c r="G173" s="17">
        <v>1.3</v>
      </c>
      <c r="H173" s="17">
        <v>20.3</v>
      </c>
      <c r="I173" s="17">
        <v>0</v>
      </c>
      <c r="J173" s="27">
        <v>0</v>
      </c>
      <c r="K173" s="17">
        <v>0</v>
      </c>
      <c r="L173" s="17">
        <v>2</v>
      </c>
      <c r="M173" s="19">
        <v>0.36</v>
      </c>
      <c r="N173" s="19">
        <v>0.76</v>
      </c>
      <c r="O173" s="19">
        <v>0.46</v>
      </c>
      <c r="P173" s="22" t="s">
        <v>100</v>
      </c>
      <c r="Q173" s="17">
        <v>53</v>
      </c>
      <c r="R173" s="17">
        <v>218</v>
      </c>
      <c r="S173" s="17">
        <v>1.6</v>
      </c>
      <c r="T173" s="27">
        <v>7.3</v>
      </c>
      <c r="U173" s="27">
        <v>0.8</v>
      </c>
      <c r="V173" s="27">
        <v>0.1</v>
      </c>
      <c r="W173" s="17">
        <v>0.1</v>
      </c>
      <c r="X173" s="17">
        <v>0.5</v>
      </c>
      <c r="Y173" s="17">
        <v>8.6</v>
      </c>
      <c r="Z173" s="17">
        <v>0.4</v>
      </c>
      <c r="AA173" s="17">
        <v>0.8</v>
      </c>
      <c r="AB173" s="17">
        <v>15.6</v>
      </c>
      <c r="AC173" s="17">
        <v>8</v>
      </c>
      <c r="AD173" s="17">
        <v>158</v>
      </c>
      <c r="AE173" s="17">
        <v>435</v>
      </c>
      <c r="AF173" s="17">
        <v>31</v>
      </c>
      <c r="AG173" s="17">
        <v>248</v>
      </c>
      <c r="AH173" s="17">
        <v>32</v>
      </c>
      <c r="AI173" s="17">
        <v>1.8</v>
      </c>
      <c r="AJ173" s="17">
        <v>0.6</v>
      </c>
      <c r="AK173" s="17">
        <v>0</v>
      </c>
      <c r="AL173" s="17">
        <v>36.5</v>
      </c>
      <c r="AM173" s="27">
        <v>0</v>
      </c>
    </row>
    <row r="174" spans="1:39" x14ac:dyDescent="0.25">
      <c r="A174" s="10">
        <v>173</v>
      </c>
      <c r="B174" s="9" t="s">
        <v>243</v>
      </c>
      <c r="C174" s="9" t="s">
        <v>274</v>
      </c>
      <c r="D174" s="10">
        <v>2</v>
      </c>
      <c r="E174" s="11">
        <v>155</v>
      </c>
      <c r="F174" s="17">
        <v>66.900000000000006</v>
      </c>
      <c r="G174" s="17">
        <v>2.5</v>
      </c>
      <c r="H174" s="17">
        <v>23.8</v>
      </c>
      <c r="I174" s="17">
        <v>0.3</v>
      </c>
      <c r="J174" s="27">
        <v>0</v>
      </c>
      <c r="K174" s="17">
        <v>0</v>
      </c>
      <c r="L174" s="17">
        <v>6.5</v>
      </c>
      <c r="M174" s="19">
        <v>2.19</v>
      </c>
      <c r="N174" s="19">
        <v>1.48</v>
      </c>
      <c r="O174" s="19">
        <v>2.81</v>
      </c>
      <c r="P174" s="22" t="s">
        <v>100</v>
      </c>
      <c r="Q174" s="17">
        <v>73</v>
      </c>
      <c r="R174" s="27">
        <v>139.6</v>
      </c>
      <c r="S174" s="27">
        <v>1</v>
      </c>
      <c r="T174" s="27">
        <v>7.8</v>
      </c>
      <c r="U174" s="27">
        <v>1.1000000000000001</v>
      </c>
      <c r="V174" s="27">
        <v>0.1</v>
      </c>
      <c r="W174" s="17">
        <v>0</v>
      </c>
      <c r="X174" s="17">
        <v>0.2</v>
      </c>
      <c r="Y174" s="27">
        <v>6.6</v>
      </c>
      <c r="Z174" s="27">
        <v>0.2</v>
      </c>
      <c r="AA174" s="27">
        <v>0.3</v>
      </c>
      <c r="AB174" s="27">
        <v>7.5</v>
      </c>
      <c r="AC174" s="27">
        <v>5.4</v>
      </c>
      <c r="AD174" s="17">
        <v>444</v>
      </c>
      <c r="AE174" s="17">
        <v>293</v>
      </c>
      <c r="AF174" s="17">
        <v>21</v>
      </c>
      <c r="AG174" s="17">
        <v>246</v>
      </c>
      <c r="AH174" s="27">
        <v>39.700000000000003</v>
      </c>
      <c r="AI174" s="17">
        <v>1.6</v>
      </c>
      <c r="AJ174" s="27">
        <v>1.1000000000000001</v>
      </c>
      <c r="AK174" s="27">
        <v>0.2</v>
      </c>
      <c r="AL174" s="27">
        <v>40.5</v>
      </c>
      <c r="AM174" s="27">
        <v>0</v>
      </c>
    </row>
    <row r="175" spans="1:39" x14ac:dyDescent="0.25">
      <c r="A175" s="10">
        <v>174</v>
      </c>
      <c r="B175" s="9" t="s">
        <v>243</v>
      </c>
      <c r="C175" s="9" t="s">
        <v>275</v>
      </c>
      <c r="D175" s="10">
        <v>2</v>
      </c>
      <c r="E175" s="11">
        <v>280</v>
      </c>
      <c r="F175" s="17">
        <v>54.3</v>
      </c>
      <c r="G175" s="17">
        <v>2</v>
      </c>
      <c r="H175" s="17">
        <v>22</v>
      </c>
      <c r="I175" s="17">
        <v>0.7</v>
      </c>
      <c r="J175" s="27">
        <v>0</v>
      </c>
      <c r="K175" s="17">
        <v>0</v>
      </c>
      <c r="L175" s="17">
        <v>21</v>
      </c>
      <c r="M175" s="19">
        <v>7.08</v>
      </c>
      <c r="N175" s="19">
        <v>4.7699999999999996</v>
      </c>
      <c r="O175" s="19">
        <v>9.07</v>
      </c>
      <c r="P175" s="22" t="s">
        <v>100</v>
      </c>
      <c r="Q175" s="17">
        <v>73</v>
      </c>
      <c r="R175" s="27">
        <v>192.7</v>
      </c>
      <c r="S175" s="27">
        <v>1.3</v>
      </c>
      <c r="T175" s="27">
        <v>10.8</v>
      </c>
      <c r="U175" s="27">
        <v>1.5</v>
      </c>
      <c r="V175" s="27">
        <v>0.1</v>
      </c>
      <c r="W175" s="17">
        <v>0</v>
      </c>
      <c r="X175" s="17">
        <v>0.2</v>
      </c>
      <c r="Y175" s="27">
        <v>9.1999999999999993</v>
      </c>
      <c r="Z175" s="27">
        <v>0.3</v>
      </c>
      <c r="AA175" s="27">
        <v>0.5</v>
      </c>
      <c r="AB175" s="27">
        <v>10.3</v>
      </c>
      <c r="AC175" s="27">
        <v>7.4</v>
      </c>
      <c r="AD175" s="17">
        <v>450</v>
      </c>
      <c r="AE175" s="17">
        <v>286</v>
      </c>
      <c r="AF175" s="17">
        <v>19</v>
      </c>
      <c r="AG175" s="17">
        <v>119</v>
      </c>
      <c r="AH175" s="27">
        <v>54.8</v>
      </c>
      <c r="AI175" s="17">
        <v>1</v>
      </c>
      <c r="AJ175" s="27">
        <v>1.5</v>
      </c>
      <c r="AK175" s="27">
        <v>0.2</v>
      </c>
      <c r="AL175" s="27">
        <v>55.9</v>
      </c>
      <c r="AM175" s="27">
        <v>0</v>
      </c>
    </row>
    <row r="176" spans="1:39" x14ac:dyDescent="0.25">
      <c r="A176" s="10">
        <v>175</v>
      </c>
      <c r="B176" s="9" t="s">
        <v>243</v>
      </c>
      <c r="C176" s="9" t="s">
        <v>276</v>
      </c>
      <c r="D176" s="10">
        <v>2</v>
      </c>
      <c r="E176" s="11">
        <v>85</v>
      </c>
      <c r="F176" s="17">
        <v>78</v>
      </c>
      <c r="G176" s="17">
        <v>1.3</v>
      </c>
      <c r="H176" s="17">
        <v>18.899999999999999</v>
      </c>
      <c r="I176" s="17">
        <v>1.4</v>
      </c>
      <c r="J176" s="27">
        <v>0</v>
      </c>
      <c r="K176" s="17">
        <v>0</v>
      </c>
      <c r="L176" s="17">
        <v>0.4</v>
      </c>
      <c r="M176" s="19">
        <v>0.28000000000000003</v>
      </c>
      <c r="N176" s="19">
        <v>0.23</v>
      </c>
      <c r="O176" s="19">
        <v>0.33</v>
      </c>
      <c r="P176" s="28">
        <v>0</v>
      </c>
      <c r="Q176" s="17">
        <v>48.2</v>
      </c>
      <c r="R176" s="17">
        <v>9.4</v>
      </c>
      <c r="S176" s="17">
        <v>1.7</v>
      </c>
      <c r="T176" s="27">
        <v>4</v>
      </c>
      <c r="U176" s="27">
        <v>0.9</v>
      </c>
      <c r="V176" s="27">
        <v>0.1</v>
      </c>
      <c r="W176" s="17">
        <v>0.1</v>
      </c>
      <c r="X176" s="17">
        <v>0.1</v>
      </c>
      <c r="Y176" s="17">
        <v>2.9</v>
      </c>
      <c r="Z176" s="17">
        <v>0.3</v>
      </c>
      <c r="AA176" s="17">
        <v>0.5</v>
      </c>
      <c r="AB176" s="17">
        <v>1.5</v>
      </c>
      <c r="AC176" s="17">
        <v>8</v>
      </c>
      <c r="AD176" s="17">
        <v>81.2</v>
      </c>
      <c r="AE176" s="17">
        <v>361</v>
      </c>
      <c r="AF176" s="17">
        <v>40</v>
      </c>
      <c r="AG176" s="17">
        <v>173</v>
      </c>
      <c r="AH176" s="17">
        <v>31.8</v>
      </c>
      <c r="AI176" s="17">
        <v>1.7</v>
      </c>
      <c r="AJ176" s="17">
        <v>0.5</v>
      </c>
      <c r="AK176" s="17">
        <v>0</v>
      </c>
      <c r="AL176" s="27">
        <v>38.1</v>
      </c>
      <c r="AM176" s="27">
        <v>0</v>
      </c>
    </row>
    <row r="177" spans="1:39" x14ac:dyDescent="0.25">
      <c r="A177" s="10">
        <v>176</v>
      </c>
      <c r="B177" s="9" t="s">
        <v>243</v>
      </c>
      <c r="C177" s="9" t="s">
        <v>277</v>
      </c>
      <c r="D177" s="10">
        <v>1</v>
      </c>
      <c r="E177" s="11">
        <v>70</v>
      </c>
      <c r="F177" s="17">
        <v>84.6</v>
      </c>
      <c r="G177" s="17">
        <v>1.2</v>
      </c>
      <c r="H177" s="17">
        <v>12.4</v>
      </c>
      <c r="I177" s="17">
        <v>0</v>
      </c>
      <c r="J177" s="17">
        <v>0</v>
      </c>
      <c r="K177" s="17">
        <v>0</v>
      </c>
      <c r="L177" s="17">
        <v>1.9</v>
      </c>
      <c r="M177" s="19">
        <v>0.44</v>
      </c>
      <c r="N177" s="19">
        <v>0.54</v>
      </c>
      <c r="O177" s="19">
        <v>0.37</v>
      </c>
      <c r="P177" s="28">
        <v>0.01</v>
      </c>
      <c r="Q177" s="17">
        <v>45</v>
      </c>
      <c r="R177" s="17">
        <v>10</v>
      </c>
      <c r="S177" s="17">
        <v>0</v>
      </c>
      <c r="T177" s="17">
        <v>2.8</v>
      </c>
      <c r="U177" s="17">
        <v>0.6</v>
      </c>
      <c r="V177" s="17">
        <v>0.1</v>
      </c>
      <c r="W177" s="17">
        <v>0</v>
      </c>
      <c r="X177" s="17">
        <v>0</v>
      </c>
      <c r="Y177" s="17">
        <v>1</v>
      </c>
      <c r="Z177" s="17">
        <v>0.1</v>
      </c>
      <c r="AA177" s="17">
        <v>0.2</v>
      </c>
      <c r="AB177" s="17">
        <v>1.1000000000000001</v>
      </c>
      <c r="AC177" s="17">
        <v>5</v>
      </c>
      <c r="AD177" s="17">
        <v>296</v>
      </c>
      <c r="AE177" s="17">
        <v>160</v>
      </c>
      <c r="AF177" s="17">
        <v>21</v>
      </c>
      <c r="AG177" s="17">
        <v>252</v>
      </c>
      <c r="AH177" s="17">
        <v>18</v>
      </c>
      <c r="AI177" s="17">
        <v>0.2</v>
      </c>
      <c r="AJ177" s="17">
        <v>0.3</v>
      </c>
      <c r="AK177" s="17">
        <v>0</v>
      </c>
      <c r="AL177" s="17">
        <v>26.6</v>
      </c>
      <c r="AM177" s="27">
        <v>0</v>
      </c>
    </row>
    <row r="178" spans="1:39" x14ac:dyDescent="0.25">
      <c r="A178" s="10">
        <v>177</v>
      </c>
      <c r="B178" s="9" t="s">
        <v>243</v>
      </c>
      <c r="C178" s="9" t="s">
        <v>278</v>
      </c>
      <c r="D178" s="10">
        <v>1</v>
      </c>
      <c r="E178" s="11">
        <v>89</v>
      </c>
      <c r="F178" s="17">
        <v>78.900000000000006</v>
      </c>
      <c r="G178" s="17">
        <v>1.4</v>
      </c>
      <c r="H178" s="17">
        <v>18.600000000000001</v>
      </c>
      <c r="I178" s="17">
        <v>0</v>
      </c>
      <c r="J178" s="27">
        <v>0</v>
      </c>
      <c r="K178" s="17">
        <v>0</v>
      </c>
      <c r="L178" s="17">
        <v>1.1000000000000001</v>
      </c>
      <c r="M178" s="19">
        <v>0.18</v>
      </c>
      <c r="N178" s="19">
        <v>0.22</v>
      </c>
      <c r="O178" s="19">
        <v>0.33</v>
      </c>
      <c r="P178" s="22" t="s">
        <v>100</v>
      </c>
      <c r="Q178" s="17">
        <v>139</v>
      </c>
      <c r="R178" s="17">
        <v>18</v>
      </c>
      <c r="S178" s="17">
        <v>3</v>
      </c>
      <c r="T178" s="27">
        <v>1.5</v>
      </c>
      <c r="U178" s="17">
        <v>1.1000000000000001</v>
      </c>
      <c r="V178" s="27">
        <v>0.1</v>
      </c>
      <c r="W178" s="17">
        <v>0.2</v>
      </c>
      <c r="X178" s="17">
        <v>0.1</v>
      </c>
      <c r="Y178" s="17">
        <v>2.4</v>
      </c>
      <c r="Z178" s="17">
        <v>0.2</v>
      </c>
      <c r="AA178" s="17">
        <v>0.4</v>
      </c>
      <c r="AB178" s="17">
        <v>2.7</v>
      </c>
      <c r="AC178" s="17">
        <v>3</v>
      </c>
      <c r="AD178" s="17">
        <v>53</v>
      </c>
      <c r="AE178" s="17">
        <v>274</v>
      </c>
      <c r="AF178" s="17">
        <v>24</v>
      </c>
      <c r="AG178" s="17">
        <v>257</v>
      </c>
      <c r="AH178" s="17">
        <v>25</v>
      </c>
      <c r="AI178" s="17">
        <v>2.5</v>
      </c>
      <c r="AJ178" s="17">
        <v>1.3</v>
      </c>
      <c r="AK178" s="17">
        <v>0.4</v>
      </c>
      <c r="AL178" s="17">
        <v>80</v>
      </c>
      <c r="AM178" s="27">
        <v>0</v>
      </c>
    </row>
    <row r="179" spans="1:39" x14ac:dyDescent="0.25">
      <c r="A179" s="10">
        <v>178</v>
      </c>
      <c r="B179" s="9" t="s">
        <v>243</v>
      </c>
      <c r="C179" s="9" t="s">
        <v>279</v>
      </c>
      <c r="D179" s="10">
        <v>2</v>
      </c>
      <c r="E179" s="11">
        <v>239</v>
      </c>
      <c r="F179" s="17">
        <v>65.099999999999994</v>
      </c>
      <c r="G179" s="17">
        <v>0.9</v>
      </c>
      <c r="H179" s="17">
        <v>12.2</v>
      </c>
      <c r="I179" s="17">
        <v>1.3</v>
      </c>
      <c r="J179" s="22" t="s">
        <v>100</v>
      </c>
      <c r="K179" s="17">
        <v>0</v>
      </c>
      <c r="L179" s="17">
        <v>20.5</v>
      </c>
      <c r="M179" s="28">
        <v>4.68</v>
      </c>
      <c r="N179" s="28">
        <v>4.0599999999999996</v>
      </c>
      <c r="O179" s="28">
        <v>6.45</v>
      </c>
      <c r="P179" s="22" t="s">
        <v>100</v>
      </c>
      <c r="Q179" s="17">
        <v>41.8</v>
      </c>
      <c r="R179" s="27">
        <v>72.2</v>
      </c>
      <c r="S179" s="27">
        <v>0</v>
      </c>
      <c r="T179" s="22" t="s">
        <v>100</v>
      </c>
      <c r="U179" s="22" t="s">
        <v>100</v>
      </c>
      <c r="V179" s="22" t="s">
        <v>100</v>
      </c>
      <c r="W179" s="27">
        <v>0.1</v>
      </c>
      <c r="X179" s="27">
        <v>0</v>
      </c>
      <c r="Y179" s="27">
        <v>0.5</v>
      </c>
      <c r="Z179" s="27">
        <v>0.5</v>
      </c>
      <c r="AA179" s="27">
        <v>1.3</v>
      </c>
      <c r="AB179" s="27">
        <v>1</v>
      </c>
      <c r="AC179" s="27">
        <v>15.1</v>
      </c>
      <c r="AD179" s="17">
        <v>64</v>
      </c>
      <c r="AE179" s="17">
        <v>244</v>
      </c>
      <c r="AF179" s="27">
        <v>45.3</v>
      </c>
      <c r="AG179" s="27">
        <v>272.10000000000002</v>
      </c>
      <c r="AH179" s="27">
        <v>52.1</v>
      </c>
      <c r="AI179" s="27">
        <v>1.5</v>
      </c>
      <c r="AJ179" s="27">
        <v>0.8</v>
      </c>
      <c r="AK179" s="27">
        <v>0</v>
      </c>
      <c r="AL179" s="27">
        <v>61.3</v>
      </c>
      <c r="AM179" s="27">
        <v>0</v>
      </c>
    </row>
    <row r="180" spans="1:39" x14ac:dyDescent="0.25">
      <c r="A180" s="10">
        <v>179</v>
      </c>
      <c r="B180" s="9" t="s">
        <v>243</v>
      </c>
      <c r="C180" s="9" t="s">
        <v>280</v>
      </c>
      <c r="D180" s="10">
        <v>2</v>
      </c>
      <c r="E180" s="11">
        <v>89</v>
      </c>
      <c r="F180" s="17">
        <v>76.900000000000006</v>
      </c>
      <c r="G180" s="17">
        <v>1.2</v>
      </c>
      <c r="H180" s="17">
        <v>21.3</v>
      </c>
      <c r="I180" s="17">
        <v>0.3</v>
      </c>
      <c r="J180" s="27">
        <v>0</v>
      </c>
      <c r="K180" s="17">
        <v>0</v>
      </c>
      <c r="L180" s="17">
        <v>0.3</v>
      </c>
      <c r="M180" s="28">
        <v>0.06</v>
      </c>
      <c r="N180" s="28">
        <v>0.04</v>
      </c>
      <c r="O180" s="28">
        <v>0.1</v>
      </c>
      <c r="P180" s="22" t="s">
        <v>100</v>
      </c>
      <c r="Q180" s="17">
        <v>37.1</v>
      </c>
      <c r="R180" s="27">
        <v>14.8</v>
      </c>
      <c r="S180" s="27">
        <v>1.2</v>
      </c>
      <c r="T180" s="27">
        <v>1.1000000000000001</v>
      </c>
      <c r="U180" s="27">
        <v>0.8</v>
      </c>
      <c r="V180" s="27">
        <v>0.1</v>
      </c>
      <c r="W180" s="27">
        <v>0.1</v>
      </c>
      <c r="X180" s="27">
        <v>0.1</v>
      </c>
      <c r="Y180" s="27">
        <v>2.5</v>
      </c>
      <c r="Z180" s="27">
        <v>0.3</v>
      </c>
      <c r="AA180" s="27">
        <v>0.2</v>
      </c>
      <c r="AB180" s="27">
        <v>1.1000000000000001</v>
      </c>
      <c r="AC180" s="27">
        <v>8.6</v>
      </c>
      <c r="AD180" s="17">
        <v>120</v>
      </c>
      <c r="AE180" s="17">
        <v>356</v>
      </c>
      <c r="AF180" s="17">
        <v>19</v>
      </c>
      <c r="AG180" s="17">
        <v>184</v>
      </c>
      <c r="AH180" s="27">
        <v>39.4</v>
      </c>
      <c r="AI180" s="17">
        <v>2.2999999999999998</v>
      </c>
      <c r="AJ180" s="27">
        <v>0.6</v>
      </c>
      <c r="AK180" s="27">
        <v>0</v>
      </c>
      <c r="AL180" s="27">
        <v>40.700000000000003</v>
      </c>
      <c r="AM180" s="27">
        <v>0</v>
      </c>
    </row>
    <row r="181" spans="1:39" x14ac:dyDescent="0.25">
      <c r="A181" s="10">
        <v>180</v>
      </c>
      <c r="B181" s="9" t="s">
        <v>243</v>
      </c>
      <c r="C181" s="9" t="s">
        <v>281</v>
      </c>
      <c r="D181" s="10">
        <v>2</v>
      </c>
      <c r="E181" s="11">
        <v>103</v>
      </c>
      <c r="F181" s="17">
        <v>76.099999999999994</v>
      </c>
      <c r="G181" s="17">
        <v>1.7</v>
      </c>
      <c r="H181" s="17">
        <v>16.399999999999999</v>
      </c>
      <c r="I181" s="17">
        <v>2.9</v>
      </c>
      <c r="J181" s="27">
        <v>0</v>
      </c>
      <c r="K181" s="17">
        <v>0</v>
      </c>
      <c r="L181" s="17">
        <v>2.9</v>
      </c>
      <c r="M181" s="28">
        <v>0.54</v>
      </c>
      <c r="N181" s="28">
        <v>0.77</v>
      </c>
      <c r="O181" s="28">
        <v>1.06</v>
      </c>
      <c r="P181" s="22" t="s">
        <v>100</v>
      </c>
      <c r="Q181" s="17">
        <v>111.5</v>
      </c>
      <c r="R181" s="27">
        <v>16.899999999999999</v>
      </c>
      <c r="S181" s="27">
        <v>0</v>
      </c>
      <c r="T181" s="27">
        <v>0.9</v>
      </c>
      <c r="U181" s="27">
        <v>0.6</v>
      </c>
      <c r="V181" s="27">
        <v>0.1</v>
      </c>
      <c r="W181" s="27">
        <v>0</v>
      </c>
      <c r="X181" s="27">
        <v>0.1</v>
      </c>
      <c r="Y181" s="27">
        <v>1.6</v>
      </c>
      <c r="Z181" s="27">
        <v>0.2</v>
      </c>
      <c r="AA181" s="27">
        <v>0.7</v>
      </c>
      <c r="AB181" s="27">
        <v>3.9</v>
      </c>
      <c r="AC181" s="27">
        <v>4.5</v>
      </c>
      <c r="AD181" s="17">
        <v>112</v>
      </c>
      <c r="AE181" s="17">
        <v>342</v>
      </c>
      <c r="AF181" s="27">
        <v>67.5</v>
      </c>
      <c r="AG181" s="27">
        <v>258.89999999999998</v>
      </c>
      <c r="AH181" s="27">
        <v>33.799999999999997</v>
      </c>
      <c r="AI181" s="27">
        <v>1</v>
      </c>
      <c r="AJ181" s="27">
        <v>1.9</v>
      </c>
      <c r="AK181" s="27">
        <v>0.2</v>
      </c>
      <c r="AL181" s="27">
        <v>41.1</v>
      </c>
      <c r="AM181" s="27">
        <v>0</v>
      </c>
    </row>
    <row r="182" spans="1:39" x14ac:dyDescent="0.25">
      <c r="A182" s="10">
        <v>181</v>
      </c>
      <c r="B182" s="9" t="s">
        <v>243</v>
      </c>
      <c r="C182" s="9" t="s">
        <v>282</v>
      </c>
      <c r="D182" s="10">
        <v>2</v>
      </c>
      <c r="E182" s="11">
        <v>105</v>
      </c>
      <c r="F182" s="17">
        <v>75.400000000000006</v>
      </c>
      <c r="G182" s="17">
        <v>1.7</v>
      </c>
      <c r="H182" s="17">
        <v>19.3</v>
      </c>
      <c r="I182" s="17">
        <v>0.9</v>
      </c>
      <c r="J182" s="27">
        <v>0</v>
      </c>
      <c r="K182" s="17">
        <v>0</v>
      </c>
      <c r="L182" s="17">
        <v>2.7</v>
      </c>
      <c r="M182" s="28">
        <v>1</v>
      </c>
      <c r="N182" s="28">
        <v>0.74</v>
      </c>
      <c r="O182" s="28">
        <v>0.32</v>
      </c>
      <c r="P182" s="22" t="s">
        <v>100</v>
      </c>
      <c r="Q182" s="27">
        <v>50</v>
      </c>
      <c r="R182" s="27">
        <v>34.1</v>
      </c>
      <c r="S182" s="27">
        <v>0</v>
      </c>
      <c r="T182" s="27">
        <v>9.4</v>
      </c>
      <c r="U182" s="27">
        <v>0.2</v>
      </c>
      <c r="V182" s="27">
        <v>0.1</v>
      </c>
      <c r="W182" s="27">
        <v>0.5</v>
      </c>
      <c r="X182" s="27">
        <v>0.1</v>
      </c>
      <c r="Y182" s="27">
        <v>2.6</v>
      </c>
      <c r="Z182" s="27">
        <v>0.2</v>
      </c>
      <c r="AA182" s="27">
        <v>0.6</v>
      </c>
      <c r="AB182" s="27">
        <v>1.1000000000000001</v>
      </c>
      <c r="AC182" s="27">
        <v>12.8</v>
      </c>
      <c r="AD182" s="17">
        <v>142</v>
      </c>
      <c r="AE182" s="17">
        <v>199</v>
      </c>
      <c r="AF182" s="17">
        <v>45</v>
      </c>
      <c r="AG182" s="17">
        <v>348</v>
      </c>
      <c r="AH182" s="27">
        <v>23</v>
      </c>
      <c r="AI182" s="17">
        <v>1.2</v>
      </c>
      <c r="AJ182" s="27">
        <v>0.6</v>
      </c>
      <c r="AK182" s="27">
        <v>0</v>
      </c>
      <c r="AL182" s="27">
        <v>31.1</v>
      </c>
      <c r="AM182" s="27">
        <v>0</v>
      </c>
    </row>
    <row r="183" spans="1:39" x14ac:dyDescent="0.25">
      <c r="A183" s="10">
        <v>182</v>
      </c>
      <c r="B183" s="9" t="s">
        <v>243</v>
      </c>
      <c r="C183" s="9" t="s">
        <v>283</v>
      </c>
      <c r="D183" s="10">
        <v>2</v>
      </c>
      <c r="E183" s="11">
        <v>88</v>
      </c>
      <c r="F183" s="17">
        <v>78.2</v>
      </c>
      <c r="G183" s="17">
        <v>1.1000000000000001</v>
      </c>
      <c r="H183" s="17">
        <v>18.2</v>
      </c>
      <c r="I183" s="17">
        <v>1.4</v>
      </c>
      <c r="J183" s="27">
        <v>0</v>
      </c>
      <c r="K183" s="17">
        <v>0</v>
      </c>
      <c r="L183" s="17">
        <v>1.1000000000000001</v>
      </c>
      <c r="M183" s="28">
        <v>0.38</v>
      </c>
      <c r="N183" s="28">
        <v>0.4</v>
      </c>
      <c r="O183" s="28">
        <v>0.16</v>
      </c>
      <c r="P183" s="22" t="s">
        <v>100</v>
      </c>
      <c r="Q183" s="27">
        <v>61</v>
      </c>
      <c r="R183" s="27">
        <v>11.9</v>
      </c>
      <c r="S183" s="27">
        <v>0</v>
      </c>
      <c r="T183" s="27">
        <v>0.7</v>
      </c>
      <c r="U183" s="27">
        <v>1.3</v>
      </c>
      <c r="V183" s="27">
        <v>0.1</v>
      </c>
      <c r="W183" s="27">
        <v>0.1</v>
      </c>
      <c r="X183" s="27">
        <v>0.1</v>
      </c>
      <c r="Y183" s="27">
        <v>4.2</v>
      </c>
      <c r="Z183" s="27">
        <v>0.3</v>
      </c>
      <c r="AA183" s="27">
        <v>0.7</v>
      </c>
      <c r="AB183" s="27">
        <v>2.5</v>
      </c>
      <c r="AC183" s="27">
        <v>14.9</v>
      </c>
      <c r="AD183" s="27">
        <v>55.6</v>
      </c>
      <c r="AE183" s="27">
        <v>342.3</v>
      </c>
      <c r="AF183" s="17">
        <v>31</v>
      </c>
      <c r="AG183" s="17">
        <v>172</v>
      </c>
      <c r="AH183" s="27">
        <v>39.700000000000003</v>
      </c>
      <c r="AI183" s="17">
        <v>1.9</v>
      </c>
      <c r="AJ183" s="27">
        <v>0.4</v>
      </c>
      <c r="AK183" s="27">
        <v>0</v>
      </c>
      <c r="AL183" s="27">
        <v>36.200000000000003</v>
      </c>
      <c r="AM183" s="27">
        <v>0</v>
      </c>
    </row>
    <row r="184" spans="1:39" x14ac:dyDescent="0.25">
      <c r="A184" s="10">
        <v>183</v>
      </c>
      <c r="B184" s="9" t="s">
        <v>243</v>
      </c>
      <c r="C184" s="9" t="s">
        <v>284</v>
      </c>
      <c r="D184" s="10">
        <v>3</v>
      </c>
      <c r="E184" s="11">
        <v>290</v>
      </c>
      <c r="F184" s="17">
        <v>56.1</v>
      </c>
      <c r="G184" s="17">
        <v>1</v>
      </c>
      <c r="H184" s="17">
        <v>19.100000000000001</v>
      </c>
      <c r="I184" s="17">
        <v>0.3</v>
      </c>
      <c r="J184" s="17">
        <v>0.2</v>
      </c>
      <c r="K184" s="22" t="s">
        <v>100</v>
      </c>
      <c r="L184" s="17">
        <v>23.6</v>
      </c>
      <c r="M184" s="19">
        <v>3.91</v>
      </c>
      <c r="N184" s="19">
        <v>10.79</v>
      </c>
      <c r="O184" s="19">
        <v>6.53</v>
      </c>
      <c r="P184" s="19">
        <v>0.1</v>
      </c>
      <c r="Q184" s="17">
        <v>58.4</v>
      </c>
      <c r="R184" s="27">
        <v>83.3</v>
      </c>
      <c r="S184" s="27">
        <v>1.6</v>
      </c>
      <c r="T184" s="22" t="s">
        <v>100</v>
      </c>
      <c r="U184" s="22" t="s">
        <v>100</v>
      </c>
      <c r="V184" s="22" t="s">
        <v>100</v>
      </c>
      <c r="W184" s="27">
        <v>0.1</v>
      </c>
      <c r="X184" s="27">
        <v>0.2</v>
      </c>
      <c r="Y184" s="27">
        <v>10.1</v>
      </c>
      <c r="Z184" s="27">
        <v>1</v>
      </c>
      <c r="AA184" s="27">
        <v>1.7</v>
      </c>
      <c r="AB184" s="27">
        <v>4</v>
      </c>
      <c r="AC184" s="27">
        <v>19.3</v>
      </c>
      <c r="AD184" s="17">
        <v>66</v>
      </c>
      <c r="AE184" s="27">
        <v>669</v>
      </c>
      <c r="AF184" s="27">
        <v>17.8</v>
      </c>
      <c r="AG184" s="27">
        <v>434.1</v>
      </c>
      <c r="AH184" s="27">
        <v>46.1</v>
      </c>
      <c r="AI184" s="27">
        <v>0.5</v>
      </c>
      <c r="AJ184" s="27">
        <v>0.6</v>
      </c>
      <c r="AK184" s="27">
        <v>0.1</v>
      </c>
      <c r="AL184" s="27">
        <v>18.7</v>
      </c>
      <c r="AM184" s="27">
        <v>0</v>
      </c>
    </row>
    <row r="185" spans="1:39" x14ac:dyDescent="0.25">
      <c r="A185" s="10">
        <v>184</v>
      </c>
      <c r="B185" s="9" t="s">
        <v>243</v>
      </c>
      <c r="C185" s="9" t="s">
        <v>285</v>
      </c>
      <c r="D185" s="10">
        <v>1</v>
      </c>
      <c r="E185" s="11">
        <v>146</v>
      </c>
      <c r="F185" s="17">
        <v>71.3</v>
      </c>
      <c r="G185" s="17">
        <v>1.2</v>
      </c>
      <c r="H185" s="17">
        <v>21.6</v>
      </c>
      <c r="I185" s="17">
        <v>0</v>
      </c>
      <c r="J185" s="17">
        <v>0</v>
      </c>
      <c r="K185" s="17">
        <v>0</v>
      </c>
      <c r="L185" s="17">
        <v>5.9</v>
      </c>
      <c r="M185" s="19">
        <v>1.26</v>
      </c>
      <c r="N185" s="19">
        <v>2.13</v>
      </c>
      <c r="O185" s="19">
        <v>1.99</v>
      </c>
      <c r="P185" s="22" t="s">
        <v>100</v>
      </c>
      <c r="Q185" s="17">
        <v>45</v>
      </c>
      <c r="R185" s="17">
        <v>40</v>
      </c>
      <c r="S185" s="17">
        <v>1</v>
      </c>
      <c r="T185" s="17">
        <v>9</v>
      </c>
      <c r="U185" s="17">
        <v>0.7</v>
      </c>
      <c r="V185" s="17">
        <v>0.1</v>
      </c>
      <c r="W185" s="17">
        <v>0.1</v>
      </c>
      <c r="X185" s="17">
        <v>0.1</v>
      </c>
      <c r="Y185" s="17">
        <v>7.2</v>
      </c>
      <c r="Z185" s="17">
        <v>0.5</v>
      </c>
      <c r="AA185" s="17">
        <v>0.8</v>
      </c>
      <c r="AB185" s="17">
        <v>4.2</v>
      </c>
      <c r="AC185" s="17">
        <v>9</v>
      </c>
      <c r="AD185" s="17">
        <v>46</v>
      </c>
      <c r="AE185" s="17">
        <v>423</v>
      </c>
      <c r="AF185" s="17">
        <v>36</v>
      </c>
      <c r="AG185" s="17">
        <v>262</v>
      </c>
      <c r="AH185" s="17">
        <v>31</v>
      </c>
      <c r="AI185" s="17">
        <v>0.6</v>
      </c>
      <c r="AJ185" s="17">
        <v>0.4</v>
      </c>
      <c r="AK185" s="17">
        <v>0.1</v>
      </c>
      <c r="AL185" s="17">
        <v>36.5</v>
      </c>
      <c r="AM185" s="27">
        <v>0</v>
      </c>
    </row>
    <row r="186" spans="1:39" x14ac:dyDescent="0.25">
      <c r="A186" s="10">
        <v>185</v>
      </c>
      <c r="B186" s="9" t="s">
        <v>243</v>
      </c>
      <c r="C186" s="9" t="s">
        <v>286</v>
      </c>
      <c r="D186" s="10">
        <v>3</v>
      </c>
      <c r="E186" s="11">
        <v>165</v>
      </c>
      <c r="F186" s="17">
        <v>69.099999999999994</v>
      </c>
      <c r="G186" s="17">
        <v>1</v>
      </c>
      <c r="H186" s="17">
        <v>20.6</v>
      </c>
      <c r="I186" s="17">
        <v>0.3</v>
      </c>
      <c r="J186" s="17">
        <v>0.3</v>
      </c>
      <c r="K186" s="22" t="s">
        <v>100</v>
      </c>
      <c r="L186" s="17">
        <v>9</v>
      </c>
      <c r="M186" s="19">
        <v>2.08</v>
      </c>
      <c r="N186" s="19">
        <v>4.6900000000000004</v>
      </c>
      <c r="O186" s="19">
        <v>1.36</v>
      </c>
      <c r="P186" s="19">
        <v>0</v>
      </c>
      <c r="Q186" s="17">
        <v>59</v>
      </c>
      <c r="R186" s="27">
        <v>51</v>
      </c>
      <c r="S186" s="27">
        <v>3.4</v>
      </c>
      <c r="T186" s="27">
        <v>9.6999999999999993</v>
      </c>
      <c r="U186" s="27">
        <v>3.1</v>
      </c>
      <c r="V186" s="27">
        <v>0.4</v>
      </c>
      <c r="W186" s="27">
        <v>0.2</v>
      </c>
      <c r="X186" s="27">
        <v>0.1</v>
      </c>
      <c r="Y186" s="27">
        <v>7.6</v>
      </c>
      <c r="Z186" s="27">
        <v>0.6</v>
      </c>
      <c r="AA186" s="27">
        <v>1.4</v>
      </c>
      <c r="AB186" s="27">
        <v>2.8</v>
      </c>
      <c r="AC186" s="27">
        <v>22.9</v>
      </c>
      <c r="AD186" s="17">
        <v>87</v>
      </c>
      <c r="AE186" s="27">
        <v>319.5</v>
      </c>
      <c r="AF186" s="27">
        <v>7.9</v>
      </c>
      <c r="AG186" s="27">
        <v>211.2</v>
      </c>
      <c r="AH186" s="27">
        <v>23.8</v>
      </c>
      <c r="AI186" s="27">
        <v>0.3</v>
      </c>
      <c r="AJ186" s="27">
        <v>0.3</v>
      </c>
      <c r="AK186" s="27">
        <v>0</v>
      </c>
      <c r="AL186" s="27">
        <v>21.1</v>
      </c>
      <c r="AM186" s="27">
        <v>0</v>
      </c>
    </row>
    <row r="187" spans="1:39" x14ac:dyDescent="0.25">
      <c r="A187" s="10">
        <v>186</v>
      </c>
      <c r="B187" s="9" t="s">
        <v>243</v>
      </c>
      <c r="C187" s="9" t="s">
        <v>287</v>
      </c>
      <c r="D187" s="10">
        <v>2</v>
      </c>
      <c r="E187" s="11">
        <v>309</v>
      </c>
      <c r="F187" s="17">
        <v>50.8</v>
      </c>
      <c r="G187" s="17">
        <v>2.8</v>
      </c>
      <c r="H187" s="17">
        <v>21.2</v>
      </c>
      <c r="I187" s="17">
        <v>0.6</v>
      </c>
      <c r="J187" s="27">
        <v>0</v>
      </c>
      <c r="K187" s="17">
        <v>0</v>
      </c>
      <c r="L187" s="17">
        <v>24.6</v>
      </c>
      <c r="M187" s="28">
        <v>3.28</v>
      </c>
      <c r="N187" s="28">
        <v>8.31</v>
      </c>
      <c r="O187" s="28">
        <v>11.06</v>
      </c>
      <c r="P187" s="22" t="s">
        <v>100</v>
      </c>
      <c r="Q187" s="17">
        <v>61.3</v>
      </c>
      <c r="R187" s="27">
        <v>39</v>
      </c>
      <c r="S187" s="27">
        <v>0</v>
      </c>
      <c r="T187" s="27">
        <v>5.8</v>
      </c>
      <c r="U187" s="27">
        <v>2.5</v>
      </c>
      <c r="V187" s="27">
        <v>3.2</v>
      </c>
      <c r="W187" s="17">
        <v>0.1</v>
      </c>
      <c r="X187" s="17">
        <v>0.2</v>
      </c>
      <c r="Y187" s="27">
        <v>6.4</v>
      </c>
      <c r="Z187" s="27">
        <v>0.2</v>
      </c>
      <c r="AA187" s="27">
        <v>0.8</v>
      </c>
      <c r="AB187" s="27">
        <v>10.9</v>
      </c>
      <c r="AC187" s="27">
        <v>12.2</v>
      </c>
      <c r="AD187" s="17">
        <v>443</v>
      </c>
      <c r="AE187" s="17">
        <v>359</v>
      </c>
      <c r="AF187" s="17">
        <v>374</v>
      </c>
      <c r="AG187" s="17">
        <v>294</v>
      </c>
      <c r="AH187" s="27">
        <v>47.5</v>
      </c>
      <c r="AI187" s="17">
        <v>3.4</v>
      </c>
      <c r="AJ187" s="27">
        <v>1.6</v>
      </c>
      <c r="AK187" s="27">
        <v>0.2</v>
      </c>
      <c r="AL187" s="27">
        <v>64.2</v>
      </c>
      <c r="AM187" s="27">
        <v>0</v>
      </c>
    </row>
    <row r="188" spans="1:39" x14ac:dyDescent="0.25">
      <c r="A188" s="10">
        <v>187</v>
      </c>
      <c r="B188" s="9" t="s">
        <v>243</v>
      </c>
      <c r="C188" s="9" t="s">
        <v>288</v>
      </c>
      <c r="D188" s="10">
        <v>2</v>
      </c>
      <c r="E188" s="11">
        <v>169</v>
      </c>
      <c r="F188" s="17">
        <v>68.400000000000006</v>
      </c>
      <c r="G188" s="17">
        <v>1.5</v>
      </c>
      <c r="H188" s="17">
        <v>17.100000000000001</v>
      </c>
      <c r="I188" s="17">
        <v>2.2999999999999998</v>
      </c>
      <c r="J188" s="27">
        <v>0</v>
      </c>
      <c r="K188" s="17">
        <v>0</v>
      </c>
      <c r="L188" s="17">
        <v>10.199999999999999</v>
      </c>
      <c r="M188" s="28">
        <v>1.36</v>
      </c>
      <c r="N188" s="28">
        <v>3.45</v>
      </c>
      <c r="O188" s="28">
        <v>4.59</v>
      </c>
      <c r="P188" s="22" t="s">
        <v>100</v>
      </c>
      <c r="Q188" s="17">
        <v>61.3</v>
      </c>
      <c r="R188" s="27">
        <v>25</v>
      </c>
      <c r="S188" s="27">
        <v>0</v>
      </c>
      <c r="T188" s="27">
        <v>3.8</v>
      </c>
      <c r="U188" s="27">
        <v>1.6</v>
      </c>
      <c r="V188" s="27">
        <v>2</v>
      </c>
      <c r="W188" s="27">
        <v>0.1</v>
      </c>
      <c r="X188" s="27">
        <v>0.2</v>
      </c>
      <c r="Y188" s="27">
        <v>4.0999999999999996</v>
      </c>
      <c r="Z188" s="27">
        <v>0.1</v>
      </c>
      <c r="AA188" s="27">
        <v>0.5</v>
      </c>
      <c r="AB188" s="27">
        <v>7</v>
      </c>
      <c r="AC188" s="27">
        <v>7.8</v>
      </c>
      <c r="AD188" s="17">
        <v>129</v>
      </c>
      <c r="AE188" s="17">
        <v>312</v>
      </c>
      <c r="AF188" s="27">
        <v>298.89999999999998</v>
      </c>
      <c r="AG188" s="27">
        <v>383.4</v>
      </c>
      <c r="AH188" s="27">
        <v>30.5</v>
      </c>
      <c r="AI188" s="27">
        <v>2.2999999999999998</v>
      </c>
      <c r="AJ188" s="27">
        <v>1</v>
      </c>
      <c r="AK188" s="27">
        <v>0.1</v>
      </c>
      <c r="AL188" s="27">
        <v>41.2</v>
      </c>
      <c r="AM188" s="27">
        <v>0</v>
      </c>
    </row>
    <row r="189" spans="1:39" x14ac:dyDescent="0.25">
      <c r="A189" s="10">
        <v>188</v>
      </c>
      <c r="B189" s="9" t="s">
        <v>243</v>
      </c>
      <c r="C189" s="9" t="s">
        <v>289</v>
      </c>
      <c r="D189" s="10">
        <v>2</v>
      </c>
      <c r="E189" s="11">
        <v>156</v>
      </c>
      <c r="F189" s="17">
        <v>65.599999999999994</v>
      </c>
      <c r="G189" s="17">
        <v>1.3</v>
      </c>
      <c r="H189" s="17">
        <v>22.1</v>
      </c>
      <c r="I189" s="17">
        <v>6.3</v>
      </c>
      <c r="J189" s="27">
        <v>0</v>
      </c>
      <c r="K189" s="17">
        <v>0</v>
      </c>
      <c r="L189" s="17">
        <v>4.7</v>
      </c>
      <c r="M189" s="28">
        <v>1.36</v>
      </c>
      <c r="N189" s="28">
        <v>1.1399999999999999</v>
      </c>
      <c r="O189" s="28">
        <v>1.3</v>
      </c>
      <c r="P189" s="22" t="s">
        <v>100</v>
      </c>
      <c r="Q189" s="27">
        <v>76</v>
      </c>
      <c r="R189" s="27">
        <v>47.4</v>
      </c>
      <c r="S189" s="27">
        <v>1.9</v>
      </c>
      <c r="T189" s="27">
        <v>8.9</v>
      </c>
      <c r="U189" s="27">
        <v>0.8</v>
      </c>
      <c r="V189" s="27">
        <v>0.1</v>
      </c>
      <c r="W189" s="17">
        <v>0.1</v>
      </c>
      <c r="X189" s="17">
        <v>0.1</v>
      </c>
      <c r="Y189" s="27">
        <v>2.8</v>
      </c>
      <c r="Z189" s="27">
        <v>0.5</v>
      </c>
      <c r="AA189" s="27">
        <v>0.9</v>
      </c>
      <c r="AB189" s="27">
        <v>2.9</v>
      </c>
      <c r="AC189" s="27">
        <v>1.2</v>
      </c>
      <c r="AD189" s="27">
        <v>71.599999999999994</v>
      </c>
      <c r="AE189" s="27">
        <v>541.6</v>
      </c>
      <c r="AF189" s="17">
        <v>59</v>
      </c>
      <c r="AG189" s="17">
        <v>247</v>
      </c>
      <c r="AH189" s="27">
        <v>40.1</v>
      </c>
      <c r="AI189" s="17">
        <v>1.2</v>
      </c>
      <c r="AJ189" s="27">
        <v>0.6</v>
      </c>
      <c r="AK189" s="27">
        <v>0.1</v>
      </c>
      <c r="AL189" s="27">
        <v>44.3</v>
      </c>
      <c r="AM189" s="27">
        <v>0</v>
      </c>
    </row>
    <row r="190" spans="1:39" x14ac:dyDescent="0.25">
      <c r="A190" s="10">
        <v>189</v>
      </c>
      <c r="B190" s="9" t="s">
        <v>243</v>
      </c>
      <c r="C190" s="9" t="s">
        <v>290</v>
      </c>
      <c r="D190" s="10">
        <v>3</v>
      </c>
      <c r="E190" s="11">
        <v>189</v>
      </c>
      <c r="F190" s="17">
        <v>66.2</v>
      </c>
      <c r="G190" s="17">
        <v>1.3</v>
      </c>
      <c r="H190" s="17">
        <v>19.5</v>
      </c>
      <c r="I190" s="17">
        <v>1.1000000000000001</v>
      </c>
      <c r="J190" s="27">
        <v>0</v>
      </c>
      <c r="K190" s="17">
        <v>0</v>
      </c>
      <c r="L190" s="17">
        <v>11.9</v>
      </c>
      <c r="M190" s="19">
        <v>3.05</v>
      </c>
      <c r="N190" s="19">
        <v>5.45</v>
      </c>
      <c r="O190" s="19">
        <v>2.16</v>
      </c>
      <c r="P190" s="19">
        <v>0</v>
      </c>
      <c r="Q190" s="17">
        <v>51</v>
      </c>
      <c r="R190" s="27">
        <v>108.4</v>
      </c>
      <c r="S190" s="27">
        <v>3.7</v>
      </c>
      <c r="T190" s="27">
        <v>20.5</v>
      </c>
      <c r="U190" s="27">
        <v>3</v>
      </c>
      <c r="V190" s="27">
        <v>0.1</v>
      </c>
      <c r="W190" s="27">
        <v>0.2</v>
      </c>
      <c r="X190" s="27">
        <v>0.1</v>
      </c>
      <c r="Y190" s="27">
        <v>7.2</v>
      </c>
      <c r="Z190" s="27">
        <v>0.4</v>
      </c>
      <c r="AA190" s="27">
        <v>2.2000000000000002</v>
      </c>
      <c r="AB190" s="27">
        <v>5.5</v>
      </c>
      <c r="AC190" s="27">
        <v>14.2</v>
      </c>
      <c r="AD190" s="17">
        <v>174</v>
      </c>
      <c r="AE190" s="27">
        <v>486.4</v>
      </c>
      <c r="AF190" s="17">
        <v>14</v>
      </c>
      <c r="AG190" s="27">
        <v>291.60000000000002</v>
      </c>
      <c r="AH190" s="27">
        <v>32.299999999999997</v>
      </c>
      <c r="AI190" s="17">
        <v>0.4</v>
      </c>
      <c r="AJ190" s="27">
        <v>0.6</v>
      </c>
      <c r="AK190" s="27">
        <v>0.1</v>
      </c>
      <c r="AL190" s="27">
        <v>30.4</v>
      </c>
      <c r="AM190" s="27">
        <v>0</v>
      </c>
    </row>
    <row r="191" spans="1:39" x14ac:dyDescent="0.25">
      <c r="A191" s="10">
        <v>190</v>
      </c>
      <c r="B191" s="9" t="s">
        <v>243</v>
      </c>
      <c r="C191" s="9" t="s">
        <v>291</v>
      </c>
      <c r="D191" s="10">
        <v>2</v>
      </c>
      <c r="E191" s="11">
        <v>131</v>
      </c>
      <c r="F191" s="17">
        <v>73.099999999999994</v>
      </c>
      <c r="G191" s="17">
        <v>1.2</v>
      </c>
      <c r="H191" s="17">
        <v>19.600000000000001</v>
      </c>
      <c r="I191" s="17">
        <v>0.5</v>
      </c>
      <c r="J191" s="27">
        <v>0</v>
      </c>
      <c r="K191" s="17">
        <v>0</v>
      </c>
      <c r="L191" s="17">
        <v>5.6</v>
      </c>
      <c r="M191" s="19">
        <v>1.61</v>
      </c>
      <c r="N191" s="19">
        <v>2.16</v>
      </c>
      <c r="O191" s="19">
        <v>1.83</v>
      </c>
      <c r="P191" s="28">
        <v>0.04</v>
      </c>
      <c r="Q191" s="17">
        <v>73</v>
      </c>
      <c r="R191" s="27">
        <v>86.2</v>
      </c>
      <c r="S191" s="27">
        <v>3</v>
      </c>
      <c r="T191" s="27">
        <v>16.3</v>
      </c>
      <c r="U191" s="27">
        <v>2.4</v>
      </c>
      <c r="V191" s="27">
        <v>0.1</v>
      </c>
      <c r="W191" s="27">
        <v>0.1</v>
      </c>
      <c r="X191" s="27">
        <v>0.1</v>
      </c>
      <c r="Y191" s="27">
        <v>5.7</v>
      </c>
      <c r="Z191" s="27">
        <v>0.3</v>
      </c>
      <c r="AA191" s="27">
        <v>1.7</v>
      </c>
      <c r="AB191" s="27">
        <v>4.4000000000000004</v>
      </c>
      <c r="AC191" s="27">
        <v>11.3</v>
      </c>
      <c r="AD191" s="17">
        <v>41</v>
      </c>
      <c r="AE191" s="17">
        <v>433</v>
      </c>
      <c r="AF191" s="27">
        <v>25.7</v>
      </c>
      <c r="AG191" s="27">
        <v>232</v>
      </c>
      <c r="AH191" s="27">
        <v>25.7</v>
      </c>
      <c r="AI191" s="27">
        <v>0.3</v>
      </c>
      <c r="AJ191" s="27">
        <v>0.5</v>
      </c>
      <c r="AK191" s="27">
        <v>0</v>
      </c>
      <c r="AL191" s="27">
        <v>24.2</v>
      </c>
      <c r="AM191" s="27">
        <v>0</v>
      </c>
    </row>
    <row r="192" spans="1:39" x14ac:dyDescent="0.25">
      <c r="A192" s="10">
        <v>191</v>
      </c>
      <c r="B192" s="9" t="s">
        <v>243</v>
      </c>
      <c r="C192" s="9" t="s">
        <v>292</v>
      </c>
      <c r="D192" s="10">
        <v>3</v>
      </c>
      <c r="E192" s="11">
        <v>198</v>
      </c>
      <c r="F192" s="17">
        <v>66.099999999999994</v>
      </c>
      <c r="G192" s="17">
        <v>1.3</v>
      </c>
      <c r="H192" s="17">
        <v>17.899999999999999</v>
      </c>
      <c r="I192" s="17">
        <v>1.1000000000000001</v>
      </c>
      <c r="J192" s="17">
        <v>0.1</v>
      </c>
      <c r="K192" s="22" t="s">
        <v>100</v>
      </c>
      <c r="L192" s="17">
        <v>13.6</v>
      </c>
      <c r="M192" s="19">
        <v>2.39</v>
      </c>
      <c r="N192" s="19">
        <v>5.9</v>
      </c>
      <c r="O192" s="19">
        <v>3.96</v>
      </c>
      <c r="P192" s="19">
        <v>0</v>
      </c>
      <c r="Q192" s="17">
        <v>46</v>
      </c>
      <c r="R192" s="27">
        <v>108.7</v>
      </c>
      <c r="S192" s="27">
        <v>3.8</v>
      </c>
      <c r="T192" s="27">
        <v>20.6</v>
      </c>
      <c r="U192" s="27">
        <v>3</v>
      </c>
      <c r="V192" s="27">
        <v>0.1</v>
      </c>
      <c r="W192" s="27">
        <v>0.2</v>
      </c>
      <c r="X192" s="27">
        <v>0.1</v>
      </c>
      <c r="Y192" s="27">
        <v>7.2</v>
      </c>
      <c r="Z192" s="27">
        <v>0.4</v>
      </c>
      <c r="AA192" s="27">
        <v>2.2000000000000002</v>
      </c>
      <c r="AB192" s="27">
        <v>5.6</v>
      </c>
      <c r="AC192" s="27">
        <v>14.2</v>
      </c>
      <c r="AD192" s="17">
        <v>163</v>
      </c>
      <c r="AE192" s="27">
        <v>487.8</v>
      </c>
      <c r="AF192" s="27">
        <v>32.299999999999997</v>
      </c>
      <c r="AG192" s="27">
        <v>292.39999999999998</v>
      </c>
      <c r="AH192" s="27">
        <v>32.299999999999997</v>
      </c>
      <c r="AI192" s="27">
        <v>0.4</v>
      </c>
      <c r="AJ192" s="27">
        <v>0.6</v>
      </c>
      <c r="AK192" s="27">
        <v>0.1</v>
      </c>
      <c r="AL192" s="27">
        <v>30.5</v>
      </c>
      <c r="AM192" s="27">
        <v>0</v>
      </c>
    </row>
    <row r="193" spans="1:39" x14ac:dyDescent="0.25">
      <c r="A193" s="10">
        <v>192</v>
      </c>
      <c r="B193" s="9" t="s">
        <v>243</v>
      </c>
      <c r="C193" s="9" t="s">
        <v>293</v>
      </c>
      <c r="D193" s="10">
        <v>1</v>
      </c>
      <c r="E193" s="11">
        <v>104</v>
      </c>
      <c r="F193" s="17">
        <v>78.099999999999994</v>
      </c>
      <c r="G193" s="17">
        <v>1.3</v>
      </c>
      <c r="H193" s="17">
        <v>16.7</v>
      </c>
      <c r="I193" s="17">
        <v>0</v>
      </c>
      <c r="J193" s="22" t="s">
        <v>100</v>
      </c>
      <c r="K193" s="17">
        <v>0</v>
      </c>
      <c r="L193" s="17">
        <v>3.6</v>
      </c>
      <c r="M193" s="19">
        <v>1.01</v>
      </c>
      <c r="N193" s="19">
        <v>0.88</v>
      </c>
      <c r="O193" s="19">
        <v>0.73</v>
      </c>
      <c r="P193" s="22" t="s">
        <v>100</v>
      </c>
      <c r="Q193" s="17">
        <v>83</v>
      </c>
      <c r="R193" s="17">
        <v>30</v>
      </c>
      <c r="S193" s="17">
        <v>0</v>
      </c>
      <c r="T193" s="22" t="s">
        <v>100</v>
      </c>
      <c r="U193" s="22" t="s">
        <v>100</v>
      </c>
      <c r="V193" s="22" t="s">
        <v>100</v>
      </c>
      <c r="W193" s="17">
        <v>0.1</v>
      </c>
      <c r="X193" s="17">
        <v>0.2</v>
      </c>
      <c r="Y193" s="17">
        <v>2.4</v>
      </c>
      <c r="Z193" s="17">
        <v>0.4</v>
      </c>
      <c r="AA193" s="17">
        <v>0.8</v>
      </c>
      <c r="AB193" s="17">
        <v>3</v>
      </c>
      <c r="AC193" s="17">
        <v>5</v>
      </c>
      <c r="AD193" s="17">
        <v>58</v>
      </c>
      <c r="AE193" s="17">
        <v>341</v>
      </c>
      <c r="AF193" s="17">
        <v>17</v>
      </c>
      <c r="AG193" s="17">
        <v>250</v>
      </c>
      <c r="AH193" s="17">
        <v>31</v>
      </c>
      <c r="AI193" s="17">
        <v>0.3</v>
      </c>
      <c r="AJ193" s="17">
        <v>0.5</v>
      </c>
      <c r="AK193" s="17">
        <v>0</v>
      </c>
      <c r="AL193" s="17">
        <v>36.5</v>
      </c>
      <c r="AM193" s="27">
        <v>0</v>
      </c>
    </row>
    <row r="194" spans="1:39" x14ac:dyDescent="0.25">
      <c r="A194" s="10">
        <v>193</v>
      </c>
      <c r="B194" s="9" t="s">
        <v>243</v>
      </c>
      <c r="C194" s="9" t="s">
        <v>294</v>
      </c>
      <c r="D194" s="10">
        <v>3</v>
      </c>
      <c r="E194" s="11">
        <v>118</v>
      </c>
      <c r="F194" s="17">
        <v>70.599999999999994</v>
      </c>
      <c r="G194" s="17">
        <v>1.4</v>
      </c>
      <c r="H194" s="17">
        <v>7.3</v>
      </c>
      <c r="I194" s="17">
        <v>19.399999999999999</v>
      </c>
      <c r="J194" s="17">
        <v>2.4</v>
      </c>
      <c r="K194" s="22" t="s">
        <v>100</v>
      </c>
      <c r="L194" s="17">
        <v>1.3</v>
      </c>
      <c r="M194" s="28">
        <v>0.28000000000000003</v>
      </c>
      <c r="N194" s="28">
        <v>0.22</v>
      </c>
      <c r="O194" s="28">
        <v>0.64</v>
      </c>
      <c r="P194" s="22" t="s">
        <v>100</v>
      </c>
      <c r="Q194" s="27">
        <v>30</v>
      </c>
      <c r="R194" s="27">
        <v>24.9</v>
      </c>
      <c r="S194" s="27">
        <v>0</v>
      </c>
      <c r="T194" s="22" t="s">
        <v>100</v>
      </c>
      <c r="U194" s="27">
        <v>0.8</v>
      </c>
      <c r="V194" s="27">
        <v>0.1</v>
      </c>
      <c r="W194" s="27">
        <v>0</v>
      </c>
      <c r="X194" s="27">
        <v>0</v>
      </c>
      <c r="Y194" s="27">
        <v>0.3</v>
      </c>
      <c r="Z194" s="27">
        <v>0</v>
      </c>
      <c r="AA194" s="27">
        <v>0.1</v>
      </c>
      <c r="AB194" s="27">
        <v>2</v>
      </c>
      <c r="AC194" s="27">
        <v>2.5</v>
      </c>
      <c r="AD194" s="17">
        <v>560</v>
      </c>
      <c r="AE194" s="27">
        <v>139.19999999999999</v>
      </c>
      <c r="AF194" s="27">
        <v>11.2</v>
      </c>
      <c r="AG194" s="27">
        <v>350.4</v>
      </c>
      <c r="AH194" s="27">
        <v>53.4</v>
      </c>
      <c r="AI194" s="27">
        <v>0.3</v>
      </c>
      <c r="AJ194" s="27">
        <v>0.4</v>
      </c>
      <c r="AK194" s="27">
        <v>0</v>
      </c>
      <c r="AL194" s="27">
        <v>34.9</v>
      </c>
      <c r="AM194" s="27">
        <v>0</v>
      </c>
    </row>
    <row r="195" spans="1:39" x14ac:dyDescent="0.25">
      <c r="A195" s="10">
        <v>194</v>
      </c>
      <c r="B195" s="9" t="s">
        <v>243</v>
      </c>
      <c r="C195" s="9" t="s">
        <v>295</v>
      </c>
      <c r="D195" s="10">
        <v>1</v>
      </c>
      <c r="E195" s="11">
        <v>33</v>
      </c>
      <c r="F195" s="17">
        <v>72.099999999999994</v>
      </c>
      <c r="G195" s="17">
        <v>1.4</v>
      </c>
      <c r="H195" s="17">
        <v>5.6</v>
      </c>
      <c r="I195" s="17">
        <v>2.6</v>
      </c>
      <c r="J195" s="27">
        <v>0</v>
      </c>
      <c r="K195" s="17">
        <v>0</v>
      </c>
      <c r="L195" s="17">
        <v>1.1000000000000001</v>
      </c>
      <c r="M195" s="19">
        <v>0.25</v>
      </c>
      <c r="N195" s="19">
        <v>0.25</v>
      </c>
      <c r="O195" s="19">
        <v>0.42</v>
      </c>
      <c r="P195" s="22" t="s">
        <v>100</v>
      </c>
      <c r="Q195" s="17">
        <v>23.7</v>
      </c>
      <c r="R195" s="17">
        <v>10.1</v>
      </c>
      <c r="S195" s="17">
        <v>0.4</v>
      </c>
      <c r="T195" s="27">
        <v>10.5</v>
      </c>
      <c r="U195" s="27">
        <v>6.1</v>
      </c>
      <c r="V195" s="27">
        <v>0.2</v>
      </c>
      <c r="W195" s="17">
        <v>0.1</v>
      </c>
      <c r="X195" s="17">
        <v>0.1</v>
      </c>
      <c r="Y195" s="17">
        <v>1.1000000000000001</v>
      </c>
      <c r="Z195" s="27">
        <v>0.1</v>
      </c>
      <c r="AA195" s="27">
        <v>0.9</v>
      </c>
      <c r="AB195" s="27">
        <v>8.6</v>
      </c>
      <c r="AC195" s="27">
        <v>69.2</v>
      </c>
      <c r="AD195" s="17">
        <v>36.1</v>
      </c>
      <c r="AE195" s="27">
        <v>191.1</v>
      </c>
      <c r="AF195" s="17">
        <v>11.2</v>
      </c>
      <c r="AG195" s="27">
        <v>347.6</v>
      </c>
      <c r="AH195" s="27">
        <v>17.3</v>
      </c>
      <c r="AI195" s="17">
        <v>1.6</v>
      </c>
      <c r="AJ195" s="27">
        <v>0.9</v>
      </c>
      <c r="AK195" s="27">
        <v>0.1</v>
      </c>
      <c r="AL195" s="27">
        <v>34.799999999999997</v>
      </c>
      <c r="AM195" s="27">
        <v>0</v>
      </c>
    </row>
    <row r="196" spans="1:39" x14ac:dyDescent="0.25">
      <c r="A196" s="10">
        <v>195</v>
      </c>
      <c r="B196" s="9" t="s">
        <v>243</v>
      </c>
      <c r="C196" s="9" t="s">
        <v>296</v>
      </c>
      <c r="D196" s="10">
        <v>3</v>
      </c>
      <c r="E196" s="11">
        <v>288</v>
      </c>
      <c r="F196" s="17">
        <v>55.1</v>
      </c>
      <c r="G196" s="17">
        <v>1.8</v>
      </c>
      <c r="H196" s="17">
        <v>3.4</v>
      </c>
      <c r="I196" s="17">
        <v>16.5</v>
      </c>
      <c r="J196" s="17">
        <v>0.9</v>
      </c>
      <c r="K196" s="17">
        <v>0</v>
      </c>
      <c r="L196" s="17">
        <v>23.2</v>
      </c>
      <c r="M196" s="19">
        <v>3.4</v>
      </c>
      <c r="N196" s="19">
        <v>7.3</v>
      </c>
      <c r="O196" s="19">
        <v>10.14</v>
      </c>
      <c r="P196" s="19">
        <v>0</v>
      </c>
      <c r="Q196" s="17">
        <v>33</v>
      </c>
      <c r="R196" s="27">
        <v>41.7</v>
      </c>
      <c r="S196" s="27">
        <v>0</v>
      </c>
      <c r="T196" s="27">
        <v>27.4</v>
      </c>
      <c r="U196" s="27">
        <v>2.2000000000000002</v>
      </c>
      <c r="V196" s="27">
        <v>0.2</v>
      </c>
      <c r="W196" s="27">
        <v>0</v>
      </c>
      <c r="X196" s="27">
        <v>0.2</v>
      </c>
      <c r="Y196" s="27">
        <v>7.6</v>
      </c>
      <c r="Z196" s="27">
        <v>0.4</v>
      </c>
      <c r="AA196" s="27">
        <v>1.4</v>
      </c>
      <c r="AB196" s="27">
        <v>5.2</v>
      </c>
      <c r="AC196" s="27">
        <v>3.2</v>
      </c>
      <c r="AD196" s="17">
        <v>455</v>
      </c>
      <c r="AE196" s="27">
        <v>280.60000000000002</v>
      </c>
      <c r="AF196" s="27">
        <v>17.600000000000001</v>
      </c>
      <c r="AG196" s="27">
        <v>263</v>
      </c>
      <c r="AH196" s="27">
        <v>28.9</v>
      </c>
      <c r="AI196" s="27">
        <v>1.4</v>
      </c>
      <c r="AJ196" s="27">
        <v>0.5</v>
      </c>
      <c r="AK196" s="27">
        <v>0.4</v>
      </c>
      <c r="AL196" s="27">
        <v>52</v>
      </c>
      <c r="AM196" s="27">
        <v>0</v>
      </c>
    </row>
    <row r="197" spans="1:39" x14ac:dyDescent="0.25">
      <c r="A197" s="10">
        <v>196</v>
      </c>
      <c r="B197" s="9" t="s">
        <v>297</v>
      </c>
      <c r="C197" s="9" t="s">
        <v>298</v>
      </c>
      <c r="D197" s="10">
        <v>2</v>
      </c>
      <c r="E197" s="11">
        <v>345</v>
      </c>
      <c r="F197" s="17">
        <v>9.6</v>
      </c>
      <c r="G197" s="17">
        <v>3</v>
      </c>
      <c r="H197" s="17">
        <v>22.4</v>
      </c>
      <c r="I197" s="17">
        <v>38.4</v>
      </c>
      <c r="J197" s="27">
        <v>3.1</v>
      </c>
      <c r="K197" s="27">
        <v>22</v>
      </c>
      <c r="L197" s="17">
        <v>2.2000000000000002</v>
      </c>
      <c r="M197" s="19">
        <v>0.16</v>
      </c>
      <c r="N197" s="19">
        <v>0.24</v>
      </c>
      <c r="O197" s="19">
        <v>0.5</v>
      </c>
      <c r="P197" s="28">
        <v>0</v>
      </c>
      <c r="Q197" s="17">
        <v>0</v>
      </c>
      <c r="R197" s="27">
        <v>6.9</v>
      </c>
      <c r="S197" s="17">
        <v>1.8</v>
      </c>
      <c r="T197" s="27">
        <v>0</v>
      </c>
      <c r="U197" s="27">
        <v>0.1</v>
      </c>
      <c r="V197" s="27">
        <v>15.7</v>
      </c>
      <c r="W197" s="17">
        <v>1.1000000000000001</v>
      </c>
      <c r="X197" s="17">
        <v>0.3</v>
      </c>
      <c r="Y197" s="17">
        <v>2.9</v>
      </c>
      <c r="Z197" s="17">
        <v>0.2</v>
      </c>
      <c r="AA197" s="17">
        <v>1.8</v>
      </c>
      <c r="AB197" s="17">
        <v>0</v>
      </c>
      <c r="AC197" s="17">
        <v>274</v>
      </c>
      <c r="AD197" s="17">
        <v>6.4</v>
      </c>
      <c r="AE197" s="17">
        <v>751</v>
      </c>
      <c r="AF197" s="17">
        <v>65</v>
      </c>
      <c r="AG197" s="17">
        <v>306</v>
      </c>
      <c r="AH197" s="17">
        <v>115</v>
      </c>
      <c r="AI197" s="17">
        <v>4.5</v>
      </c>
      <c r="AJ197" s="17">
        <v>3</v>
      </c>
      <c r="AK197" s="17">
        <v>1</v>
      </c>
      <c r="AL197" s="17">
        <v>0</v>
      </c>
      <c r="AM197" s="27">
        <v>0</v>
      </c>
    </row>
    <row r="198" spans="1:39" x14ac:dyDescent="0.25">
      <c r="A198" s="10">
        <v>197</v>
      </c>
      <c r="B198" s="9" t="s">
        <v>297</v>
      </c>
      <c r="C198" s="9" t="s">
        <v>299</v>
      </c>
      <c r="D198" s="10">
        <v>2</v>
      </c>
      <c r="E198" s="11">
        <v>333</v>
      </c>
      <c r="F198" s="17">
        <v>9.6</v>
      </c>
      <c r="G198" s="17">
        <v>3</v>
      </c>
      <c r="H198" s="17">
        <v>23.6</v>
      </c>
      <c r="I198" s="17">
        <v>38.200000000000003</v>
      </c>
      <c r="J198" s="27">
        <v>3.1</v>
      </c>
      <c r="K198" s="27">
        <v>22</v>
      </c>
      <c r="L198" s="17">
        <v>1.2</v>
      </c>
      <c r="M198" s="28">
        <v>0.13</v>
      </c>
      <c r="N198" s="28">
        <v>0.19</v>
      </c>
      <c r="O198" s="28">
        <v>0.32</v>
      </c>
      <c r="P198" s="28">
        <v>0</v>
      </c>
      <c r="Q198" s="17">
        <v>0</v>
      </c>
      <c r="R198" s="27">
        <v>6.9</v>
      </c>
      <c r="S198" s="27">
        <v>1.8</v>
      </c>
      <c r="T198" s="27">
        <v>0</v>
      </c>
      <c r="U198" s="27">
        <v>0.1</v>
      </c>
      <c r="V198" s="27">
        <v>15.7</v>
      </c>
      <c r="W198" s="17">
        <v>0.6</v>
      </c>
      <c r="X198" s="17">
        <v>0.1</v>
      </c>
      <c r="Y198" s="27">
        <v>3.6</v>
      </c>
      <c r="Z198" s="27">
        <v>0.1</v>
      </c>
      <c r="AA198" s="27">
        <v>1</v>
      </c>
      <c r="AB198" s="27">
        <v>0</v>
      </c>
      <c r="AC198" s="27">
        <v>14.9</v>
      </c>
      <c r="AD198" s="17">
        <v>28</v>
      </c>
      <c r="AE198" s="17">
        <v>886</v>
      </c>
      <c r="AF198" s="17">
        <v>56</v>
      </c>
      <c r="AG198" s="17">
        <v>302</v>
      </c>
      <c r="AH198" s="27">
        <v>62.4</v>
      </c>
      <c r="AI198" s="17">
        <v>33.299999999999997</v>
      </c>
      <c r="AJ198" s="27">
        <v>3.5</v>
      </c>
      <c r="AK198" s="27">
        <v>0.8</v>
      </c>
      <c r="AL198" s="27">
        <v>10.6</v>
      </c>
      <c r="AM198" s="27">
        <v>0</v>
      </c>
    </row>
    <row r="199" spans="1:39" x14ac:dyDescent="0.25">
      <c r="A199" s="10">
        <v>198</v>
      </c>
      <c r="B199" s="9" t="s">
        <v>297</v>
      </c>
      <c r="C199" s="9" t="s">
        <v>300</v>
      </c>
      <c r="D199" s="10">
        <v>1</v>
      </c>
      <c r="E199" s="11">
        <v>81</v>
      </c>
      <c r="F199" s="17">
        <v>78.900000000000006</v>
      </c>
      <c r="G199" s="17">
        <v>0.9</v>
      </c>
      <c r="H199" s="17">
        <v>5.4</v>
      </c>
      <c r="I199" s="17">
        <v>8.6999999999999993</v>
      </c>
      <c r="J199" s="17">
        <v>5.7</v>
      </c>
      <c r="K199" s="17">
        <v>5.7</v>
      </c>
      <c r="L199" s="17">
        <v>0.4</v>
      </c>
      <c r="M199" s="19">
        <v>7.0000000000000007E-2</v>
      </c>
      <c r="N199" s="19">
        <v>0.04</v>
      </c>
      <c r="O199" s="19">
        <v>0.19</v>
      </c>
      <c r="P199" s="28">
        <v>0</v>
      </c>
      <c r="Q199" s="17">
        <v>0</v>
      </c>
      <c r="R199" s="17">
        <v>38</v>
      </c>
      <c r="S199" s="17">
        <v>40</v>
      </c>
      <c r="T199" s="17">
        <v>0</v>
      </c>
      <c r="U199" s="17">
        <v>0.1</v>
      </c>
      <c r="V199" s="17">
        <v>24.8</v>
      </c>
      <c r="W199" s="17">
        <v>0.3</v>
      </c>
      <c r="X199" s="17">
        <v>0.1</v>
      </c>
      <c r="Y199" s="17">
        <v>2.1</v>
      </c>
      <c r="Z199" s="17">
        <v>0.2</v>
      </c>
      <c r="AA199" s="17">
        <v>0.1</v>
      </c>
      <c r="AB199" s="17">
        <v>0</v>
      </c>
      <c r="AC199" s="17">
        <v>65</v>
      </c>
      <c r="AD199" s="17">
        <v>5</v>
      </c>
      <c r="AE199" s="17">
        <v>244</v>
      </c>
      <c r="AF199" s="17">
        <v>25</v>
      </c>
      <c r="AG199" s="17">
        <v>108</v>
      </c>
      <c r="AH199" s="17">
        <v>33</v>
      </c>
      <c r="AI199" s="17">
        <v>1.5</v>
      </c>
      <c r="AJ199" s="17">
        <v>1.2</v>
      </c>
      <c r="AK199" s="17">
        <v>0.2</v>
      </c>
      <c r="AL199" s="17">
        <v>1.8</v>
      </c>
      <c r="AM199" s="27">
        <v>0</v>
      </c>
    </row>
    <row r="200" spans="1:39" x14ac:dyDescent="0.25">
      <c r="A200" s="10">
        <v>199</v>
      </c>
      <c r="B200" s="9" t="s">
        <v>297</v>
      </c>
      <c r="C200" s="9" t="s">
        <v>301</v>
      </c>
      <c r="D200" s="10">
        <v>1</v>
      </c>
      <c r="E200" s="11">
        <v>69</v>
      </c>
      <c r="F200" s="17">
        <v>81.7</v>
      </c>
      <c r="G200" s="27">
        <v>0.8</v>
      </c>
      <c r="H200" s="17">
        <v>4.4000000000000004</v>
      </c>
      <c r="I200" s="17">
        <v>9.3000000000000007</v>
      </c>
      <c r="J200" s="27">
        <v>3.1</v>
      </c>
      <c r="K200" s="17">
        <v>3.4</v>
      </c>
      <c r="L200" s="17">
        <v>0.4</v>
      </c>
      <c r="M200" s="19">
        <v>0.06</v>
      </c>
      <c r="N200" s="19">
        <v>0.03</v>
      </c>
      <c r="O200" s="19">
        <v>0.16</v>
      </c>
      <c r="P200" s="28">
        <v>0</v>
      </c>
      <c r="Q200" s="17">
        <v>0</v>
      </c>
      <c r="R200" s="17">
        <v>76.900000000000006</v>
      </c>
      <c r="S200" s="17">
        <v>9.6</v>
      </c>
      <c r="T200" s="27">
        <v>0</v>
      </c>
      <c r="U200" s="17">
        <v>0.9</v>
      </c>
      <c r="V200" s="27">
        <v>38</v>
      </c>
      <c r="W200" s="17">
        <v>0.1</v>
      </c>
      <c r="X200" s="17">
        <v>0.1</v>
      </c>
      <c r="Y200" s="17">
        <v>0.7</v>
      </c>
      <c r="Z200" s="17">
        <v>0.1</v>
      </c>
      <c r="AA200" s="17">
        <v>0.1</v>
      </c>
      <c r="AB200" s="17">
        <v>0</v>
      </c>
      <c r="AC200" s="17">
        <v>44.4</v>
      </c>
      <c r="AD200" s="17">
        <v>219</v>
      </c>
      <c r="AE200" s="17">
        <v>173</v>
      </c>
      <c r="AF200" s="17">
        <v>20</v>
      </c>
      <c r="AG200" s="17">
        <v>67.099999999999994</v>
      </c>
      <c r="AH200" s="17">
        <v>17.100000000000001</v>
      </c>
      <c r="AI200" s="17">
        <v>1</v>
      </c>
      <c r="AJ200" s="17">
        <v>0.7</v>
      </c>
      <c r="AK200" s="17">
        <v>0.1</v>
      </c>
      <c r="AL200" s="17">
        <v>4</v>
      </c>
      <c r="AM200" s="27">
        <v>0</v>
      </c>
    </row>
    <row r="201" spans="1:39" x14ac:dyDescent="0.25">
      <c r="A201" s="10">
        <v>200</v>
      </c>
      <c r="B201" s="9" t="s">
        <v>297</v>
      </c>
      <c r="C201" s="9" t="s">
        <v>302</v>
      </c>
      <c r="D201" s="10">
        <v>1</v>
      </c>
      <c r="E201" s="11">
        <v>163</v>
      </c>
      <c r="F201" s="17">
        <v>60.2</v>
      </c>
      <c r="G201" s="17">
        <v>1.2</v>
      </c>
      <c r="H201" s="17">
        <v>8.8000000000000007</v>
      </c>
      <c r="I201" s="17">
        <v>20.399999999999999</v>
      </c>
      <c r="J201" s="27">
        <v>4.8</v>
      </c>
      <c r="K201" s="17">
        <v>6.8</v>
      </c>
      <c r="L201" s="17">
        <v>2.6</v>
      </c>
      <c r="M201" s="19">
        <v>0.27</v>
      </c>
      <c r="N201" s="19">
        <v>0.57999999999999996</v>
      </c>
      <c r="O201" s="19">
        <v>1.1599999999999999</v>
      </c>
      <c r="P201" s="28">
        <v>0</v>
      </c>
      <c r="Q201" s="17">
        <v>0</v>
      </c>
      <c r="R201" s="17">
        <v>3</v>
      </c>
      <c r="S201" s="17">
        <v>1.3</v>
      </c>
      <c r="T201" s="27">
        <v>0</v>
      </c>
      <c r="U201" s="17">
        <v>1.2</v>
      </c>
      <c r="V201" s="27">
        <v>4</v>
      </c>
      <c r="W201" s="17">
        <v>0.1</v>
      </c>
      <c r="X201" s="17">
        <v>0.1</v>
      </c>
      <c r="Y201" s="17">
        <v>0.5</v>
      </c>
      <c r="Z201" s="17">
        <v>0.1</v>
      </c>
      <c r="AA201" s="17">
        <v>0.3</v>
      </c>
      <c r="AB201" s="17">
        <v>0</v>
      </c>
      <c r="AC201" s="17">
        <v>172</v>
      </c>
      <c r="AD201" s="17">
        <v>7</v>
      </c>
      <c r="AE201" s="17">
        <v>291</v>
      </c>
      <c r="AF201" s="17">
        <v>49</v>
      </c>
      <c r="AG201" s="17">
        <v>168</v>
      </c>
      <c r="AH201" s="17">
        <v>48</v>
      </c>
      <c r="AI201" s="17">
        <v>2.9</v>
      </c>
      <c r="AJ201" s="17">
        <v>1.5</v>
      </c>
      <c r="AK201" s="17">
        <v>0.4</v>
      </c>
      <c r="AL201" s="17">
        <v>3.7</v>
      </c>
      <c r="AM201" s="27">
        <v>0</v>
      </c>
    </row>
    <row r="202" spans="1:39" x14ac:dyDescent="0.25">
      <c r="A202" s="10">
        <v>201</v>
      </c>
      <c r="B202" s="9" t="s">
        <v>297</v>
      </c>
      <c r="C202" s="9" t="s">
        <v>303</v>
      </c>
      <c r="D202" s="10">
        <v>1</v>
      </c>
      <c r="E202" s="11">
        <v>378</v>
      </c>
      <c r="F202" s="17">
        <v>7.7</v>
      </c>
      <c r="G202" s="17">
        <v>2.9</v>
      </c>
      <c r="H202" s="17">
        <v>20.5</v>
      </c>
      <c r="I202" s="17">
        <v>50.8</v>
      </c>
      <c r="J202" s="17">
        <v>10.7</v>
      </c>
      <c r="K202" s="17">
        <v>12.2</v>
      </c>
      <c r="L202" s="17">
        <v>6</v>
      </c>
      <c r="M202" s="19">
        <v>0.6</v>
      </c>
      <c r="N202" s="19">
        <v>1.38</v>
      </c>
      <c r="O202" s="19">
        <v>2.73</v>
      </c>
      <c r="P202" s="28">
        <v>0</v>
      </c>
      <c r="Q202" s="17">
        <v>0</v>
      </c>
      <c r="R202" s="17">
        <v>3</v>
      </c>
      <c r="S202" s="17">
        <v>4</v>
      </c>
      <c r="T202" s="17">
        <v>0</v>
      </c>
      <c r="U202" s="17">
        <v>0.8</v>
      </c>
      <c r="V202" s="17">
        <v>9</v>
      </c>
      <c r="W202" s="17">
        <v>0.5</v>
      </c>
      <c r="X202" s="17">
        <v>0.2</v>
      </c>
      <c r="Y202" s="17">
        <v>1.5</v>
      </c>
      <c r="Z202" s="17">
        <v>0.5</v>
      </c>
      <c r="AA202" s="17">
        <v>1.6</v>
      </c>
      <c r="AB202" s="17">
        <v>0</v>
      </c>
      <c r="AC202" s="17">
        <v>557</v>
      </c>
      <c r="AD202" s="17">
        <v>24</v>
      </c>
      <c r="AE202" s="17">
        <v>718</v>
      </c>
      <c r="AF202" s="17">
        <v>57</v>
      </c>
      <c r="AG202" s="17">
        <v>252</v>
      </c>
      <c r="AH202" s="17">
        <v>79</v>
      </c>
      <c r="AI202" s="17">
        <v>4.3</v>
      </c>
      <c r="AJ202" s="17">
        <v>2.8</v>
      </c>
      <c r="AK202" s="17">
        <v>0.7</v>
      </c>
      <c r="AL202" s="17">
        <v>0</v>
      </c>
      <c r="AM202" s="27">
        <v>0</v>
      </c>
    </row>
    <row r="203" spans="1:39" x14ac:dyDescent="0.25">
      <c r="A203" s="10">
        <v>202</v>
      </c>
      <c r="B203" s="9" t="s">
        <v>297</v>
      </c>
      <c r="C203" s="9" t="s">
        <v>304</v>
      </c>
      <c r="D203" s="10">
        <v>1</v>
      </c>
      <c r="E203" s="11">
        <v>387</v>
      </c>
      <c r="F203" s="17">
        <v>10.3</v>
      </c>
      <c r="G203" s="17">
        <v>2.8</v>
      </c>
      <c r="H203" s="17">
        <v>22.4</v>
      </c>
      <c r="I203" s="17">
        <v>47</v>
      </c>
      <c r="J203" s="17">
        <v>10.9</v>
      </c>
      <c r="K203" s="17">
        <v>10.8</v>
      </c>
      <c r="L203" s="17">
        <v>6.7</v>
      </c>
      <c r="M203" s="19">
        <v>0.69</v>
      </c>
      <c r="N203" s="19">
        <v>1.5</v>
      </c>
      <c r="O203" s="19">
        <v>2.98</v>
      </c>
      <c r="P203" s="28">
        <v>0</v>
      </c>
      <c r="Q203" s="17">
        <v>0</v>
      </c>
      <c r="R203" s="17">
        <v>2</v>
      </c>
      <c r="S203" s="17">
        <v>0</v>
      </c>
      <c r="T203" s="17">
        <v>0</v>
      </c>
      <c r="U203" s="17">
        <v>0.8</v>
      </c>
      <c r="V203" s="17">
        <v>9.1</v>
      </c>
      <c r="W203" s="17">
        <v>0.5</v>
      </c>
      <c r="X203" s="17">
        <v>0.1</v>
      </c>
      <c r="Y203" s="17">
        <v>1.8</v>
      </c>
      <c r="Z203" s="17">
        <v>0.5</v>
      </c>
      <c r="AA203" s="17">
        <v>0.6</v>
      </c>
      <c r="AB203" s="17">
        <v>0</v>
      </c>
      <c r="AC203" s="17">
        <v>437</v>
      </c>
      <c r="AD203" s="17">
        <v>64</v>
      </c>
      <c r="AE203" s="17">
        <v>846</v>
      </c>
      <c r="AF203" s="17">
        <v>45</v>
      </c>
      <c r="AG203" s="17">
        <v>318</v>
      </c>
      <c r="AH203" s="17">
        <v>166</v>
      </c>
      <c r="AI203" s="17">
        <v>4.9000000000000004</v>
      </c>
      <c r="AJ203" s="17">
        <v>2.8</v>
      </c>
      <c r="AK203" s="17">
        <v>0.9</v>
      </c>
      <c r="AL203" s="17">
        <v>8.3000000000000007</v>
      </c>
      <c r="AM203" s="27">
        <v>0</v>
      </c>
    </row>
    <row r="204" spans="1:39" x14ac:dyDescent="0.25">
      <c r="A204" s="10">
        <v>203</v>
      </c>
      <c r="B204" s="9" t="s">
        <v>297</v>
      </c>
      <c r="C204" s="9" t="s">
        <v>305</v>
      </c>
      <c r="D204" s="10">
        <v>1</v>
      </c>
      <c r="E204" s="11">
        <v>72</v>
      </c>
      <c r="F204" s="17">
        <v>81</v>
      </c>
      <c r="G204" s="17">
        <v>1.1000000000000001</v>
      </c>
      <c r="H204" s="17">
        <v>5.6</v>
      </c>
      <c r="I204" s="17">
        <v>7.5</v>
      </c>
      <c r="J204" s="27">
        <v>1.9</v>
      </c>
      <c r="K204" s="17">
        <v>4.2</v>
      </c>
      <c r="L204" s="17">
        <v>0.6</v>
      </c>
      <c r="M204" s="19">
        <v>0.14000000000000001</v>
      </c>
      <c r="N204" s="19">
        <v>0.02</v>
      </c>
      <c r="O204" s="19">
        <v>0.31</v>
      </c>
      <c r="P204" s="28">
        <v>0</v>
      </c>
      <c r="Q204" s="17">
        <v>0</v>
      </c>
      <c r="R204" s="17">
        <v>18</v>
      </c>
      <c r="S204" s="17">
        <v>33</v>
      </c>
      <c r="T204" s="17">
        <v>0</v>
      </c>
      <c r="U204" s="27">
        <v>0</v>
      </c>
      <c r="V204" s="27">
        <v>3</v>
      </c>
      <c r="W204" s="17">
        <v>0.2</v>
      </c>
      <c r="X204" s="17">
        <v>0.1</v>
      </c>
      <c r="Y204" s="17">
        <v>1.5</v>
      </c>
      <c r="Z204" s="17">
        <v>0</v>
      </c>
      <c r="AA204" s="17">
        <v>0.1</v>
      </c>
      <c r="AB204" s="17">
        <v>0</v>
      </c>
      <c r="AC204" s="17">
        <v>96</v>
      </c>
      <c r="AD204" s="17">
        <v>50</v>
      </c>
      <c r="AE204" s="17">
        <v>250</v>
      </c>
      <c r="AF204" s="17">
        <v>22</v>
      </c>
      <c r="AG204" s="17">
        <v>95</v>
      </c>
      <c r="AH204" s="17">
        <v>38</v>
      </c>
      <c r="AI204" s="17">
        <v>1.9</v>
      </c>
      <c r="AJ204" s="17">
        <v>0.6</v>
      </c>
      <c r="AK204" s="17">
        <v>0.1</v>
      </c>
      <c r="AL204" s="17">
        <v>1.2</v>
      </c>
      <c r="AM204" s="27">
        <v>0</v>
      </c>
    </row>
    <row r="205" spans="1:39" x14ac:dyDescent="0.25">
      <c r="A205" s="10">
        <v>204</v>
      </c>
      <c r="B205" s="9" t="s">
        <v>297</v>
      </c>
      <c r="C205" s="9" t="s">
        <v>306</v>
      </c>
      <c r="D205" s="10">
        <v>1</v>
      </c>
      <c r="E205" s="11">
        <v>341</v>
      </c>
      <c r="F205" s="17">
        <v>11</v>
      </c>
      <c r="G205" s="17">
        <v>2.8</v>
      </c>
      <c r="H205" s="17">
        <v>26.1</v>
      </c>
      <c r="I205" s="17">
        <v>57.7</v>
      </c>
      <c r="J205" s="27">
        <v>5.7</v>
      </c>
      <c r="K205" s="17">
        <v>1.6</v>
      </c>
      <c r="L205" s="17">
        <v>1.5</v>
      </c>
      <c r="M205" s="19">
        <v>0.25</v>
      </c>
      <c r="N205" s="19">
        <v>0.3</v>
      </c>
      <c r="O205" s="19">
        <v>0.63</v>
      </c>
      <c r="P205" s="28">
        <v>0</v>
      </c>
      <c r="Q205" s="17">
        <v>0</v>
      </c>
      <c r="R205" s="17">
        <v>5</v>
      </c>
      <c r="S205" s="17">
        <v>1.4</v>
      </c>
      <c r="T205" s="27">
        <v>0</v>
      </c>
      <c r="U205" s="27">
        <v>0</v>
      </c>
      <c r="V205" s="27">
        <v>9</v>
      </c>
      <c r="W205" s="17">
        <v>0.6</v>
      </c>
      <c r="X205" s="17">
        <v>0.3</v>
      </c>
      <c r="Y205" s="17">
        <v>2.8</v>
      </c>
      <c r="Z205" s="17">
        <v>0.4</v>
      </c>
      <c r="AA205" s="17">
        <v>1</v>
      </c>
      <c r="AB205" s="17">
        <v>0</v>
      </c>
      <c r="AC205" s="17">
        <v>423</v>
      </c>
      <c r="AD205" s="17">
        <v>13</v>
      </c>
      <c r="AE205" s="17">
        <v>1062</v>
      </c>
      <c r="AF205" s="17">
        <v>103</v>
      </c>
      <c r="AG205" s="17">
        <v>421</v>
      </c>
      <c r="AH205" s="17">
        <v>192</v>
      </c>
      <c r="AI205" s="17">
        <v>6.7</v>
      </c>
      <c r="AJ205" s="17">
        <v>3.1</v>
      </c>
      <c r="AK205" s="17">
        <v>0.8</v>
      </c>
      <c r="AL205" s="17">
        <v>7.3</v>
      </c>
      <c r="AM205" s="27">
        <v>0</v>
      </c>
    </row>
    <row r="206" spans="1:39" x14ac:dyDescent="0.25">
      <c r="A206" s="10">
        <v>205</v>
      </c>
      <c r="B206" s="9" t="s">
        <v>297</v>
      </c>
      <c r="C206" s="9" t="s">
        <v>307</v>
      </c>
      <c r="D206" s="10">
        <v>1</v>
      </c>
      <c r="E206" s="11">
        <v>116</v>
      </c>
      <c r="F206" s="17">
        <v>69.599999999999994</v>
      </c>
      <c r="G206" s="17">
        <v>0.8</v>
      </c>
      <c r="H206" s="17">
        <v>9</v>
      </c>
      <c r="I206" s="17">
        <v>12.2</v>
      </c>
      <c r="J206" s="17">
        <v>1.8</v>
      </c>
      <c r="K206" s="17">
        <v>7.9</v>
      </c>
      <c r="L206" s="17">
        <v>0.4</v>
      </c>
      <c r="M206" s="19">
        <v>0.05</v>
      </c>
      <c r="N206" s="19">
        <v>0.06</v>
      </c>
      <c r="O206" s="19">
        <v>0.18</v>
      </c>
      <c r="P206" s="28">
        <v>0</v>
      </c>
      <c r="Q206" s="17">
        <v>0</v>
      </c>
      <c r="R206" s="17">
        <v>0</v>
      </c>
      <c r="S206" s="17">
        <v>1.5</v>
      </c>
      <c r="T206" s="17">
        <v>0</v>
      </c>
      <c r="U206" s="17">
        <v>0.1</v>
      </c>
      <c r="V206" s="17">
        <v>1.7</v>
      </c>
      <c r="W206" s="17">
        <v>0.2</v>
      </c>
      <c r="X206" s="17">
        <v>0.1</v>
      </c>
      <c r="Y206" s="17">
        <v>1.1000000000000001</v>
      </c>
      <c r="Z206" s="17">
        <v>0.2</v>
      </c>
      <c r="AA206" s="17">
        <v>0.6</v>
      </c>
      <c r="AB206" s="17">
        <v>0</v>
      </c>
      <c r="AC206" s="17">
        <v>181</v>
      </c>
      <c r="AD206" s="17">
        <v>2</v>
      </c>
      <c r="AE206" s="17">
        <v>369</v>
      </c>
      <c r="AF206" s="17">
        <v>19</v>
      </c>
      <c r="AG206" s="17">
        <v>180</v>
      </c>
      <c r="AH206" s="17">
        <v>36</v>
      </c>
      <c r="AI206" s="17">
        <v>3.3</v>
      </c>
      <c r="AJ206" s="17">
        <v>1.3</v>
      </c>
      <c r="AK206" s="17">
        <v>0.3</v>
      </c>
      <c r="AL206" s="17">
        <v>2.8</v>
      </c>
      <c r="AM206" s="27">
        <v>0</v>
      </c>
    </row>
    <row r="207" spans="1:39" x14ac:dyDescent="0.25">
      <c r="A207" s="10">
        <v>206</v>
      </c>
      <c r="B207" s="9" t="s">
        <v>297</v>
      </c>
      <c r="C207" s="9" t="s">
        <v>308</v>
      </c>
      <c r="D207" s="10">
        <v>1</v>
      </c>
      <c r="E207" s="11">
        <v>352</v>
      </c>
      <c r="F207" s="17">
        <v>8.3000000000000007</v>
      </c>
      <c r="G207" s="17">
        <v>2.7</v>
      </c>
      <c r="H207" s="17">
        <v>24.6</v>
      </c>
      <c r="I207" s="17">
        <v>52.6</v>
      </c>
      <c r="J207" s="17">
        <v>2</v>
      </c>
      <c r="K207" s="17">
        <v>10.7</v>
      </c>
      <c r="L207" s="17">
        <v>1.1000000000000001</v>
      </c>
      <c r="M207" s="19">
        <v>0.15</v>
      </c>
      <c r="N207" s="19">
        <v>0.19</v>
      </c>
      <c r="O207" s="19">
        <v>0.53</v>
      </c>
      <c r="P207" s="28">
        <v>0</v>
      </c>
      <c r="Q207" s="17">
        <v>0</v>
      </c>
      <c r="R207" s="17">
        <v>2</v>
      </c>
      <c r="S207" s="17">
        <v>4.5</v>
      </c>
      <c r="T207" s="17">
        <v>0</v>
      </c>
      <c r="U207" s="17">
        <v>0.5</v>
      </c>
      <c r="V207" s="17">
        <v>5</v>
      </c>
      <c r="W207" s="17">
        <v>0.9</v>
      </c>
      <c r="X207" s="17">
        <v>0.2</v>
      </c>
      <c r="Y207" s="17">
        <v>2.6</v>
      </c>
      <c r="Z207" s="17">
        <v>0.5</v>
      </c>
      <c r="AA207" s="17">
        <v>2.1</v>
      </c>
      <c r="AB207" s="17">
        <v>0</v>
      </c>
      <c r="AC207" s="17">
        <v>479</v>
      </c>
      <c r="AD207" s="17">
        <v>6</v>
      </c>
      <c r="AE207" s="17">
        <v>677</v>
      </c>
      <c r="AF207" s="17">
        <v>35</v>
      </c>
      <c r="AG207" s="17">
        <v>281</v>
      </c>
      <c r="AH207" s="17">
        <v>47</v>
      </c>
      <c r="AI207" s="17">
        <v>6.5</v>
      </c>
      <c r="AJ207" s="17">
        <v>3.3</v>
      </c>
      <c r="AK207" s="17">
        <v>0.8</v>
      </c>
      <c r="AL207" s="17">
        <v>0.1</v>
      </c>
      <c r="AM207" s="27">
        <v>0</v>
      </c>
    </row>
    <row r="208" spans="1:39" x14ac:dyDescent="0.25">
      <c r="A208" s="10">
        <v>207</v>
      </c>
      <c r="B208" s="9" t="s">
        <v>297</v>
      </c>
      <c r="C208" s="9" t="s">
        <v>309</v>
      </c>
      <c r="D208" s="10">
        <v>2</v>
      </c>
      <c r="E208" s="11">
        <v>340</v>
      </c>
      <c r="F208" s="17">
        <v>7.6</v>
      </c>
      <c r="G208" s="17">
        <v>4.8</v>
      </c>
      <c r="H208" s="17">
        <v>32.799999999999997</v>
      </c>
      <c r="I208" s="17">
        <v>43</v>
      </c>
      <c r="J208" s="27">
        <v>2</v>
      </c>
      <c r="K208" s="27">
        <v>10.8</v>
      </c>
      <c r="L208" s="17">
        <v>1</v>
      </c>
      <c r="M208" s="28">
        <v>0.15</v>
      </c>
      <c r="N208" s="28">
        <v>0.18</v>
      </c>
      <c r="O208" s="28">
        <v>0.5</v>
      </c>
      <c r="P208" s="28">
        <v>0</v>
      </c>
      <c r="Q208" s="17">
        <v>0</v>
      </c>
      <c r="R208" s="27">
        <v>2</v>
      </c>
      <c r="S208" s="27">
        <v>4.5</v>
      </c>
      <c r="T208" s="27">
        <v>0</v>
      </c>
      <c r="U208" s="27">
        <v>0.5</v>
      </c>
      <c r="V208" s="27">
        <v>5</v>
      </c>
      <c r="W208" s="17">
        <v>0.3</v>
      </c>
      <c r="X208" s="17">
        <v>0</v>
      </c>
      <c r="Y208" s="27">
        <v>2.6</v>
      </c>
      <c r="Z208" s="27">
        <v>0.5</v>
      </c>
      <c r="AA208" s="27">
        <v>2.2000000000000002</v>
      </c>
      <c r="AB208" s="27">
        <v>0</v>
      </c>
      <c r="AC208" s="27">
        <v>482.4</v>
      </c>
      <c r="AD208" s="17">
        <v>21</v>
      </c>
      <c r="AE208" s="17">
        <v>1031</v>
      </c>
      <c r="AF208" s="17">
        <v>49</v>
      </c>
      <c r="AG208" s="17">
        <v>464</v>
      </c>
      <c r="AH208" s="27">
        <v>47.3</v>
      </c>
      <c r="AI208" s="17">
        <v>50.2</v>
      </c>
      <c r="AJ208" s="27">
        <v>3.3</v>
      </c>
      <c r="AK208" s="27">
        <v>0.8</v>
      </c>
      <c r="AL208" s="27">
        <v>0.1</v>
      </c>
      <c r="AM208" s="27">
        <v>0</v>
      </c>
    </row>
    <row r="209" spans="1:39" x14ac:dyDescent="0.25">
      <c r="A209" s="10">
        <v>208</v>
      </c>
      <c r="B209" s="9" t="s">
        <v>297</v>
      </c>
      <c r="C209" s="9" t="s">
        <v>310</v>
      </c>
      <c r="D209" s="10">
        <v>1</v>
      </c>
      <c r="E209" s="11">
        <v>139</v>
      </c>
      <c r="F209" s="17">
        <v>64.2</v>
      </c>
      <c r="G209" s="17">
        <v>1.7</v>
      </c>
      <c r="H209" s="17">
        <v>9.6999999999999993</v>
      </c>
      <c r="I209" s="17">
        <v>19.100000000000001</v>
      </c>
      <c r="J209" s="27">
        <v>0.3</v>
      </c>
      <c r="K209" s="17">
        <v>4.9000000000000004</v>
      </c>
      <c r="L209" s="17">
        <v>0.4</v>
      </c>
      <c r="M209" s="19">
        <v>0.09</v>
      </c>
      <c r="N209" s="19">
        <v>0.03</v>
      </c>
      <c r="O209" s="19">
        <v>0.15</v>
      </c>
      <c r="P209" s="28">
        <v>0</v>
      </c>
      <c r="Q209" s="17">
        <v>0</v>
      </c>
      <c r="R209" s="17">
        <v>0</v>
      </c>
      <c r="S209" s="17">
        <v>0</v>
      </c>
      <c r="T209" s="27">
        <v>0</v>
      </c>
      <c r="U209" s="27">
        <v>0.9</v>
      </c>
      <c r="V209" s="27">
        <v>3.4</v>
      </c>
      <c r="W209" s="17">
        <v>0.1</v>
      </c>
      <c r="X209" s="17">
        <v>0</v>
      </c>
      <c r="Y209" s="17">
        <v>0.1</v>
      </c>
      <c r="Z209" s="17">
        <v>0.1</v>
      </c>
      <c r="AA209" s="17">
        <v>0.2</v>
      </c>
      <c r="AB209" s="17">
        <v>0</v>
      </c>
      <c r="AC209" s="17">
        <v>81</v>
      </c>
      <c r="AD209" s="17">
        <v>6.1</v>
      </c>
      <c r="AE209" s="17">
        <v>560.29999999999995</v>
      </c>
      <c r="AF209" s="17">
        <v>89.9</v>
      </c>
      <c r="AG209" s="17">
        <v>112.8</v>
      </c>
      <c r="AH209" s="17">
        <v>63.1</v>
      </c>
      <c r="AI209" s="17">
        <v>3.7</v>
      </c>
      <c r="AJ209" s="17">
        <v>1.4</v>
      </c>
      <c r="AK209" s="17">
        <v>0.3</v>
      </c>
      <c r="AL209" s="27">
        <v>1.3</v>
      </c>
      <c r="AM209" s="27">
        <v>0</v>
      </c>
    </row>
    <row r="210" spans="1:39" x14ac:dyDescent="0.25">
      <c r="A210" s="10">
        <v>209</v>
      </c>
      <c r="B210" s="9" t="s">
        <v>297</v>
      </c>
      <c r="C210" s="9" t="s">
        <v>311</v>
      </c>
      <c r="D210" s="10">
        <v>1</v>
      </c>
      <c r="E210" s="11">
        <v>333</v>
      </c>
      <c r="F210" s="17">
        <v>11.3</v>
      </c>
      <c r="G210" s="17">
        <v>4.2</v>
      </c>
      <c r="H210" s="17">
        <v>23.4</v>
      </c>
      <c r="I210" s="17">
        <v>45.1</v>
      </c>
      <c r="J210" s="17">
        <v>2.1</v>
      </c>
      <c r="K210" s="17">
        <v>15.2</v>
      </c>
      <c r="L210" s="17">
        <v>0.9</v>
      </c>
      <c r="M210" s="19">
        <v>0.22</v>
      </c>
      <c r="N210" s="19">
        <v>7.0000000000000007E-2</v>
      </c>
      <c r="O210" s="19">
        <v>0.36</v>
      </c>
      <c r="P210" s="28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0.2</v>
      </c>
      <c r="V210" s="17">
        <v>5.6</v>
      </c>
      <c r="W210" s="17">
        <v>0.4</v>
      </c>
      <c r="X210" s="17">
        <v>0.1</v>
      </c>
      <c r="Y210" s="17">
        <v>0.5</v>
      </c>
      <c r="Z210" s="17">
        <v>0.3</v>
      </c>
      <c r="AA210" s="17">
        <v>0.7</v>
      </c>
      <c r="AB210" s="17">
        <v>0</v>
      </c>
      <c r="AC210" s="17">
        <v>388</v>
      </c>
      <c r="AD210" s="17">
        <v>16</v>
      </c>
      <c r="AE210" s="17">
        <v>1795</v>
      </c>
      <c r="AF210" s="17">
        <v>240</v>
      </c>
      <c r="AG210" s="17">
        <v>301</v>
      </c>
      <c r="AH210" s="17">
        <v>190</v>
      </c>
      <c r="AI210" s="17">
        <v>10.4</v>
      </c>
      <c r="AJ210" s="17">
        <v>3.7</v>
      </c>
      <c r="AK210" s="17">
        <v>1</v>
      </c>
      <c r="AL210" s="17">
        <v>12.8</v>
      </c>
      <c r="AM210" s="27">
        <v>0</v>
      </c>
    </row>
    <row r="211" spans="1:39" x14ac:dyDescent="0.25">
      <c r="A211" s="10">
        <v>210</v>
      </c>
      <c r="B211" s="9" t="s">
        <v>297</v>
      </c>
      <c r="C211" s="9" t="s">
        <v>312</v>
      </c>
      <c r="D211" s="10">
        <v>1</v>
      </c>
      <c r="E211" s="11">
        <v>141</v>
      </c>
      <c r="F211" s="17">
        <v>68.599999999999994</v>
      </c>
      <c r="G211" s="17">
        <v>1.6</v>
      </c>
      <c r="H211" s="17">
        <v>12.4</v>
      </c>
      <c r="I211" s="17">
        <v>6.9</v>
      </c>
      <c r="J211" s="22" t="s">
        <v>100</v>
      </c>
      <c r="K211" s="17">
        <v>4.2</v>
      </c>
      <c r="L211" s="17">
        <v>6.4</v>
      </c>
      <c r="M211" s="19">
        <v>0.74</v>
      </c>
      <c r="N211" s="19">
        <v>1.21</v>
      </c>
      <c r="O211" s="19">
        <v>3.01</v>
      </c>
      <c r="P211" s="28">
        <v>0</v>
      </c>
      <c r="Q211" s="17">
        <v>0</v>
      </c>
      <c r="R211" s="17">
        <v>8</v>
      </c>
      <c r="S211" s="17">
        <v>17</v>
      </c>
      <c r="T211" s="17">
        <v>0</v>
      </c>
      <c r="U211" s="22" t="s">
        <v>100</v>
      </c>
      <c r="V211" s="22" t="s">
        <v>100</v>
      </c>
      <c r="W211" s="17">
        <v>0.3</v>
      </c>
      <c r="X211" s="17">
        <v>0.2</v>
      </c>
      <c r="Y211" s="17">
        <v>1.3</v>
      </c>
      <c r="Z211" s="17">
        <v>0.1</v>
      </c>
      <c r="AA211" s="17">
        <v>0.1</v>
      </c>
      <c r="AB211" s="17">
        <v>0</v>
      </c>
      <c r="AC211" s="17">
        <v>111</v>
      </c>
      <c r="AD211" s="17">
        <v>14</v>
      </c>
      <c r="AE211" s="17">
        <v>539</v>
      </c>
      <c r="AF211" s="17">
        <v>145</v>
      </c>
      <c r="AG211" s="17">
        <v>158</v>
      </c>
      <c r="AH211" s="17">
        <v>60</v>
      </c>
      <c r="AI211" s="17">
        <v>2.5</v>
      </c>
      <c r="AJ211" s="17">
        <v>0.9</v>
      </c>
      <c r="AK211" s="17">
        <v>0.1</v>
      </c>
      <c r="AL211" s="17">
        <v>1.4</v>
      </c>
      <c r="AM211" s="27">
        <v>0</v>
      </c>
    </row>
    <row r="212" spans="1:39" x14ac:dyDescent="0.25">
      <c r="A212" s="10">
        <v>211</v>
      </c>
      <c r="B212" s="9" t="s">
        <v>297</v>
      </c>
      <c r="C212" s="9" t="s">
        <v>313</v>
      </c>
      <c r="D212" s="10">
        <v>1</v>
      </c>
      <c r="E212" s="11">
        <v>147</v>
      </c>
      <c r="F212" s="17">
        <v>67.5</v>
      </c>
      <c r="G212" s="17">
        <v>1.7</v>
      </c>
      <c r="H212" s="17">
        <v>13</v>
      </c>
      <c r="I212" s="17">
        <v>6.9</v>
      </c>
      <c r="J212" s="22" t="s">
        <v>100</v>
      </c>
      <c r="K212" s="17">
        <v>4.2</v>
      </c>
      <c r="L212" s="17">
        <v>6.8</v>
      </c>
      <c r="M212" s="19">
        <v>0.79</v>
      </c>
      <c r="N212" s="19">
        <v>1.28</v>
      </c>
      <c r="O212" s="19">
        <v>3.2</v>
      </c>
      <c r="P212" s="28">
        <v>0</v>
      </c>
      <c r="Q212" s="17">
        <v>0</v>
      </c>
      <c r="R212" s="17">
        <v>9</v>
      </c>
      <c r="S212" s="17">
        <v>29</v>
      </c>
      <c r="T212" s="17">
        <v>0</v>
      </c>
      <c r="U212" s="22" t="s">
        <v>100</v>
      </c>
      <c r="V212" s="22" t="s">
        <v>100</v>
      </c>
      <c r="W212" s="17">
        <v>0.4</v>
      </c>
      <c r="X212" s="17">
        <v>0.2</v>
      </c>
      <c r="Y212" s="17">
        <v>1.7</v>
      </c>
      <c r="Z212" s="17">
        <v>0.1</v>
      </c>
      <c r="AA212" s="17">
        <v>0.1</v>
      </c>
      <c r="AB212" s="17">
        <v>0</v>
      </c>
      <c r="AC212" s="17">
        <v>165</v>
      </c>
      <c r="AD212" s="17">
        <v>15</v>
      </c>
      <c r="AE212" s="17">
        <v>620</v>
      </c>
      <c r="AF212" s="17">
        <v>197</v>
      </c>
      <c r="AG212" s="17">
        <v>194</v>
      </c>
      <c r="AH212" s="17">
        <v>65</v>
      </c>
      <c r="AI212" s="17">
        <v>3.6</v>
      </c>
      <c r="AJ212" s="17">
        <v>1</v>
      </c>
      <c r="AK212" s="17">
        <v>0.1</v>
      </c>
      <c r="AL212" s="17">
        <v>1.5</v>
      </c>
      <c r="AM212" s="27">
        <v>0</v>
      </c>
    </row>
    <row r="213" spans="1:39" x14ac:dyDescent="0.25">
      <c r="A213" s="10">
        <v>212</v>
      </c>
      <c r="B213" s="9" t="s">
        <v>297</v>
      </c>
      <c r="C213" s="9" t="s">
        <v>314</v>
      </c>
      <c r="D213" s="10">
        <v>1</v>
      </c>
      <c r="E213" s="11">
        <v>115</v>
      </c>
      <c r="F213" s="17">
        <v>69.8</v>
      </c>
      <c r="G213" s="27">
        <v>0</v>
      </c>
      <c r="H213" s="17">
        <v>7.8</v>
      </c>
      <c r="I213" s="17">
        <v>13</v>
      </c>
      <c r="J213" s="22" t="s">
        <v>100</v>
      </c>
      <c r="K213" s="17">
        <v>9</v>
      </c>
      <c r="L213" s="17">
        <v>0.4</v>
      </c>
      <c r="M213" s="19">
        <v>0.09</v>
      </c>
      <c r="N213" s="19">
        <v>0.03</v>
      </c>
      <c r="O213" s="19">
        <v>0.17</v>
      </c>
      <c r="P213" s="28">
        <v>0</v>
      </c>
      <c r="Q213" s="17">
        <v>0</v>
      </c>
      <c r="R213" s="17">
        <v>0</v>
      </c>
      <c r="S213" s="17">
        <v>0</v>
      </c>
      <c r="T213" s="27">
        <v>0</v>
      </c>
      <c r="U213" s="17">
        <v>3.3</v>
      </c>
      <c r="V213" s="22" t="s">
        <v>100</v>
      </c>
      <c r="W213" s="17">
        <v>0.2</v>
      </c>
      <c r="X213" s="17">
        <v>0.1</v>
      </c>
      <c r="Y213" s="17">
        <v>0.4</v>
      </c>
      <c r="Z213" s="17">
        <v>0.2</v>
      </c>
      <c r="AA213" s="17">
        <v>0.4</v>
      </c>
      <c r="AB213" s="17">
        <v>0</v>
      </c>
      <c r="AC213" s="17">
        <v>83</v>
      </c>
      <c r="AD213" s="17">
        <v>2</v>
      </c>
      <c r="AE213" s="17">
        <v>508</v>
      </c>
      <c r="AF213" s="17">
        <v>17</v>
      </c>
      <c r="AG213" s="17">
        <v>111</v>
      </c>
      <c r="AH213" s="17">
        <v>43</v>
      </c>
      <c r="AI213" s="17">
        <v>2.4</v>
      </c>
      <c r="AJ213" s="17">
        <v>1</v>
      </c>
      <c r="AK213" s="17">
        <v>0.2</v>
      </c>
      <c r="AL213" s="17">
        <v>2.5</v>
      </c>
      <c r="AM213" s="27">
        <v>0</v>
      </c>
    </row>
    <row r="214" spans="1:39" x14ac:dyDescent="0.25">
      <c r="A214" s="10">
        <v>213</v>
      </c>
      <c r="B214" s="9" t="s">
        <v>297</v>
      </c>
      <c r="C214" s="9" t="s">
        <v>315</v>
      </c>
      <c r="D214" s="10">
        <v>1</v>
      </c>
      <c r="E214" s="11">
        <v>341</v>
      </c>
      <c r="F214" s="17">
        <v>11</v>
      </c>
      <c r="G214" s="17">
        <v>3.6</v>
      </c>
      <c r="H214" s="17">
        <v>21.6</v>
      </c>
      <c r="I214" s="17">
        <v>46.9</v>
      </c>
      <c r="J214" s="17">
        <v>2.1</v>
      </c>
      <c r="K214" s="17">
        <v>15.5</v>
      </c>
      <c r="L214" s="17">
        <v>1.4</v>
      </c>
      <c r="M214" s="19">
        <v>0.37</v>
      </c>
      <c r="N214" s="19">
        <v>0.12</v>
      </c>
      <c r="O214" s="19">
        <v>0.61</v>
      </c>
      <c r="P214" s="28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0.2</v>
      </c>
      <c r="V214" s="17">
        <v>5.6</v>
      </c>
      <c r="W214" s="17">
        <v>0.9</v>
      </c>
      <c r="X214" s="17">
        <v>0.2</v>
      </c>
      <c r="Y214" s="17">
        <v>2</v>
      </c>
      <c r="Z214" s="17">
        <v>0.3</v>
      </c>
      <c r="AA214" s="17">
        <v>0.9</v>
      </c>
      <c r="AB214" s="17">
        <v>0</v>
      </c>
      <c r="AC214" s="17">
        <v>444</v>
      </c>
      <c r="AD214" s="17">
        <v>5</v>
      </c>
      <c r="AE214" s="17">
        <v>1483</v>
      </c>
      <c r="AF214" s="17">
        <v>123</v>
      </c>
      <c r="AG214" s="17">
        <v>352</v>
      </c>
      <c r="AH214" s="17">
        <v>171</v>
      </c>
      <c r="AI214" s="17">
        <v>5</v>
      </c>
      <c r="AJ214" s="17">
        <v>3.7</v>
      </c>
      <c r="AK214" s="17">
        <v>0.8</v>
      </c>
      <c r="AL214" s="17">
        <v>3.2</v>
      </c>
      <c r="AM214" s="27">
        <v>0</v>
      </c>
    </row>
    <row r="215" spans="1:39" x14ac:dyDescent="0.25">
      <c r="A215" s="10">
        <v>214</v>
      </c>
      <c r="B215" s="9" t="s">
        <v>316</v>
      </c>
      <c r="C215" s="9" t="s">
        <v>317</v>
      </c>
      <c r="D215" s="10">
        <v>1</v>
      </c>
      <c r="E215" s="11">
        <v>579</v>
      </c>
      <c r="F215" s="17">
        <v>4.4000000000000004</v>
      </c>
      <c r="G215" s="17">
        <v>3</v>
      </c>
      <c r="H215" s="17">
        <v>21.2</v>
      </c>
      <c r="I215" s="17">
        <v>9</v>
      </c>
      <c r="J215" s="17">
        <v>4.4000000000000004</v>
      </c>
      <c r="K215" s="17">
        <v>12.5</v>
      </c>
      <c r="L215" s="17">
        <v>49.9</v>
      </c>
      <c r="M215" s="19">
        <v>3.8</v>
      </c>
      <c r="N215" s="19">
        <v>31.55</v>
      </c>
      <c r="O215" s="19">
        <v>12.33</v>
      </c>
      <c r="P215" s="28">
        <v>0.01</v>
      </c>
      <c r="Q215" s="17">
        <v>0</v>
      </c>
      <c r="R215" s="17">
        <v>0</v>
      </c>
      <c r="S215" s="17">
        <v>0</v>
      </c>
      <c r="T215" s="17">
        <v>0</v>
      </c>
      <c r="U215" s="17">
        <v>25.6</v>
      </c>
      <c r="V215" s="17">
        <v>0</v>
      </c>
      <c r="W215" s="17">
        <v>0.2</v>
      </c>
      <c r="X215" s="17">
        <v>1.1000000000000001</v>
      </c>
      <c r="Y215" s="17">
        <v>3.6</v>
      </c>
      <c r="Z215" s="17">
        <v>0.1</v>
      </c>
      <c r="AA215" s="17">
        <v>0.5</v>
      </c>
      <c r="AB215" s="17">
        <v>0</v>
      </c>
      <c r="AC215" s="17">
        <v>44</v>
      </c>
      <c r="AD215" s="17">
        <v>1</v>
      </c>
      <c r="AE215" s="17">
        <v>733</v>
      </c>
      <c r="AF215" s="17">
        <v>269</v>
      </c>
      <c r="AG215" s="17">
        <v>481</v>
      </c>
      <c r="AH215" s="17">
        <v>270</v>
      </c>
      <c r="AI215" s="17">
        <v>3.7</v>
      </c>
      <c r="AJ215" s="17">
        <v>3.1</v>
      </c>
      <c r="AK215" s="17">
        <v>1</v>
      </c>
      <c r="AL215" s="17">
        <v>4.0999999999999996</v>
      </c>
      <c r="AM215" s="27">
        <v>0</v>
      </c>
    </row>
    <row r="216" spans="1:39" x14ac:dyDescent="0.25">
      <c r="A216" s="10">
        <v>215</v>
      </c>
      <c r="B216" s="9" t="s">
        <v>316</v>
      </c>
      <c r="C216" s="9" t="s">
        <v>318</v>
      </c>
      <c r="D216" s="10">
        <v>3</v>
      </c>
      <c r="E216" s="11">
        <v>578</v>
      </c>
      <c r="F216" s="17">
        <v>4.5</v>
      </c>
      <c r="G216" s="17">
        <v>3</v>
      </c>
      <c r="H216" s="17">
        <v>24</v>
      </c>
      <c r="I216" s="17">
        <v>7.3</v>
      </c>
      <c r="J216" s="27">
        <v>4.3</v>
      </c>
      <c r="K216" s="17">
        <v>10.9</v>
      </c>
      <c r="L216" s="17">
        <v>50.3</v>
      </c>
      <c r="M216" s="19">
        <v>4.0599999999999996</v>
      </c>
      <c r="N216" s="19">
        <v>29.7</v>
      </c>
      <c r="O216" s="19">
        <v>14.22</v>
      </c>
      <c r="P216" s="19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25.6</v>
      </c>
      <c r="V216" s="27">
        <v>0</v>
      </c>
      <c r="W216" s="27">
        <v>0.2</v>
      </c>
      <c r="X216" s="27">
        <v>1.1000000000000001</v>
      </c>
      <c r="Y216" s="27">
        <v>3.6</v>
      </c>
      <c r="Z216" s="27">
        <v>0.1</v>
      </c>
      <c r="AA216" s="27">
        <v>0.5</v>
      </c>
      <c r="AB216" s="27">
        <v>0</v>
      </c>
      <c r="AC216" s="27">
        <v>44</v>
      </c>
      <c r="AD216" s="17">
        <v>49</v>
      </c>
      <c r="AE216" s="27">
        <v>732.3</v>
      </c>
      <c r="AF216" s="27">
        <v>268.7</v>
      </c>
      <c r="AG216" s="27">
        <v>480.5</v>
      </c>
      <c r="AH216" s="27">
        <v>269.7</v>
      </c>
      <c r="AI216" s="27">
        <v>3.7</v>
      </c>
      <c r="AJ216" s="27">
        <v>3.1</v>
      </c>
      <c r="AK216" s="27">
        <v>1</v>
      </c>
      <c r="AL216" s="27">
        <v>4.0999999999999996</v>
      </c>
      <c r="AM216" s="27">
        <v>0</v>
      </c>
    </row>
    <row r="217" spans="1:39" x14ac:dyDescent="0.25">
      <c r="A217" s="10">
        <v>216</v>
      </c>
      <c r="B217" s="9" t="s">
        <v>316</v>
      </c>
      <c r="C217" s="9" t="s">
        <v>319</v>
      </c>
      <c r="D217" s="10">
        <v>1</v>
      </c>
      <c r="E217" s="11">
        <v>628</v>
      </c>
      <c r="F217" s="17">
        <v>5.3</v>
      </c>
      <c r="G217" s="17">
        <v>2.2999999999999998</v>
      </c>
      <c r="H217" s="17">
        <v>15</v>
      </c>
      <c r="I217" s="17">
        <v>7</v>
      </c>
      <c r="J217" s="17">
        <v>4.3</v>
      </c>
      <c r="K217" s="17">
        <v>9.6999999999999993</v>
      </c>
      <c r="L217" s="17">
        <v>60.8</v>
      </c>
      <c r="M217" s="19">
        <v>4.46</v>
      </c>
      <c r="N217" s="19">
        <v>45.65</v>
      </c>
      <c r="O217" s="19">
        <v>7.92</v>
      </c>
      <c r="P217" s="28">
        <v>0</v>
      </c>
      <c r="Q217" s="17">
        <v>0</v>
      </c>
      <c r="R217" s="17">
        <v>1</v>
      </c>
      <c r="S217" s="17">
        <v>6.3</v>
      </c>
      <c r="T217" s="17">
        <v>0</v>
      </c>
      <c r="U217" s="17">
        <v>15</v>
      </c>
      <c r="V217" s="17">
        <v>14.2</v>
      </c>
      <c r="W217" s="17">
        <v>0.6</v>
      </c>
      <c r="X217" s="17">
        <v>0.1</v>
      </c>
      <c r="Y217" s="17">
        <v>1.8</v>
      </c>
      <c r="Z217" s="17">
        <v>0.6</v>
      </c>
      <c r="AA217" s="17">
        <v>0.9</v>
      </c>
      <c r="AB217" s="17">
        <v>0</v>
      </c>
      <c r="AC217" s="17">
        <v>113</v>
      </c>
      <c r="AD217" s="17">
        <v>0</v>
      </c>
      <c r="AE217" s="17">
        <v>680</v>
      </c>
      <c r="AF217" s="17">
        <v>114</v>
      </c>
      <c r="AG217" s="17">
        <v>290</v>
      </c>
      <c r="AH217" s="17">
        <v>163</v>
      </c>
      <c r="AI217" s="17">
        <v>4.7</v>
      </c>
      <c r="AJ217" s="17">
        <v>2.5</v>
      </c>
      <c r="AK217" s="17">
        <v>1.7</v>
      </c>
      <c r="AL217" s="17">
        <v>2.4</v>
      </c>
      <c r="AM217" s="27">
        <v>0</v>
      </c>
    </row>
    <row r="218" spans="1:39" x14ac:dyDescent="0.25">
      <c r="A218" s="10">
        <v>217</v>
      </c>
      <c r="B218" s="9" t="s">
        <v>316</v>
      </c>
      <c r="C218" s="9" t="s">
        <v>320</v>
      </c>
      <c r="D218" s="10">
        <v>1</v>
      </c>
      <c r="E218" s="11">
        <v>574</v>
      </c>
      <c r="F218" s="17">
        <v>1.7</v>
      </c>
      <c r="G218" s="17">
        <v>4</v>
      </c>
      <c r="H218" s="17">
        <v>15.3</v>
      </c>
      <c r="I218" s="17">
        <v>29.7</v>
      </c>
      <c r="J218" s="17">
        <v>5</v>
      </c>
      <c r="K218" s="17">
        <v>3</v>
      </c>
      <c r="L218" s="17">
        <v>46.4</v>
      </c>
      <c r="M218" s="19">
        <v>9.16</v>
      </c>
      <c r="N218" s="19">
        <v>27.32</v>
      </c>
      <c r="O218" s="19">
        <v>7.84</v>
      </c>
      <c r="P218" s="28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0.9</v>
      </c>
      <c r="V218" s="17">
        <v>34.700000000000003</v>
      </c>
      <c r="W218" s="17">
        <v>0.2</v>
      </c>
      <c r="X218" s="17">
        <v>0.2</v>
      </c>
      <c r="Y218" s="17">
        <v>1.4</v>
      </c>
      <c r="Z218" s="17">
        <v>0.3</v>
      </c>
      <c r="AA218" s="17">
        <v>1.2</v>
      </c>
      <c r="AB218" s="17">
        <v>0</v>
      </c>
      <c r="AC218" s="17">
        <v>69</v>
      </c>
      <c r="AD218" s="17">
        <v>16</v>
      </c>
      <c r="AE218" s="17">
        <v>565</v>
      </c>
      <c r="AF218" s="17">
        <v>45</v>
      </c>
      <c r="AG218" s="17">
        <v>490</v>
      </c>
      <c r="AH218" s="17">
        <v>260</v>
      </c>
      <c r="AI218" s="17">
        <v>6</v>
      </c>
      <c r="AJ218" s="17">
        <v>5.6</v>
      </c>
      <c r="AK218" s="17">
        <v>2.2000000000000002</v>
      </c>
      <c r="AL218" s="17">
        <v>11.7</v>
      </c>
      <c r="AM218" s="27">
        <v>0</v>
      </c>
    </row>
    <row r="219" spans="1:39" x14ac:dyDescent="0.25">
      <c r="A219" s="10">
        <v>218</v>
      </c>
      <c r="B219" s="9" t="s">
        <v>316</v>
      </c>
      <c r="C219" s="9" t="s">
        <v>321</v>
      </c>
      <c r="D219" s="10">
        <v>1</v>
      </c>
      <c r="E219" s="11">
        <v>718</v>
      </c>
      <c r="F219" s="17">
        <v>1.4</v>
      </c>
      <c r="G219" s="17">
        <v>1.1000000000000001</v>
      </c>
      <c r="H219" s="17">
        <v>7.9</v>
      </c>
      <c r="I219" s="17">
        <v>5.2</v>
      </c>
      <c r="J219" s="17">
        <v>4.5999999999999996</v>
      </c>
      <c r="K219" s="17">
        <v>8.6</v>
      </c>
      <c r="L219" s="17">
        <v>75.8</v>
      </c>
      <c r="M219" s="19">
        <v>12.06</v>
      </c>
      <c r="N219" s="19">
        <v>58.88</v>
      </c>
      <c r="O219" s="19">
        <v>1.5</v>
      </c>
      <c r="P219" s="28">
        <v>0</v>
      </c>
      <c r="Q219" s="17">
        <v>0</v>
      </c>
      <c r="R219" s="17">
        <v>0</v>
      </c>
      <c r="S219" s="17">
        <v>1.2</v>
      </c>
      <c r="T219" s="17">
        <v>0</v>
      </c>
      <c r="U219" s="17">
        <v>0.5</v>
      </c>
      <c r="V219" s="22" t="s">
        <v>100</v>
      </c>
      <c r="W219" s="17">
        <v>1.2</v>
      </c>
      <c r="X219" s="17">
        <v>0.2</v>
      </c>
      <c r="Y219" s="17">
        <v>2.5</v>
      </c>
      <c r="Z219" s="17">
        <v>0.3</v>
      </c>
      <c r="AA219" s="17">
        <v>0.8</v>
      </c>
      <c r="AB219" s="17">
        <v>0</v>
      </c>
      <c r="AC219" s="17">
        <v>11</v>
      </c>
      <c r="AD219" s="17">
        <v>5</v>
      </c>
      <c r="AE219" s="17">
        <v>368</v>
      </c>
      <c r="AF219" s="17">
        <v>85</v>
      </c>
      <c r="AG219" s="17">
        <v>188</v>
      </c>
      <c r="AH219" s="17">
        <v>130</v>
      </c>
      <c r="AI219" s="17">
        <v>3.7</v>
      </c>
      <c r="AJ219" s="17">
        <v>1.3</v>
      </c>
      <c r="AK219" s="17">
        <v>0.8</v>
      </c>
      <c r="AL219" s="17">
        <v>3.6</v>
      </c>
      <c r="AM219" s="27">
        <v>0</v>
      </c>
    </row>
    <row r="220" spans="1:39" x14ac:dyDescent="0.25">
      <c r="A220" s="10">
        <v>219</v>
      </c>
      <c r="B220" s="9" t="s">
        <v>316</v>
      </c>
      <c r="C220" s="9" t="s">
        <v>322</v>
      </c>
      <c r="D220" s="10">
        <v>1</v>
      </c>
      <c r="E220" s="11">
        <v>567</v>
      </c>
      <c r="F220" s="17">
        <v>6.5</v>
      </c>
      <c r="G220" s="17">
        <v>2.2999999999999998</v>
      </c>
      <c r="H220" s="17">
        <v>25.8</v>
      </c>
      <c r="I220" s="17">
        <v>7.6</v>
      </c>
      <c r="J220" s="17">
        <v>4.7</v>
      </c>
      <c r="K220" s="17">
        <v>8.5</v>
      </c>
      <c r="L220" s="17">
        <v>49.2</v>
      </c>
      <c r="M220" s="19">
        <v>6.28</v>
      </c>
      <c r="N220" s="19">
        <v>24.43</v>
      </c>
      <c r="O220" s="19">
        <v>15.56</v>
      </c>
      <c r="P220" s="28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8.3000000000000007</v>
      </c>
      <c r="V220" s="17">
        <v>0</v>
      </c>
      <c r="W220" s="17">
        <v>0.6</v>
      </c>
      <c r="X220" s="17">
        <v>0.1</v>
      </c>
      <c r="Y220" s="17">
        <v>12.1</v>
      </c>
      <c r="Z220" s="17">
        <v>0.3</v>
      </c>
      <c r="AA220" s="17">
        <v>1.8</v>
      </c>
      <c r="AB220" s="17">
        <v>0</v>
      </c>
      <c r="AC220" s="17">
        <v>240</v>
      </c>
      <c r="AD220" s="17">
        <v>18</v>
      </c>
      <c r="AE220" s="17">
        <v>705</v>
      </c>
      <c r="AF220" s="17">
        <v>92</v>
      </c>
      <c r="AG220" s="17">
        <v>376</v>
      </c>
      <c r="AH220" s="17">
        <v>168</v>
      </c>
      <c r="AI220" s="17">
        <v>4.5999999999999996</v>
      </c>
      <c r="AJ220" s="17">
        <v>3.3</v>
      </c>
      <c r="AK220" s="17">
        <v>1.1000000000000001</v>
      </c>
      <c r="AL220" s="17">
        <v>7.2</v>
      </c>
      <c r="AM220" s="27">
        <v>0</v>
      </c>
    </row>
    <row r="221" spans="1:39" x14ac:dyDescent="0.25">
      <c r="A221" s="10">
        <v>220</v>
      </c>
      <c r="B221" s="9" t="s">
        <v>316</v>
      </c>
      <c r="C221" s="9" t="s">
        <v>323</v>
      </c>
      <c r="D221" s="10">
        <v>3</v>
      </c>
      <c r="E221" s="11">
        <v>437</v>
      </c>
      <c r="F221" s="17">
        <v>2.4</v>
      </c>
      <c r="G221" s="17">
        <v>2.2000000000000002</v>
      </c>
      <c r="H221" s="17">
        <v>17.7</v>
      </c>
      <c r="I221" s="17">
        <v>44.2</v>
      </c>
      <c r="J221" s="17">
        <v>13.5</v>
      </c>
      <c r="K221" s="17">
        <v>12.4</v>
      </c>
      <c r="L221" s="17">
        <v>21.1</v>
      </c>
      <c r="M221" s="19">
        <v>2.5</v>
      </c>
      <c r="N221" s="19">
        <v>16.04</v>
      </c>
      <c r="O221" s="19">
        <v>1.65</v>
      </c>
      <c r="P221" s="19">
        <v>0</v>
      </c>
      <c r="Q221" s="17">
        <v>0</v>
      </c>
      <c r="R221" s="22" t="s">
        <v>100</v>
      </c>
      <c r="S221" s="22" t="s">
        <v>100</v>
      </c>
      <c r="T221" s="22" t="s">
        <v>100</v>
      </c>
      <c r="U221" s="22" t="s">
        <v>100</v>
      </c>
      <c r="V221" s="22" t="s">
        <v>100</v>
      </c>
      <c r="W221" s="22" t="s">
        <v>100</v>
      </c>
      <c r="X221" s="22" t="s">
        <v>100</v>
      </c>
      <c r="Y221" s="22" t="s">
        <v>100</v>
      </c>
      <c r="Z221" s="22" t="s">
        <v>100</v>
      </c>
      <c r="AA221" s="22" t="s">
        <v>100</v>
      </c>
      <c r="AB221" s="22" t="s">
        <v>100</v>
      </c>
      <c r="AC221" s="22" t="s">
        <v>100</v>
      </c>
      <c r="AD221" s="17">
        <v>438</v>
      </c>
      <c r="AE221" s="22" t="s">
        <v>100</v>
      </c>
      <c r="AF221" s="22" t="s">
        <v>100</v>
      </c>
      <c r="AG221" s="22" t="s">
        <v>100</v>
      </c>
      <c r="AH221" s="22" t="s">
        <v>100</v>
      </c>
      <c r="AI221" s="22" t="s">
        <v>100</v>
      </c>
      <c r="AJ221" s="22" t="s">
        <v>100</v>
      </c>
      <c r="AK221" s="22" t="s">
        <v>100</v>
      </c>
      <c r="AL221" s="22" t="s">
        <v>100</v>
      </c>
      <c r="AM221" s="27">
        <v>0</v>
      </c>
    </row>
    <row r="222" spans="1:39" x14ac:dyDescent="0.25">
      <c r="A222" s="10">
        <v>221</v>
      </c>
      <c r="B222" s="9" t="s">
        <v>316</v>
      </c>
      <c r="C222" s="9" t="s">
        <v>324</v>
      </c>
      <c r="D222" s="10">
        <v>1</v>
      </c>
      <c r="E222" s="11">
        <v>587</v>
      </c>
      <c r="F222" s="17">
        <v>1.8</v>
      </c>
      <c r="G222" s="17">
        <v>2.9</v>
      </c>
      <c r="H222" s="17">
        <v>24.4</v>
      </c>
      <c r="I222" s="17">
        <v>12.9</v>
      </c>
      <c r="J222" s="17">
        <v>4.9000000000000004</v>
      </c>
      <c r="K222" s="17">
        <v>8.4</v>
      </c>
      <c r="L222" s="17">
        <v>49.7</v>
      </c>
      <c r="M222" s="19">
        <v>7.72</v>
      </c>
      <c r="N222" s="19">
        <v>26.18</v>
      </c>
      <c r="O222" s="19">
        <v>9.77</v>
      </c>
      <c r="P222" s="28">
        <v>0.03</v>
      </c>
      <c r="Q222" s="17">
        <v>0</v>
      </c>
      <c r="R222" s="17">
        <v>0</v>
      </c>
      <c r="S222" s="17">
        <v>0</v>
      </c>
      <c r="T222" s="17">
        <v>0</v>
      </c>
      <c r="U222" s="17">
        <v>4.9000000000000004</v>
      </c>
      <c r="V222" s="17">
        <v>0</v>
      </c>
      <c r="W222" s="17">
        <v>0.2</v>
      </c>
      <c r="X222" s="17">
        <v>0.2</v>
      </c>
      <c r="Y222" s="17">
        <v>14.4</v>
      </c>
      <c r="Z222" s="17">
        <v>0.5</v>
      </c>
      <c r="AA222" s="17">
        <v>1</v>
      </c>
      <c r="AB222" s="17">
        <v>0</v>
      </c>
      <c r="AC222" s="17">
        <v>97</v>
      </c>
      <c r="AD222" s="17">
        <v>410</v>
      </c>
      <c r="AE222" s="17">
        <v>634</v>
      </c>
      <c r="AF222" s="17">
        <v>58</v>
      </c>
      <c r="AG222" s="17">
        <v>363</v>
      </c>
      <c r="AH222" s="17">
        <v>178</v>
      </c>
      <c r="AI222" s="17">
        <v>1.6</v>
      </c>
      <c r="AJ222" s="17">
        <v>2.8</v>
      </c>
      <c r="AK222" s="17">
        <v>0.4</v>
      </c>
      <c r="AL222" s="17">
        <v>9.3000000000000007</v>
      </c>
      <c r="AM222" s="27">
        <v>0</v>
      </c>
    </row>
    <row r="223" spans="1:39" x14ac:dyDescent="0.25">
      <c r="A223" s="10">
        <v>222</v>
      </c>
      <c r="B223" s="9" t="s">
        <v>316</v>
      </c>
      <c r="C223" s="9" t="s">
        <v>325</v>
      </c>
      <c r="D223" s="10">
        <v>3</v>
      </c>
      <c r="E223" s="11">
        <v>551</v>
      </c>
      <c r="F223" s="17">
        <v>3.4</v>
      </c>
      <c r="G223" s="17">
        <v>1.5</v>
      </c>
      <c r="H223" s="17">
        <v>17.5</v>
      </c>
      <c r="I223" s="17">
        <v>3.1</v>
      </c>
      <c r="J223" s="17">
        <v>3.1</v>
      </c>
      <c r="K223" s="17">
        <v>22.4</v>
      </c>
      <c r="L223" s="17">
        <v>52.1</v>
      </c>
      <c r="M223" s="28">
        <v>4.8899999999999997</v>
      </c>
      <c r="N223" s="28">
        <v>7.14</v>
      </c>
      <c r="O223" s="28">
        <v>37.69</v>
      </c>
      <c r="P223" s="28">
        <v>0</v>
      </c>
      <c r="Q223" s="27">
        <v>0</v>
      </c>
      <c r="R223" s="27">
        <v>1</v>
      </c>
      <c r="S223" s="27">
        <v>1.3</v>
      </c>
      <c r="T223" s="27">
        <v>0</v>
      </c>
      <c r="U223" s="27">
        <v>0.7</v>
      </c>
      <c r="V223" s="27">
        <v>2.7</v>
      </c>
      <c r="W223" s="27">
        <v>0.3</v>
      </c>
      <c r="X223" s="27">
        <v>0.2</v>
      </c>
      <c r="Y223" s="27">
        <v>1.1000000000000001</v>
      </c>
      <c r="Z223" s="27">
        <v>0.5</v>
      </c>
      <c r="AA223" s="27">
        <v>0.6</v>
      </c>
      <c r="AB223" s="27">
        <v>0</v>
      </c>
      <c r="AC223" s="27">
        <v>98.7</v>
      </c>
      <c r="AD223" s="17">
        <v>18</v>
      </c>
      <c r="AE223" s="27">
        <v>444.1</v>
      </c>
      <c r="AF223" s="27">
        <v>98.7</v>
      </c>
      <c r="AG223" s="27">
        <v>348.4</v>
      </c>
      <c r="AH223" s="27">
        <v>159.1</v>
      </c>
      <c r="AI223" s="27">
        <v>2.9</v>
      </c>
      <c r="AJ223" s="27">
        <v>3.1</v>
      </c>
      <c r="AK223" s="27">
        <v>1.6</v>
      </c>
      <c r="AL223" s="27">
        <v>4.9000000000000004</v>
      </c>
      <c r="AM223" s="27">
        <v>0</v>
      </c>
    </row>
    <row r="224" spans="1:39" x14ac:dyDescent="0.25">
      <c r="A224" s="10">
        <v>223</v>
      </c>
      <c r="B224" s="9" t="s">
        <v>316</v>
      </c>
      <c r="C224" s="9" t="s">
        <v>326</v>
      </c>
      <c r="D224" s="10">
        <v>1</v>
      </c>
      <c r="E224" s="11">
        <v>606</v>
      </c>
      <c r="F224" s="17">
        <v>4.4000000000000004</v>
      </c>
      <c r="G224" s="27">
        <v>1.5</v>
      </c>
      <c r="H224" s="17">
        <v>24.3</v>
      </c>
      <c r="I224" s="17">
        <v>8.1999999999999993</v>
      </c>
      <c r="J224" s="27">
        <v>2.6</v>
      </c>
      <c r="K224" s="17">
        <v>5</v>
      </c>
      <c r="L224" s="17">
        <v>56.6</v>
      </c>
      <c r="M224" s="19">
        <v>3.63</v>
      </c>
      <c r="N224" s="19">
        <v>12.7</v>
      </c>
      <c r="O224" s="19">
        <v>37.5</v>
      </c>
      <c r="P224" s="28">
        <v>0</v>
      </c>
      <c r="Q224" s="17">
        <v>0</v>
      </c>
      <c r="R224" s="17">
        <v>30</v>
      </c>
      <c r="S224" s="17">
        <v>3.2</v>
      </c>
      <c r="T224" s="27">
        <v>0</v>
      </c>
      <c r="U224" s="17">
        <v>2.5</v>
      </c>
      <c r="V224" s="27">
        <v>2.7</v>
      </c>
      <c r="W224" s="17">
        <v>0.2</v>
      </c>
      <c r="X224" s="17">
        <v>0.1</v>
      </c>
      <c r="Y224" s="17">
        <v>0.7</v>
      </c>
      <c r="Z224" s="17">
        <v>0.6</v>
      </c>
      <c r="AA224" s="17">
        <v>0.6</v>
      </c>
      <c r="AB224" s="17">
        <v>0</v>
      </c>
      <c r="AC224" s="17">
        <v>65.5</v>
      </c>
      <c r="AD224" s="17">
        <v>1</v>
      </c>
      <c r="AE224" s="17">
        <v>524</v>
      </c>
      <c r="AF224" s="17">
        <v>58</v>
      </c>
      <c r="AG224" s="17">
        <v>464</v>
      </c>
      <c r="AH224" s="17">
        <v>202</v>
      </c>
      <c r="AI224" s="17">
        <v>3.1</v>
      </c>
      <c r="AJ224" s="17">
        <v>3.4</v>
      </c>
      <c r="AK224" s="17">
        <v>1</v>
      </c>
      <c r="AL224" s="17">
        <v>17.600000000000001</v>
      </c>
      <c r="AM224" s="27">
        <v>0</v>
      </c>
    </row>
    <row r="225" spans="1:39" x14ac:dyDescent="0.25">
      <c r="A225" s="10">
        <v>224</v>
      </c>
      <c r="B225" s="9" t="s">
        <v>316</v>
      </c>
      <c r="C225" s="9" t="s">
        <v>327</v>
      </c>
      <c r="D225" s="10">
        <v>1</v>
      </c>
      <c r="E225" s="11">
        <v>560</v>
      </c>
      <c r="F225" s="17">
        <v>4.4000000000000004</v>
      </c>
      <c r="G225" s="17">
        <v>3</v>
      </c>
      <c r="H225" s="17">
        <v>20.2</v>
      </c>
      <c r="I225" s="17">
        <v>16.600000000000001</v>
      </c>
      <c r="J225" s="17">
        <v>7.7</v>
      </c>
      <c r="K225" s="17">
        <v>10.6</v>
      </c>
      <c r="L225" s="17">
        <v>45.3</v>
      </c>
      <c r="M225" s="19">
        <v>5.91</v>
      </c>
      <c r="N225" s="19">
        <v>23.26</v>
      </c>
      <c r="O225" s="19">
        <v>14.38</v>
      </c>
      <c r="P225" s="28">
        <v>0</v>
      </c>
      <c r="Q225" s="17">
        <v>0</v>
      </c>
      <c r="R225" s="17">
        <v>26</v>
      </c>
      <c r="S225" s="17">
        <v>5.6</v>
      </c>
      <c r="T225" s="17">
        <v>0</v>
      </c>
      <c r="U225" s="17">
        <v>2.9</v>
      </c>
      <c r="V225" s="22" t="s">
        <v>100</v>
      </c>
      <c r="W225" s="17">
        <v>0.9</v>
      </c>
      <c r="X225" s="17">
        <v>0.2</v>
      </c>
      <c r="Y225" s="17">
        <v>1.3</v>
      </c>
      <c r="Z225" s="17">
        <v>1.7</v>
      </c>
      <c r="AA225" s="17">
        <v>0.5</v>
      </c>
      <c r="AB225" s="17">
        <v>0</v>
      </c>
      <c r="AC225" s="17">
        <v>51</v>
      </c>
      <c r="AD225" s="17">
        <v>1</v>
      </c>
      <c r="AE225" s="17">
        <v>1025</v>
      </c>
      <c r="AF225" s="17">
        <v>105</v>
      </c>
      <c r="AG225" s="17">
        <v>490</v>
      </c>
      <c r="AH225" s="17">
        <v>121</v>
      </c>
      <c r="AI225" s="17">
        <v>3.9</v>
      </c>
      <c r="AJ225" s="17">
        <v>2.2000000000000002</v>
      </c>
      <c r="AK225" s="17">
        <v>1.3</v>
      </c>
      <c r="AL225" s="17">
        <v>7</v>
      </c>
      <c r="AM225" s="27">
        <v>0</v>
      </c>
    </row>
    <row r="226" spans="1:39" x14ac:dyDescent="0.25">
      <c r="A226" s="10">
        <v>225</v>
      </c>
      <c r="B226" s="9" t="s">
        <v>316</v>
      </c>
      <c r="C226" s="9" t="s">
        <v>328</v>
      </c>
      <c r="D226" s="10">
        <v>1</v>
      </c>
      <c r="E226" s="11">
        <v>369</v>
      </c>
      <c r="F226" s="17">
        <v>9</v>
      </c>
      <c r="G226" s="17">
        <v>3.6</v>
      </c>
      <c r="H226" s="17">
        <v>5</v>
      </c>
      <c r="I226" s="17">
        <v>78.400000000000006</v>
      </c>
      <c r="J226" s="22" t="s">
        <v>100</v>
      </c>
      <c r="K226" s="22" t="s">
        <v>100</v>
      </c>
      <c r="L226" s="17">
        <v>3.9</v>
      </c>
      <c r="M226" s="19">
        <v>0.74</v>
      </c>
      <c r="N226" s="19">
        <v>1.35</v>
      </c>
      <c r="O226" s="19">
        <v>1.55</v>
      </c>
      <c r="P226" s="28">
        <v>0</v>
      </c>
      <c r="Q226" s="17">
        <v>0</v>
      </c>
      <c r="R226" s="17">
        <v>0</v>
      </c>
      <c r="S226" s="17">
        <v>15.1</v>
      </c>
      <c r="T226" s="17">
        <v>0</v>
      </c>
      <c r="U226" s="22" t="s">
        <v>100</v>
      </c>
      <c r="V226" s="22" t="s">
        <v>100</v>
      </c>
      <c r="W226" s="17">
        <v>0.4</v>
      </c>
      <c r="X226" s="17">
        <v>0.1</v>
      </c>
      <c r="Y226" s="17">
        <v>0.9</v>
      </c>
      <c r="Z226" s="17">
        <v>0.7</v>
      </c>
      <c r="AA226" s="17">
        <v>0.9</v>
      </c>
      <c r="AB226" s="17">
        <v>0</v>
      </c>
      <c r="AC226" s="17">
        <v>110</v>
      </c>
      <c r="AD226" s="17">
        <v>37</v>
      </c>
      <c r="AE226" s="17">
        <v>991</v>
      </c>
      <c r="AF226" s="17">
        <v>64</v>
      </c>
      <c r="AG226" s="17">
        <v>137</v>
      </c>
      <c r="AH226" s="17">
        <v>74</v>
      </c>
      <c r="AI226" s="17">
        <v>2.4</v>
      </c>
      <c r="AJ226" s="17">
        <v>0.4</v>
      </c>
      <c r="AK226" s="17">
        <v>0.7</v>
      </c>
      <c r="AL226" s="22" t="s">
        <v>100</v>
      </c>
      <c r="AM226" s="27">
        <v>0</v>
      </c>
    </row>
    <row r="227" spans="1:39" x14ac:dyDescent="0.25">
      <c r="A227" s="10">
        <v>226</v>
      </c>
      <c r="B227" s="9" t="s">
        <v>316</v>
      </c>
      <c r="C227" s="9" t="s">
        <v>329</v>
      </c>
      <c r="D227" s="10">
        <v>2</v>
      </c>
      <c r="E227" s="11">
        <v>180</v>
      </c>
      <c r="F227" s="17">
        <v>53.1</v>
      </c>
      <c r="G227" s="17">
        <v>1.1000000000000001</v>
      </c>
      <c r="H227" s="17">
        <v>4.5</v>
      </c>
      <c r="I227" s="27">
        <v>9.6</v>
      </c>
      <c r="J227" s="22" t="s">
        <v>100</v>
      </c>
      <c r="K227" s="27">
        <v>5.3</v>
      </c>
      <c r="L227" s="17">
        <v>1.1000000000000001</v>
      </c>
      <c r="M227" s="28">
        <v>0.17</v>
      </c>
      <c r="N227" s="28">
        <v>0.41</v>
      </c>
      <c r="O227" s="28">
        <v>0.46</v>
      </c>
      <c r="P227" s="28">
        <v>0</v>
      </c>
      <c r="Q227" s="27">
        <v>0</v>
      </c>
      <c r="R227" s="27">
        <v>0.5</v>
      </c>
      <c r="S227" s="27">
        <v>1</v>
      </c>
      <c r="T227" s="27">
        <v>0</v>
      </c>
      <c r="U227" s="22" t="s">
        <v>100</v>
      </c>
      <c r="V227" s="22" t="s">
        <v>100</v>
      </c>
      <c r="W227" s="17">
        <v>0.3</v>
      </c>
      <c r="X227" s="17">
        <v>0.1</v>
      </c>
      <c r="Y227" s="27">
        <v>2.2000000000000002</v>
      </c>
      <c r="Z227" s="27">
        <v>0.1</v>
      </c>
      <c r="AA227" s="27">
        <v>0.1</v>
      </c>
      <c r="AB227" s="27">
        <v>0</v>
      </c>
      <c r="AC227" s="27">
        <v>28.9</v>
      </c>
      <c r="AD227" s="27">
        <v>35.9</v>
      </c>
      <c r="AE227" s="17">
        <v>344</v>
      </c>
      <c r="AF227" s="17">
        <v>61</v>
      </c>
      <c r="AG227" s="17">
        <v>98</v>
      </c>
      <c r="AH227" s="27">
        <v>116.6</v>
      </c>
      <c r="AI227" s="27">
        <v>1.5</v>
      </c>
      <c r="AJ227" s="27">
        <v>2.1</v>
      </c>
      <c r="AK227" s="27">
        <v>0.5</v>
      </c>
      <c r="AL227" s="22" t="s">
        <v>100</v>
      </c>
      <c r="AM227" s="27">
        <v>0</v>
      </c>
    </row>
    <row r="228" spans="1:39" x14ac:dyDescent="0.25">
      <c r="A228" s="10">
        <v>227</v>
      </c>
      <c r="B228" s="9" t="s">
        <v>316</v>
      </c>
      <c r="C228" s="9" t="s">
        <v>330</v>
      </c>
      <c r="D228" s="10">
        <v>1</v>
      </c>
      <c r="E228" s="11">
        <v>673</v>
      </c>
      <c r="F228" s="17">
        <v>2.2999999999999998</v>
      </c>
      <c r="G228" s="17">
        <v>2.6</v>
      </c>
      <c r="H228" s="17">
        <v>13.7</v>
      </c>
      <c r="I228" s="17">
        <v>9.4</v>
      </c>
      <c r="J228" s="17">
        <v>3.6</v>
      </c>
      <c r="K228" s="17">
        <v>3.7</v>
      </c>
      <c r="L228" s="17">
        <v>68.400000000000006</v>
      </c>
      <c r="M228" s="19">
        <v>4.9000000000000004</v>
      </c>
      <c r="N228" s="19">
        <v>18.760000000000002</v>
      </c>
      <c r="O228" s="19">
        <v>34.07</v>
      </c>
      <c r="P228" s="28">
        <v>0</v>
      </c>
      <c r="Q228" s="17">
        <v>0</v>
      </c>
      <c r="R228" s="17">
        <v>1</v>
      </c>
      <c r="S228" s="17">
        <v>0.8</v>
      </c>
      <c r="T228" s="17">
        <v>0</v>
      </c>
      <c r="U228" s="17">
        <v>9.3000000000000007</v>
      </c>
      <c r="V228" s="17">
        <v>53.9</v>
      </c>
      <c r="W228" s="17">
        <v>0.4</v>
      </c>
      <c r="X228" s="17">
        <v>0.2</v>
      </c>
      <c r="Y228" s="17">
        <v>4.4000000000000004</v>
      </c>
      <c r="Z228" s="17">
        <v>0.1</v>
      </c>
      <c r="AA228" s="17">
        <v>0.3</v>
      </c>
      <c r="AB228" s="17">
        <v>0</v>
      </c>
      <c r="AC228" s="17">
        <v>34</v>
      </c>
      <c r="AD228" s="17">
        <v>2</v>
      </c>
      <c r="AE228" s="17">
        <v>597</v>
      </c>
      <c r="AF228" s="17">
        <v>16</v>
      </c>
      <c r="AG228" s="17">
        <v>575</v>
      </c>
      <c r="AH228" s="17">
        <v>251</v>
      </c>
      <c r="AI228" s="17">
        <v>5.5</v>
      </c>
      <c r="AJ228" s="17">
        <v>6.5</v>
      </c>
      <c r="AK228" s="17">
        <v>1.3</v>
      </c>
      <c r="AL228" s="17">
        <v>0.7</v>
      </c>
      <c r="AM228" s="27">
        <v>0</v>
      </c>
    </row>
    <row r="229" spans="1:39" x14ac:dyDescent="0.25">
      <c r="A229" s="10">
        <v>228</v>
      </c>
      <c r="B229" s="9" t="s">
        <v>316</v>
      </c>
      <c r="C229" s="9" t="s">
        <v>331</v>
      </c>
      <c r="D229" s="10">
        <v>1</v>
      </c>
      <c r="E229" s="11">
        <v>486</v>
      </c>
      <c r="F229" s="17">
        <v>5.8</v>
      </c>
      <c r="G229" s="17">
        <v>4.8</v>
      </c>
      <c r="H229" s="17">
        <v>16.5</v>
      </c>
      <c r="I229" s="17">
        <v>7.7</v>
      </c>
      <c r="J229" s="22" t="s">
        <v>100</v>
      </c>
      <c r="K229" s="17">
        <v>34.4</v>
      </c>
      <c r="L229" s="17">
        <v>30.7</v>
      </c>
      <c r="M229" s="19">
        <v>3.33</v>
      </c>
      <c r="N229" s="19">
        <v>2.31</v>
      </c>
      <c r="O229" s="19">
        <v>23.67</v>
      </c>
      <c r="P229" s="28">
        <v>0.14000000000000001</v>
      </c>
      <c r="Q229" s="17">
        <v>0</v>
      </c>
      <c r="R229" s="22" t="s">
        <v>100</v>
      </c>
      <c r="S229" s="17">
        <v>1.6</v>
      </c>
      <c r="T229" s="22" t="s">
        <v>100</v>
      </c>
      <c r="U229" s="17">
        <v>0.5</v>
      </c>
      <c r="V229" s="22" t="s">
        <v>100</v>
      </c>
      <c r="W229" s="17">
        <v>0.6</v>
      </c>
      <c r="X229" s="17">
        <v>0.2</v>
      </c>
      <c r="Y229" s="17">
        <v>8.8000000000000007</v>
      </c>
      <c r="Z229" s="22" t="s">
        <v>100</v>
      </c>
      <c r="AA229" s="22" t="s">
        <v>100</v>
      </c>
      <c r="AB229" s="17">
        <v>0</v>
      </c>
      <c r="AC229" s="17">
        <v>49</v>
      </c>
      <c r="AD229" s="17">
        <v>16</v>
      </c>
      <c r="AE229" s="17">
        <v>407</v>
      </c>
      <c r="AF229" s="17">
        <v>631</v>
      </c>
      <c r="AG229" s="17">
        <v>860</v>
      </c>
      <c r="AH229" s="17">
        <v>335</v>
      </c>
      <c r="AI229" s="17">
        <v>7.7</v>
      </c>
      <c r="AJ229" s="17">
        <v>4.5999999999999996</v>
      </c>
      <c r="AK229" s="17">
        <v>0.9</v>
      </c>
      <c r="AL229" s="17">
        <v>55.2</v>
      </c>
      <c r="AM229" s="27">
        <v>0</v>
      </c>
    </row>
    <row r="230" spans="1:39" x14ac:dyDescent="0.25">
      <c r="A230" s="10">
        <v>229</v>
      </c>
      <c r="B230" s="9" t="s">
        <v>316</v>
      </c>
      <c r="C230" s="9" t="s">
        <v>332</v>
      </c>
      <c r="D230" s="10">
        <v>1</v>
      </c>
      <c r="E230" s="11">
        <v>525</v>
      </c>
      <c r="F230" s="17">
        <v>6</v>
      </c>
      <c r="G230" s="17">
        <v>6.4</v>
      </c>
      <c r="H230" s="17">
        <v>18</v>
      </c>
      <c r="I230" s="17">
        <v>8.6</v>
      </c>
      <c r="J230" s="17">
        <v>3</v>
      </c>
      <c r="K230" s="17">
        <v>19.5</v>
      </c>
      <c r="L230" s="17">
        <v>41.6</v>
      </c>
      <c r="M230" s="19">
        <v>4.5199999999999996</v>
      </c>
      <c r="N230" s="19">
        <v>5.98</v>
      </c>
      <c r="O230" s="19">
        <v>28.57</v>
      </c>
      <c r="P230" s="28">
        <v>0</v>
      </c>
      <c r="Q230" s="17">
        <v>0</v>
      </c>
      <c r="R230" s="17">
        <v>0</v>
      </c>
      <c r="S230" s="17">
        <v>1</v>
      </c>
      <c r="T230" s="17">
        <v>0</v>
      </c>
      <c r="U230" s="17">
        <v>1.8</v>
      </c>
      <c r="V230" s="17">
        <v>0</v>
      </c>
      <c r="W230" s="17">
        <v>0.9</v>
      </c>
      <c r="X230" s="17">
        <v>0.1</v>
      </c>
      <c r="Y230" s="17">
        <v>0.9</v>
      </c>
      <c r="Z230" s="17">
        <v>0.2</v>
      </c>
      <c r="AA230" s="17">
        <v>0.3</v>
      </c>
      <c r="AB230" s="17">
        <v>0</v>
      </c>
      <c r="AC230" s="17">
        <v>82</v>
      </c>
      <c r="AD230" s="17">
        <v>26</v>
      </c>
      <c r="AE230" s="17">
        <v>719</v>
      </c>
      <c r="AF230" s="17">
        <v>1438</v>
      </c>
      <c r="AG230" s="17">
        <v>870</v>
      </c>
      <c r="AH230" s="17">
        <v>347</v>
      </c>
      <c r="AI230" s="17">
        <v>9.8000000000000007</v>
      </c>
      <c r="AJ230" s="17">
        <v>7.9</v>
      </c>
      <c r="AK230" s="17">
        <v>1.6</v>
      </c>
      <c r="AL230" s="17">
        <v>13.5</v>
      </c>
      <c r="AM230" s="27">
        <v>0</v>
      </c>
    </row>
    <row r="231" spans="1:39" x14ac:dyDescent="0.25">
      <c r="A231" s="10">
        <v>230</v>
      </c>
      <c r="B231" s="9" t="s">
        <v>316</v>
      </c>
      <c r="C231" s="9" t="s">
        <v>333</v>
      </c>
      <c r="D231" s="10">
        <v>1</v>
      </c>
      <c r="E231" s="11">
        <v>565</v>
      </c>
      <c r="F231" s="17">
        <v>3.3</v>
      </c>
      <c r="G231" s="17">
        <v>6</v>
      </c>
      <c r="H231" s="17">
        <v>17</v>
      </c>
      <c r="I231" s="17">
        <v>11.7</v>
      </c>
      <c r="J231" s="22" t="s">
        <v>100</v>
      </c>
      <c r="K231" s="17">
        <v>14</v>
      </c>
      <c r="L231" s="17">
        <v>48</v>
      </c>
      <c r="M231" s="19">
        <v>6.72</v>
      </c>
      <c r="N231" s="19">
        <v>18.13</v>
      </c>
      <c r="O231" s="19">
        <v>21.04</v>
      </c>
      <c r="P231" s="28">
        <v>0</v>
      </c>
      <c r="Q231" s="17">
        <v>0</v>
      </c>
      <c r="R231" s="17">
        <v>0</v>
      </c>
      <c r="S231" s="17">
        <v>0</v>
      </c>
      <c r="T231" s="17">
        <v>0</v>
      </c>
      <c r="U231" s="22" t="s">
        <v>100</v>
      </c>
      <c r="V231" s="22" t="s">
        <v>100</v>
      </c>
      <c r="W231" s="17">
        <v>0.8</v>
      </c>
      <c r="X231" s="17">
        <v>0.3</v>
      </c>
      <c r="Y231" s="17">
        <v>4.5999999999999996</v>
      </c>
      <c r="Z231" s="17">
        <v>0.8</v>
      </c>
      <c r="AA231" s="17">
        <v>0.1</v>
      </c>
      <c r="AB231" s="17">
        <v>0</v>
      </c>
      <c r="AC231" s="17">
        <v>98</v>
      </c>
      <c r="AD231" s="17">
        <v>11</v>
      </c>
      <c r="AE231" s="17">
        <v>475</v>
      </c>
      <c r="AF231" s="17">
        <v>989</v>
      </c>
      <c r="AG231" s="17">
        <v>638</v>
      </c>
      <c r="AH231" s="17">
        <v>356</v>
      </c>
      <c r="AI231" s="17">
        <v>14.8</v>
      </c>
      <c r="AJ231" s="17">
        <v>7.2</v>
      </c>
      <c r="AK231" s="17">
        <v>2.5</v>
      </c>
      <c r="AL231" s="17">
        <v>34.4</v>
      </c>
      <c r="AM231" s="27">
        <v>0</v>
      </c>
    </row>
    <row r="232" spans="1:39" x14ac:dyDescent="0.25">
      <c r="A232" s="10">
        <v>231</v>
      </c>
      <c r="B232" s="9" t="s">
        <v>316</v>
      </c>
      <c r="C232" s="9" t="s">
        <v>334</v>
      </c>
      <c r="D232" s="10">
        <v>1</v>
      </c>
      <c r="E232" s="11">
        <v>619</v>
      </c>
      <c r="F232" s="17">
        <v>1</v>
      </c>
      <c r="G232" s="17">
        <v>4.4000000000000004</v>
      </c>
      <c r="H232" s="17">
        <v>17.2</v>
      </c>
      <c r="I232" s="17">
        <v>9.1</v>
      </c>
      <c r="J232" s="27">
        <v>2.7</v>
      </c>
      <c r="K232" s="17">
        <v>11.5</v>
      </c>
      <c r="L232" s="17">
        <v>56.8</v>
      </c>
      <c r="M232" s="19">
        <v>5.95</v>
      </c>
      <c r="N232" s="19">
        <v>10.84</v>
      </c>
      <c r="O232" s="19">
        <v>37.51</v>
      </c>
      <c r="P232" s="28">
        <v>0</v>
      </c>
      <c r="Q232" s="17">
        <v>0</v>
      </c>
      <c r="R232" s="17">
        <v>0</v>
      </c>
      <c r="S232" s="17">
        <v>1.4</v>
      </c>
      <c r="T232" s="17">
        <v>0</v>
      </c>
      <c r="U232" s="27">
        <v>26.2</v>
      </c>
      <c r="V232" s="27">
        <v>2.7</v>
      </c>
      <c r="W232" s="17">
        <v>0.3</v>
      </c>
      <c r="X232" s="17">
        <v>0.3</v>
      </c>
      <c r="Y232" s="17">
        <v>4.2</v>
      </c>
      <c r="Z232" s="17">
        <v>0.8</v>
      </c>
      <c r="AA232" s="17">
        <v>7.1</v>
      </c>
      <c r="AB232" s="17">
        <v>0</v>
      </c>
      <c r="AC232" s="17">
        <v>238</v>
      </c>
      <c r="AD232" s="17">
        <v>3</v>
      </c>
      <c r="AE232" s="17">
        <v>491</v>
      </c>
      <c r="AF232" s="17">
        <v>57</v>
      </c>
      <c r="AG232" s="17">
        <v>1158</v>
      </c>
      <c r="AH232" s="17">
        <v>129</v>
      </c>
      <c r="AI232" s="17">
        <v>6.8</v>
      </c>
      <c r="AJ232" s="17">
        <v>5.3</v>
      </c>
      <c r="AK232" s="17">
        <v>1.8</v>
      </c>
      <c r="AL232" s="27">
        <v>79.5</v>
      </c>
      <c r="AM232" s="27">
        <v>0</v>
      </c>
    </row>
    <row r="233" spans="1:39" x14ac:dyDescent="0.25">
      <c r="A233" s="10">
        <v>232</v>
      </c>
      <c r="B233" s="9" t="s">
        <v>316</v>
      </c>
      <c r="C233" s="9" t="s">
        <v>335</v>
      </c>
      <c r="D233" s="10">
        <v>1</v>
      </c>
      <c r="E233" s="11">
        <v>559</v>
      </c>
      <c r="F233" s="17">
        <v>5.2</v>
      </c>
      <c r="G233" s="17">
        <v>4.8</v>
      </c>
      <c r="H233" s="17">
        <v>30.2</v>
      </c>
      <c r="I233" s="17">
        <v>4.7</v>
      </c>
      <c r="J233" s="17">
        <v>1.4</v>
      </c>
      <c r="K233" s="17">
        <v>6</v>
      </c>
      <c r="L233" s="17">
        <v>49.1</v>
      </c>
      <c r="M233" s="19">
        <v>8.66</v>
      </c>
      <c r="N233" s="19">
        <v>16.239999999999998</v>
      </c>
      <c r="O233" s="19">
        <v>20.98</v>
      </c>
      <c r="P233" s="28">
        <v>0.06</v>
      </c>
      <c r="Q233" s="17">
        <v>0</v>
      </c>
      <c r="R233" s="17">
        <v>1</v>
      </c>
      <c r="S233" s="17">
        <v>1.9</v>
      </c>
      <c r="T233" s="17">
        <v>0</v>
      </c>
      <c r="U233" s="17">
        <v>2.2000000000000002</v>
      </c>
      <c r="V233" s="17">
        <v>7.3</v>
      </c>
      <c r="W233" s="17">
        <v>0.3</v>
      </c>
      <c r="X233" s="17">
        <v>0.2</v>
      </c>
      <c r="Y233" s="17">
        <v>5</v>
      </c>
      <c r="Z233" s="17">
        <v>0.1</v>
      </c>
      <c r="AA233" s="17">
        <v>0.8</v>
      </c>
      <c r="AB233" s="17">
        <v>0</v>
      </c>
      <c r="AC233" s="17">
        <v>58</v>
      </c>
      <c r="AD233" s="17">
        <v>7</v>
      </c>
      <c r="AE233" s="17">
        <v>809</v>
      </c>
      <c r="AF233" s="17">
        <v>46</v>
      </c>
      <c r="AG233" s="17">
        <v>1233</v>
      </c>
      <c r="AH233" s="17">
        <v>592</v>
      </c>
      <c r="AI233" s="17">
        <v>8.8000000000000007</v>
      </c>
      <c r="AJ233" s="17">
        <v>7.8</v>
      </c>
      <c r="AK233" s="17">
        <v>1.3</v>
      </c>
      <c r="AL233" s="17">
        <v>9.4</v>
      </c>
      <c r="AM233" s="27">
        <v>0</v>
      </c>
    </row>
    <row r="234" spans="1:39" x14ac:dyDescent="0.25">
      <c r="A234" s="10">
        <v>233</v>
      </c>
      <c r="B234" s="9" t="s">
        <v>316</v>
      </c>
      <c r="C234" s="9" t="s">
        <v>336</v>
      </c>
      <c r="D234" s="10">
        <v>3</v>
      </c>
      <c r="E234" s="11">
        <v>418</v>
      </c>
      <c r="F234" s="17">
        <v>5.0999999999999996</v>
      </c>
      <c r="G234" s="17">
        <v>5.0999999999999996</v>
      </c>
      <c r="H234" s="17">
        <v>21.9</v>
      </c>
      <c r="I234" s="17">
        <v>29.6</v>
      </c>
      <c r="J234" s="27">
        <v>1.6</v>
      </c>
      <c r="K234" s="17">
        <v>16.100000000000001</v>
      </c>
      <c r="L234" s="17">
        <v>22.2</v>
      </c>
      <c r="M234" s="28">
        <v>1.93</v>
      </c>
      <c r="N234" s="28">
        <v>3.96</v>
      </c>
      <c r="O234" s="28">
        <v>15.13</v>
      </c>
      <c r="P234" s="28">
        <v>0</v>
      </c>
      <c r="Q234" s="27">
        <v>0</v>
      </c>
      <c r="R234" s="27">
        <v>0</v>
      </c>
      <c r="S234" s="27">
        <v>0.6</v>
      </c>
      <c r="T234" s="27">
        <v>0</v>
      </c>
      <c r="U234" s="27">
        <v>0.3</v>
      </c>
      <c r="V234" s="27">
        <v>4.4000000000000004</v>
      </c>
      <c r="W234" s="27">
        <v>1.7</v>
      </c>
      <c r="X234" s="27">
        <v>0.2</v>
      </c>
      <c r="Y234" s="27">
        <v>3.1</v>
      </c>
      <c r="Z234" s="27">
        <v>0.5</v>
      </c>
      <c r="AA234" s="27">
        <v>1</v>
      </c>
      <c r="AB234" s="27">
        <v>0</v>
      </c>
      <c r="AC234" s="27">
        <v>88.7</v>
      </c>
      <c r="AD234" s="27">
        <v>30.6</v>
      </c>
      <c r="AE234" s="27">
        <v>829.3</v>
      </c>
      <c r="AF234" s="27">
        <v>260.10000000000002</v>
      </c>
      <c r="AG234" s="27">
        <v>654.79999999999995</v>
      </c>
      <c r="AH234" s="27">
        <v>399.8</v>
      </c>
      <c r="AI234" s="27">
        <v>5.8</v>
      </c>
      <c r="AJ234" s="27">
        <v>4.4000000000000004</v>
      </c>
      <c r="AK234" s="27">
        <v>1.2</v>
      </c>
      <c r="AL234" s="27">
        <v>25.9</v>
      </c>
      <c r="AM234" s="27">
        <v>0</v>
      </c>
    </row>
    <row r="235" spans="1:39" x14ac:dyDescent="0.25">
      <c r="A235" s="10">
        <v>234</v>
      </c>
      <c r="B235" s="9" t="s">
        <v>337</v>
      </c>
      <c r="C235" s="9" t="s">
        <v>338</v>
      </c>
      <c r="D235" s="10">
        <v>1</v>
      </c>
      <c r="E235" s="11">
        <v>407</v>
      </c>
      <c r="F235" s="17">
        <v>5.5</v>
      </c>
      <c r="G235" s="17">
        <v>2.5</v>
      </c>
      <c r="H235" s="17">
        <v>11.9</v>
      </c>
      <c r="I235" s="17">
        <v>68.400000000000006</v>
      </c>
      <c r="J235" s="22" t="s">
        <v>100</v>
      </c>
      <c r="K235" s="17">
        <v>5.0999999999999996</v>
      </c>
      <c r="L235" s="17">
        <v>6.6</v>
      </c>
      <c r="M235" s="19">
        <v>1.51</v>
      </c>
      <c r="N235" s="19">
        <v>3.06</v>
      </c>
      <c r="O235" s="19">
        <v>1.27</v>
      </c>
      <c r="P235" s="22" t="s">
        <v>100</v>
      </c>
      <c r="Q235" s="17">
        <v>0</v>
      </c>
      <c r="R235" s="17">
        <v>0</v>
      </c>
      <c r="S235" s="17">
        <v>0</v>
      </c>
      <c r="T235" s="22" t="s">
        <v>100</v>
      </c>
      <c r="U235" s="22" t="s">
        <v>100</v>
      </c>
      <c r="V235" s="22" t="s">
        <v>100</v>
      </c>
      <c r="W235" s="17">
        <v>0.6</v>
      </c>
      <c r="X235" s="17">
        <v>0.3</v>
      </c>
      <c r="Y235" s="17">
        <v>5.4</v>
      </c>
      <c r="Z235" s="17">
        <v>0</v>
      </c>
      <c r="AA235" s="17">
        <v>0.4</v>
      </c>
      <c r="AB235" s="17">
        <v>0</v>
      </c>
      <c r="AC235" s="17">
        <v>132</v>
      </c>
      <c r="AD235" s="17">
        <v>698</v>
      </c>
      <c r="AE235" s="17">
        <v>124</v>
      </c>
      <c r="AF235" s="17">
        <v>76</v>
      </c>
      <c r="AG235" s="17">
        <v>115</v>
      </c>
      <c r="AH235" s="17">
        <v>31</v>
      </c>
      <c r="AI235" s="17">
        <v>4.0999999999999996</v>
      </c>
      <c r="AJ235" s="17">
        <v>0.9</v>
      </c>
      <c r="AK235" s="17">
        <v>0.2</v>
      </c>
      <c r="AL235" s="17">
        <v>37.5</v>
      </c>
      <c r="AM235" s="27">
        <v>0</v>
      </c>
    </row>
    <row r="236" spans="1:39" x14ac:dyDescent="0.25">
      <c r="A236" s="10">
        <v>235</v>
      </c>
      <c r="B236" s="9" t="s">
        <v>337</v>
      </c>
      <c r="C236" s="9" t="s">
        <v>339</v>
      </c>
      <c r="D236" s="10">
        <v>1</v>
      </c>
      <c r="E236" s="11">
        <v>267</v>
      </c>
      <c r="F236" s="17">
        <v>36.700000000000003</v>
      </c>
      <c r="G236" s="17">
        <v>1.9</v>
      </c>
      <c r="H236" s="17">
        <v>8.1999999999999993</v>
      </c>
      <c r="I236" s="17">
        <v>47.3</v>
      </c>
      <c r="J236" s="17">
        <v>4.3</v>
      </c>
      <c r="K236" s="17">
        <v>2.2999999999999998</v>
      </c>
      <c r="L236" s="17">
        <v>3.6</v>
      </c>
      <c r="M236" s="19">
        <v>0.81</v>
      </c>
      <c r="N236" s="19">
        <v>1.61</v>
      </c>
      <c r="O236" s="19">
        <v>0.74</v>
      </c>
      <c r="P236" s="22" t="s">
        <v>100</v>
      </c>
      <c r="Q236" s="17">
        <v>1</v>
      </c>
      <c r="R236" s="17">
        <v>0</v>
      </c>
      <c r="S236" s="17">
        <v>0</v>
      </c>
      <c r="T236" s="17">
        <v>0</v>
      </c>
      <c r="U236" s="17">
        <v>0.2</v>
      </c>
      <c r="V236" s="17">
        <v>3.1</v>
      </c>
      <c r="W236" s="17">
        <v>0.5</v>
      </c>
      <c r="X236" s="17">
        <v>0.3</v>
      </c>
      <c r="Y236" s="17">
        <v>4</v>
      </c>
      <c r="Z236" s="17">
        <v>0.1</v>
      </c>
      <c r="AA236" s="17">
        <v>0.4</v>
      </c>
      <c r="AB236" s="17">
        <v>0</v>
      </c>
      <c r="AC236" s="17">
        <v>111</v>
      </c>
      <c r="AD236" s="17">
        <v>298</v>
      </c>
      <c r="AE236" s="17">
        <v>119</v>
      </c>
      <c r="AF236" s="17">
        <v>108</v>
      </c>
      <c r="AG236" s="17">
        <v>94</v>
      </c>
      <c r="AH236" s="17">
        <v>24</v>
      </c>
      <c r="AI236" s="17">
        <v>3</v>
      </c>
      <c r="AJ236" s="17">
        <v>0.6</v>
      </c>
      <c r="AK236" s="17">
        <v>0.1</v>
      </c>
      <c r="AL236" s="17">
        <v>22.6</v>
      </c>
      <c r="AM236" s="27">
        <v>0</v>
      </c>
    </row>
    <row r="237" spans="1:39" x14ac:dyDescent="0.25">
      <c r="A237" s="10">
        <v>236</v>
      </c>
      <c r="B237" s="9" t="s">
        <v>337</v>
      </c>
      <c r="C237" s="9" t="s">
        <v>340</v>
      </c>
      <c r="D237" s="10">
        <v>1</v>
      </c>
      <c r="E237" s="11">
        <v>259</v>
      </c>
      <c r="F237" s="17">
        <v>37.299999999999997</v>
      </c>
      <c r="G237" s="17">
        <v>2.5</v>
      </c>
      <c r="H237" s="17">
        <v>8.5</v>
      </c>
      <c r="I237" s="17">
        <v>42.6</v>
      </c>
      <c r="J237" s="17">
        <v>3.9</v>
      </c>
      <c r="K237" s="17">
        <v>5.8</v>
      </c>
      <c r="L237" s="17">
        <v>3.3</v>
      </c>
      <c r="M237" s="19">
        <v>0.63</v>
      </c>
      <c r="N237" s="19">
        <v>1.31</v>
      </c>
      <c r="O237" s="19">
        <v>0.8</v>
      </c>
      <c r="P237" s="22" t="s">
        <v>100</v>
      </c>
      <c r="Q237" s="17">
        <v>0</v>
      </c>
      <c r="R237" s="17">
        <v>0</v>
      </c>
      <c r="S237" s="17">
        <v>0.4</v>
      </c>
      <c r="T237" s="17">
        <v>0</v>
      </c>
      <c r="U237" s="17">
        <v>0.3</v>
      </c>
      <c r="V237" s="17">
        <v>1.2</v>
      </c>
      <c r="W237" s="17">
        <v>0.4</v>
      </c>
      <c r="X237" s="17">
        <v>0.3</v>
      </c>
      <c r="Y237" s="17">
        <v>3.8</v>
      </c>
      <c r="Z237" s="17">
        <v>0.1</v>
      </c>
      <c r="AA237" s="17">
        <v>0.4</v>
      </c>
      <c r="AB237" s="17">
        <v>0</v>
      </c>
      <c r="AC237" s="17">
        <v>110</v>
      </c>
      <c r="AD237" s="17">
        <v>603</v>
      </c>
      <c r="AE237" s="17">
        <v>166</v>
      </c>
      <c r="AF237" s="17">
        <v>73</v>
      </c>
      <c r="AG237" s="17">
        <v>125</v>
      </c>
      <c r="AH237" s="17">
        <v>40</v>
      </c>
      <c r="AI237" s="17">
        <v>2.8</v>
      </c>
      <c r="AJ237" s="17">
        <v>1.1000000000000001</v>
      </c>
      <c r="AK237" s="17">
        <v>0.2</v>
      </c>
      <c r="AL237" s="17">
        <v>30.9</v>
      </c>
      <c r="AM237" s="27">
        <v>0</v>
      </c>
    </row>
    <row r="238" spans="1:39" x14ac:dyDescent="0.25">
      <c r="A238" s="10">
        <v>237</v>
      </c>
      <c r="B238" s="9" t="s">
        <v>337</v>
      </c>
      <c r="C238" s="9" t="s">
        <v>341</v>
      </c>
      <c r="D238" s="10">
        <v>3</v>
      </c>
      <c r="E238" s="11">
        <v>250</v>
      </c>
      <c r="F238" s="17">
        <v>34.9</v>
      </c>
      <c r="G238" s="17">
        <v>1.7</v>
      </c>
      <c r="H238" s="17">
        <v>12</v>
      </c>
      <c r="I238" s="17">
        <v>44.9</v>
      </c>
      <c r="J238" s="17">
        <v>6.4</v>
      </c>
      <c r="K238" s="17">
        <v>4</v>
      </c>
      <c r="L238" s="17">
        <v>2.5</v>
      </c>
      <c r="M238" s="19">
        <v>0.4</v>
      </c>
      <c r="N238" s="19">
        <v>0.41</v>
      </c>
      <c r="O238" s="19">
        <v>0.87</v>
      </c>
      <c r="P238" s="19">
        <v>0</v>
      </c>
      <c r="Q238" s="17">
        <v>0</v>
      </c>
      <c r="R238" s="27">
        <v>0</v>
      </c>
      <c r="S238" s="27">
        <v>0.2</v>
      </c>
      <c r="T238" s="27">
        <v>0</v>
      </c>
      <c r="U238" s="27">
        <v>0.2</v>
      </c>
      <c r="V238" s="27">
        <v>4.9000000000000004</v>
      </c>
      <c r="W238" s="27">
        <v>0.4</v>
      </c>
      <c r="X238" s="27">
        <v>0.3</v>
      </c>
      <c r="Y238" s="27">
        <v>5.6</v>
      </c>
      <c r="Z238" s="27">
        <v>0.1</v>
      </c>
      <c r="AA238" s="27">
        <v>0.8</v>
      </c>
      <c r="AB238" s="27">
        <v>0</v>
      </c>
      <c r="AC238" s="27">
        <v>99.5</v>
      </c>
      <c r="AD238" s="17">
        <v>289</v>
      </c>
      <c r="AE238" s="27">
        <v>141.80000000000001</v>
      </c>
      <c r="AF238" s="27">
        <v>125.7</v>
      </c>
      <c r="AG238" s="27">
        <v>129.69999999999999</v>
      </c>
      <c r="AH238" s="27">
        <v>41.2</v>
      </c>
      <c r="AI238" s="27">
        <v>3.6</v>
      </c>
      <c r="AJ238" s="27">
        <v>1</v>
      </c>
      <c r="AK238" s="27">
        <v>0.1</v>
      </c>
      <c r="AL238" s="27">
        <v>29</v>
      </c>
      <c r="AM238" s="27">
        <v>0</v>
      </c>
    </row>
    <row r="239" spans="1:39" x14ac:dyDescent="0.25">
      <c r="A239" s="10">
        <v>238</v>
      </c>
      <c r="B239" s="9" t="s">
        <v>337</v>
      </c>
      <c r="C239" s="9" t="s">
        <v>342</v>
      </c>
      <c r="D239" s="10">
        <v>3</v>
      </c>
      <c r="E239" s="11">
        <v>212</v>
      </c>
      <c r="F239" s="17">
        <v>38.9</v>
      </c>
      <c r="G239" s="17">
        <v>2.2000000000000002</v>
      </c>
      <c r="H239" s="17">
        <v>10.199999999999999</v>
      </c>
      <c r="I239" s="17">
        <v>38.4</v>
      </c>
      <c r="J239" s="27">
        <v>6.2</v>
      </c>
      <c r="K239" s="17">
        <v>8.4</v>
      </c>
      <c r="L239" s="17">
        <v>1.9</v>
      </c>
      <c r="M239" s="19">
        <v>0.46</v>
      </c>
      <c r="N239" s="19">
        <v>0.28999999999999998</v>
      </c>
      <c r="O239" s="19">
        <v>0.53</v>
      </c>
      <c r="P239" s="19">
        <v>0</v>
      </c>
      <c r="Q239" s="17">
        <v>0.8</v>
      </c>
      <c r="R239" s="27">
        <v>0</v>
      </c>
      <c r="S239" s="27">
        <v>0.1</v>
      </c>
      <c r="T239" s="27">
        <v>0</v>
      </c>
      <c r="U239" s="27">
        <v>0.4</v>
      </c>
      <c r="V239" s="27">
        <v>1.4</v>
      </c>
      <c r="W239" s="27">
        <v>0.3</v>
      </c>
      <c r="X239" s="27">
        <v>0.1</v>
      </c>
      <c r="Y239" s="27">
        <v>3.9</v>
      </c>
      <c r="Z239" s="27">
        <v>0.3</v>
      </c>
      <c r="AA239" s="27">
        <v>0.3</v>
      </c>
      <c r="AB239" s="27">
        <v>0</v>
      </c>
      <c r="AC239" s="27">
        <v>72.7</v>
      </c>
      <c r="AD239" s="17">
        <v>365</v>
      </c>
      <c r="AE239" s="27">
        <v>222.9</v>
      </c>
      <c r="AF239" s="27">
        <v>99.8</v>
      </c>
      <c r="AG239" s="27">
        <v>220.9</v>
      </c>
      <c r="AH239" s="27">
        <v>75.599999999999994</v>
      </c>
      <c r="AI239" s="27">
        <v>2.4</v>
      </c>
      <c r="AJ239" s="27">
        <v>1.6</v>
      </c>
      <c r="AK239" s="27">
        <v>0.3</v>
      </c>
      <c r="AL239" s="27">
        <v>31.9</v>
      </c>
      <c r="AM239" s="27">
        <v>0</v>
      </c>
    </row>
    <row r="240" spans="1:39" x14ac:dyDescent="0.25">
      <c r="A240" s="10">
        <v>239</v>
      </c>
      <c r="B240" s="9" t="s">
        <v>337</v>
      </c>
      <c r="C240" s="9" t="s">
        <v>343</v>
      </c>
      <c r="D240" s="10">
        <v>3</v>
      </c>
      <c r="E240" s="11">
        <v>363</v>
      </c>
      <c r="F240" s="17">
        <v>22.8</v>
      </c>
      <c r="G240" s="17">
        <v>2</v>
      </c>
      <c r="H240" s="17">
        <v>9.1</v>
      </c>
      <c r="I240" s="17">
        <v>53.6</v>
      </c>
      <c r="J240" s="27">
        <v>6.9</v>
      </c>
      <c r="K240" s="22" t="s">
        <v>100</v>
      </c>
      <c r="L240" s="17">
        <v>12.5</v>
      </c>
      <c r="M240" s="28">
        <v>2.62</v>
      </c>
      <c r="N240" s="28">
        <v>2.25</v>
      </c>
      <c r="O240" s="28">
        <v>6.01</v>
      </c>
      <c r="P240" s="28">
        <v>0.1</v>
      </c>
      <c r="Q240" s="27">
        <v>0</v>
      </c>
      <c r="R240" s="27">
        <v>0</v>
      </c>
      <c r="S240" s="27">
        <v>0</v>
      </c>
      <c r="T240" s="27">
        <v>0</v>
      </c>
      <c r="U240" s="27">
        <v>0.3</v>
      </c>
      <c r="V240" s="27">
        <v>0.2</v>
      </c>
      <c r="W240" s="27">
        <v>0.6</v>
      </c>
      <c r="X240" s="27">
        <v>0.3</v>
      </c>
      <c r="Y240" s="27">
        <v>5.8</v>
      </c>
      <c r="Z240" s="27">
        <v>0.1</v>
      </c>
      <c r="AA240" s="27">
        <v>0.7</v>
      </c>
      <c r="AB240" s="27">
        <v>0</v>
      </c>
      <c r="AC240" s="27">
        <v>207.6</v>
      </c>
      <c r="AD240" s="17">
        <v>564</v>
      </c>
      <c r="AE240" s="27">
        <v>153</v>
      </c>
      <c r="AF240" s="27">
        <v>174.8</v>
      </c>
      <c r="AG240" s="27">
        <v>119</v>
      </c>
      <c r="AH240" s="27">
        <v>27.9</v>
      </c>
      <c r="AI240" s="27">
        <v>4.4000000000000004</v>
      </c>
      <c r="AJ240" s="27">
        <v>0.9</v>
      </c>
      <c r="AK240" s="27">
        <v>0.1</v>
      </c>
      <c r="AL240" s="27">
        <v>26.7</v>
      </c>
      <c r="AM240" s="27">
        <v>0</v>
      </c>
    </row>
    <row r="241" spans="1:39" x14ac:dyDescent="0.25">
      <c r="A241" s="10">
        <v>240</v>
      </c>
      <c r="B241" s="9" t="s">
        <v>337</v>
      </c>
      <c r="C241" s="9" t="s">
        <v>344</v>
      </c>
      <c r="D241" s="10">
        <v>1</v>
      </c>
      <c r="E241" s="11">
        <v>252</v>
      </c>
      <c r="F241" s="17">
        <v>39</v>
      </c>
      <c r="G241" s="17">
        <v>2.2999999999999998</v>
      </c>
      <c r="H241" s="17">
        <v>12.5</v>
      </c>
      <c r="I241" s="17">
        <v>36.700000000000003</v>
      </c>
      <c r="J241" s="17">
        <v>4.3</v>
      </c>
      <c r="K241" s="17">
        <v>6</v>
      </c>
      <c r="L241" s="17">
        <v>3.5</v>
      </c>
      <c r="M241" s="19">
        <v>0.72</v>
      </c>
      <c r="N241" s="19">
        <v>0.62</v>
      </c>
      <c r="O241" s="19">
        <v>1.59</v>
      </c>
      <c r="P241" s="28">
        <v>0.02</v>
      </c>
      <c r="Q241" s="17">
        <v>0</v>
      </c>
      <c r="R241" s="17">
        <v>0</v>
      </c>
      <c r="S241" s="17">
        <v>0</v>
      </c>
      <c r="T241" s="17">
        <v>0</v>
      </c>
      <c r="U241" s="17">
        <v>2.7</v>
      </c>
      <c r="V241" s="17">
        <v>7.8</v>
      </c>
      <c r="W241" s="17">
        <v>0.4</v>
      </c>
      <c r="X241" s="17">
        <v>0.2</v>
      </c>
      <c r="Y241" s="17">
        <v>4.4000000000000004</v>
      </c>
      <c r="Z241" s="17">
        <v>0.2</v>
      </c>
      <c r="AA241" s="17">
        <v>0.6</v>
      </c>
      <c r="AB241" s="17">
        <v>0</v>
      </c>
      <c r="AC241" s="17">
        <v>42</v>
      </c>
      <c r="AD241" s="17">
        <v>455</v>
      </c>
      <c r="AE241" s="17">
        <v>254</v>
      </c>
      <c r="AF241" s="17">
        <v>161</v>
      </c>
      <c r="AG241" s="17">
        <v>212</v>
      </c>
      <c r="AH241" s="17">
        <v>75</v>
      </c>
      <c r="AI241" s="17">
        <v>2.5</v>
      </c>
      <c r="AJ241" s="17">
        <v>1.8</v>
      </c>
      <c r="AK241" s="17">
        <v>0.2</v>
      </c>
      <c r="AL241" s="17">
        <v>25.7</v>
      </c>
      <c r="AM241" s="27">
        <v>0</v>
      </c>
    </row>
    <row r="242" spans="1:39" x14ac:dyDescent="0.25">
      <c r="A242" s="10">
        <v>241</v>
      </c>
      <c r="B242" s="9" t="s">
        <v>337</v>
      </c>
      <c r="C242" s="9" t="s">
        <v>345</v>
      </c>
      <c r="D242" s="10">
        <v>1</v>
      </c>
      <c r="E242" s="11">
        <v>272</v>
      </c>
      <c r="F242" s="17">
        <v>33</v>
      </c>
      <c r="G242" s="17">
        <v>2</v>
      </c>
      <c r="H242" s="17">
        <v>10.8</v>
      </c>
      <c r="I242" s="17">
        <v>49.7</v>
      </c>
      <c r="J242" s="17">
        <v>4.5999999999999996</v>
      </c>
      <c r="K242" s="17">
        <v>2.2000000000000002</v>
      </c>
      <c r="L242" s="17">
        <v>2.4</v>
      </c>
      <c r="M242" s="19">
        <v>0.53</v>
      </c>
      <c r="N242" s="19">
        <v>0.36</v>
      </c>
      <c r="O242" s="19">
        <v>0.86</v>
      </c>
      <c r="P242" s="28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0.2</v>
      </c>
      <c r="V242" s="17">
        <v>0.7</v>
      </c>
      <c r="W242" s="17">
        <v>0.7</v>
      </c>
      <c r="X242" s="17">
        <v>0.4</v>
      </c>
      <c r="Y242" s="17">
        <v>4.8</v>
      </c>
      <c r="Z242" s="17">
        <v>0.1</v>
      </c>
      <c r="AA242" s="17">
        <v>0.5</v>
      </c>
      <c r="AB242" s="17">
        <v>0</v>
      </c>
      <c r="AC242" s="17">
        <v>123</v>
      </c>
      <c r="AD242" s="17">
        <v>602</v>
      </c>
      <c r="AE242" s="17">
        <v>117</v>
      </c>
      <c r="AF242" s="17">
        <v>52</v>
      </c>
      <c r="AG242" s="17">
        <v>105</v>
      </c>
      <c r="AH242" s="17">
        <v>32</v>
      </c>
      <c r="AI242" s="17">
        <v>3.9</v>
      </c>
      <c r="AJ242" s="17">
        <v>1</v>
      </c>
      <c r="AK242" s="17">
        <v>0.2</v>
      </c>
      <c r="AL242" s="17">
        <v>28.6</v>
      </c>
      <c r="AM242" s="27">
        <v>0</v>
      </c>
    </row>
    <row r="243" spans="1:39" x14ac:dyDescent="0.25">
      <c r="A243" s="10">
        <v>242</v>
      </c>
      <c r="B243" s="9" t="s">
        <v>337</v>
      </c>
      <c r="C243" s="9" t="s">
        <v>346</v>
      </c>
      <c r="D243" s="10">
        <v>1</v>
      </c>
      <c r="E243" s="11">
        <v>269</v>
      </c>
      <c r="F243" s="17">
        <v>35.6</v>
      </c>
      <c r="G243" s="27">
        <v>1.8</v>
      </c>
      <c r="H243" s="17">
        <v>8.6999999999999993</v>
      </c>
      <c r="I243" s="17">
        <v>48.8</v>
      </c>
      <c r="J243" s="27">
        <v>5.7</v>
      </c>
      <c r="K243" s="17">
        <v>1.9</v>
      </c>
      <c r="L243" s="17">
        <v>3.2</v>
      </c>
      <c r="M243" s="19">
        <v>0.73</v>
      </c>
      <c r="N243" s="19">
        <v>1.41</v>
      </c>
      <c r="O243" s="19">
        <v>0.91</v>
      </c>
      <c r="P243" s="28">
        <v>0.03</v>
      </c>
      <c r="Q243" s="17">
        <v>3</v>
      </c>
      <c r="R243" s="17">
        <v>0</v>
      </c>
      <c r="S243" s="17">
        <v>0</v>
      </c>
      <c r="T243" s="27">
        <v>0</v>
      </c>
      <c r="U243" s="17">
        <v>0.1</v>
      </c>
      <c r="V243" s="27">
        <v>0.2</v>
      </c>
      <c r="W243" s="17">
        <v>0.4</v>
      </c>
      <c r="X243" s="17">
        <v>0.2</v>
      </c>
      <c r="Y243" s="17">
        <v>3.3</v>
      </c>
      <c r="Z243" s="17">
        <v>0</v>
      </c>
      <c r="AA243" s="17">
        <v>0.4</v>
      </c>
      <c r="AB243" s="17">
        <v>0</v>
      </c>
      <c r="AC243" s="17">
        <v>34.5</v>
      </c>
      <c r="AD243" s="17">
        <v>504</v>
      </c>
      <c r="AE243" s="17">
        <v>106</v>
      </c>
      <c r="AF243" s="17">
        <v>83.8</v>
      </c>
      <c r="AG243" s="17">
        <v>96.8</v>
      </c>
      <c r="AH243" s="17">
        <v>20.7</v>
      </c>
      <c r="AI243" s="17">
        <v>2.8</v>
      </c>
      <c r="AJ243" s="17">
        <v>0.6</v>
      </c>
      <c r="AK243" s="17">
        <v>0.1</v>
      </c>
      <c r="AL243" s="17">
        <v>27.5</v>
      </c>
      <c r="AM243" s="27">
        <v>0</v>
      </c>
    </row>
    <row r="244" spans="1:39" x14ac:dyDescent="0.25">
      <c r="A244" s="10">
        <v>243</v>
      </c>
      <c r="B244" s="9" t="s">
        <v>337</v>
      </c>
      <c r="C244" s="9" t="s">
        <v>347</v>
      </c>
      <c r="D244" s="10">
        <v>3</v>
      </c>
      <c r="E244" s="11">
        <v>244</v>
      </c>
      <c r="F244" s="17">
        <v>35.5</v>
      </c>
      <c r="G244" s="17">
        <v>1.8</v>
      </c>
      <c r="H244" s="17">
        <v>8.1</v>
      </c>
      <c r="I244" s="17">
        <v>49.9</v>
      </c>
      <c r="J244" s="27">
        <v>5.8</v>
      </c>
      <c r="K244" s="17">
        <v>3.3</v>
      </c>
      <c r="L244" s="17">
        <v>1.4</v>
      </c>
      <c r="M244" s="19">
        <v>0.23</v>
      </c>
      <c r="N244" s="19">
        <v>0.08</v>
      </c>
      <c r="O244" s="19">
        <v>0.3</v>
      </c>
      <c r="P244" s="19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0.2</v>
      </c>
      <c r="V244" s="27">
        <v>0.2</v>
      </c>
      <c r="W244" s="27">
        <v>0.5</v>
      </c>
      <c r="X244" s="27">
        <v>0.2</v>
      </c>
      <c r="Y244" s="27">
        <v>4.8</v>
      </c>
      <c r="Z244" s="27">
        <v>0.1</v>
      </c>
      <c r="AA244" s="27">
        <v>0.5</v>
      </c>
      <c r="AB244" s="27">
        <v>0</v>
      </c>
      <c r="AC244" s="27">
        <v>173.5</v>
      </c>
      <c r="AD244" s="17">
        <v>466</v>
      </c>
      <c r="AE244" s="27">
        <v>127.8</v>
      </c>
      <c r="AF244" s="27">
        <v>146.1</v>
      </c>
      <c r="AG244" s="27">
        <v>99.4</v>
      </c>
      <c r="AH244" s="27">
        <v>23.3</v>
      </c>
      <c r="AI244" s="27">
        <v>3.7</v>
      </c>
      <c r="AJ244" s="27">
        <v>0.8</v>
      </c>
      <c r="AK244" s="27">
        <v>0.1</v>
      </c>
      <c r="AL244" s="27">
        <v>22.3</v>
      </c>
      <c r="AM244" s="27">
        <v>0</v>
      </c>
    </row>
    <row r="245" spans="1:39" x14ac:dyDescent="0.25">
      <c r="A245" s="10">
        <v>244</v>
      </c>
      <c r="B245" s="9" t="s">
        <v>337</v>
      </c>
      <c r="C245" s="9" t="s">
        <v>348</v>
      </c>
      <c r="D245" s="10">
        <v>1</v>
      </c>
      <c r="E245" s="11">
        <v>275</v>
      </c>
      <c r="F245" s="17">
        <v>32.1</v>
      </c>
      <c r="G245" s="17">
        <v>1.9</v>
      </c>
      <c r="H245" s="17">
        <v>9.1</v>
      </c>
      <c r="I245" s="17">
        <v>53.5</v>
      </c>
      <c r="J245" s="27">
        <v>1.3</v>
      </c>
      <c r="K245" s="17">
        <v>2.2000000000000002</v>
      </c>
      <c r="L245" s="17">
        <v>1.2</v>
      </c>
      <c r="M245" s="19">
        <v>0.17</v>
      </c>
      <c r="N245" s="19">
        <v>0.11</v>
      </c>
      <c r="O245" s="19">
        <v>0.54</v>
      </c>
      <c r="P245" s="22" t="s">
        <v>100</v>
      </c>
      <c r="Q245" s="17">
        <v>0</v>
      </c>
      <c r="R245" s="17">
        <v>0</v>
      </c>
      <c r="S245" s="17">
        <v>0</v>
      </c>
      <c r="T245" s="27">
        <v>0</v>
      </c>
      <c r="U245" s="27">
        <v>0.3</v>
      </c>
      <c r="V245" s="27">
        <v>0.2</v>
      </c>
      <c r="W245" s="17">
        <v>0.3</v>
      </c>
      <c r="X245" s="17">
        <v>0.1</v>
      </c>
      <c r="Y245" s="17">
        <v>2.1</v>
      </c>
      <c r="Z245" s="17">
        <v>0</v>
      </c>
      <c r="AA245" s="17">
        <v>0.4</v>
      </c>
      <c r="AB245" s="17">
        <v>0</v>
      </c>
      <c r="AC245" s="17">
        <v>24</v>
      </c>
      <c r="AD245" s="17">
        <v>536</v>
      </c>
      <c r="AE245" s="17">
        <v>120</v>
      </c>
      <c r="AF245" s="17">
        <v>86</v>
      </c>
      <c r="AG245" s="17">
        <v>97</v>
      </c>
      <c r="AH245" s="17">
        <v>26</v>
      </c>
      <c r="AI245" s="17">
        <v>1.4</v>
      </c>
      <c r="AJ245" s="17">
        <v>0.8</v>
      </c>
      <c r="AK245" s="17">
        <v>0.2</v>
      </c>
      <c r="AL245" s="27">
        <v>27.1</v>
      </c>
      <c r="AM245" s="27">
        <v>0</v>
      </c>
    </row>
    <row r="246" spans="1:39" x14ac:dyDescent="0.25">
      <c r="A246" s="10">
        <v>245</v>
      </c>
      <c r="B246" s="9" t="s">
        <v>337</v>
      </c>
      <c r="C246" s="9" t="s">
        <v>349</v>
      </c>
      <c r="D246" s="10">
        <v>1</v>
      </c>
      <c r="E246" s="11">
        <v>395</v>
      </c>
      <c r="F246" s="17">
        <v>6.5</v>
      </c>
      <c r="G246" s="17">
        <v>2.9</v>
      </c>
      <c r="H246" s="17">
        <v>13.4</v>
      </c>
      <c r="I246" s="17">
        <v>67.5</v>
      </c>
      <c r="J246" s="17">
        <v>6.2</v>
      </c>
      <c r="K246" s="17">
        <v>4.5</v>
      </c>
      <c r="L246" s="17">
        <v>5.3</v>
      </c>
      <c r="M246" s="19">
        <v>1.2</v>
      </c>
      <c r="N246" s="19">
        <v>1.02</v>
      </c>
      <c r="O246" s="19">
        <v>2.06</v>
      </c>
      <c r="P246" s="22" t="s">
        <v>100</v>
      </c>
      <c r="Q246" s="17">
        <v>0</v>
      </c>
      <c r="R246" s="17">
        <v>0</v>
      </c>
      <c r="S246" s="17">
        <v>0</v>
      </c>
      <c r="T246" s="17">
        <v>0</v>
      </c>
      <c r="U246" s="17">
        <v>0.1</v>
      </c>
      <c r="V246" s="17">
        <v>6.6</v>
      </c>
      <c r="W246" s="17">
        <v>1</v>
      </c>
      <c r="X246" s="17">
        <v>0.4</v>
      </c>
      <c r="Y246" s="17">
        <v>6.6</v>
      </c>
      <c r="Z246" s="17">
        <v>0.1</v>
      </c>
      <c r="AA246" s="17">
        <v>0.6</v>
      </c>
      <c r="AB246" s="17">
        <v>0.4</v>
      </c>
      <c r="AC246" s="17">
        <v>107</v>
      </c>
      <c r="AD246" s="17">
        <v>732</v>
      </c>
      <c r="AE246" s="17">
        <v>196</v>
      </c>
      <c r="AF246" s="17">
        <v>183</v>
      </c>
      <c r="AG246" s="17">
        <v>165</v>
      </c>
      <c r="AH246" s="17">
        <v>43</v>
      </c>
      <c r="AI246" s="17">
        <v>4.8</v>
      </c>
      <c r="AJ246" s="17">
        <v>1.5</v>
      </c>
      <c r="AK246" s="17">
        <v>0.3</v>
      </c>
      <c r="AL246" s="17">
        <v>25.2</v>
      </c>
      <c r="AM246" s="27">
        <v>0</v>
      </c>
    </row>
    <row r="247" spans="1:39" x14ac:dyDescent="0.25">
      <c r="A247" s="10">
        <v>246</v>
      </c>
      <c r="B247" s="9" t="s">
        <v>337</v>
      </c>
      <c r="C247" s="9" t="s">
        <v>350</v>
      </c>
      <c r="D247" s="10">
        <v>1</v>
      </c>
      <c r="E247" s="11">
        <v>248</v>
      </c>
      <c r="F247" s="17">
        <v>37.799999999999997</v>
      </c>
      <c r="G247" s="17">
        <v>2.2000000000000002</v>
      </c>
      <c r="H247" s="17">
        <v>8.8000000000000007</v>
      </c>
      <c r="I247" s="17">
        <v>43.8</v>
      </c>
      <c r="J247" s="17">
        <v>9.6999999999999993</v>
      </c>
      <c r="K247" s="17">
        <v>4</v>
      </c>
      <c r="L247" s="17">
        <v>3.4</v>
      </c>
      <c r="M247" s="19">
        <v>0.78</v>
      </c>
      <c r="N247" s="19">
        <v>1.62</v>
      </c>
      <c r="O247" s="19">
        <v>0.65</v>
      </c>
      <c r="P247" s="22" t="s">
        <v>100</v>
      </c>
      <c r="Q247" s="17">
        <v>0</v>
      </c>
      <c r="R247" s="17">
        <v>0</v>
      </c>
      <c r="S247" s="17">
        <v>0</v>
      </c>
      <c r="T247" s="17">
        <v>0</v>
      </c>
      <c r="U247" s="17">
        <v>0.3</v>
      </c>
      <c r="V247" s="17">
        <v>1.3</v>
      </c>
      <c r="W247" s="17">
        <v>0.4</v>
      </c>
      <c r="X247" s="17">
        <v>0.3</v>
      </c>
      <c r="Y247" s="17">
        <v>4.4000000000000004</v>
      </c>
      <c r="Z247" s="17">
        <v>0.2</v>
      </c>
      <c r="AA247" s="17">
        <v>0.5</v>
      </c>
      <c r="AB247" s="17">
        <v>0</v>
      </c>
      <c r="AC247" s="17">
        <v>105</v>
      </c>
      <c r="AD247" s="17">
        <v>486</v>
      </c>
      <c r="AE247" s="17">
        <v>227</v>
      </c>
      <c r="AF247" s="17">
        <v>74</v>
      </c>
      <c r="AG247" s="17">
        <v>185</v>
      </c>
      <c r="AH247" s="17">
        <v>81</v>
      </c>
      <c r="AI247" s="17">
        <v>3.1</v>
      </c>
      <c r="AJ247" s="17">
        <v>1.4</v>
      </c>
      <c r="AK247" s="17">
        <v>0.2</v>
      </c>
      <c r="AL247" s="17">
        <v>31</v>
      </c>
      <c r="AM247" s="27">
        <v>0</v>
      </c>
    </row>
    <row r="248" spans="1:39" x14ac:dyDescent="0.25">
      <c r="A248" s="10">
        <v>247</v>
      </c>
      <c r="B248" s="9" t="s">
        <v>337</v>
      </c>
      <c r="C248" s="9" t="s">
        <v>351</v>
      </c>
      <c r="D248" s="10">
        <v>1</v>
      </c>
      <c r="E248" s="11">
        <v>260</v>
      </c>
      <c r="F248" s="17">
        <v>35.799999999999997</v>
      </c>
      <c r="G248" s="17">
        <v>2.1</v>
      </c>
      <c r="H248" s="17">
        <v>8.6999999999999993</v>
      </c>
      <c r="I248" s="17">
        <v>44</v>
      </c>
      <c r="J248" s="27">
        <v>5.7</v>
      </c>
      <c r="K248" s="17">
        <v>5.5</v>
      </c>
      <c r="L248" s="17">
        <v>3.9</v>
      </c>
      <c r="M248" s="19">
        <v>0.92</v>
      </c>
      <c r="N248" s="19">
        <v>1.9</v>
      </c>
      <c r="O248" s="19">
        <v>0.68</v>
      </c>
      <c r="P248" s="28">
        <v>0.03</v>
      </c>
      <c r="Q248" s="17">
        <v>0</v>
      </c>
      <c r="R248" s="17">
        <v>0</v>
      </c>
      <c r="S248" s="17">
        <v>0</v>
      </c>
      <c r="T248" s="27">
        <v>0</v>
      </c>
      <c r="U248" s="27">
        <v>0.2</v>
      </c>
      <c r="V248" s="27">
        <v>4.9000000000000004</v>
      </c>
      <c r="W248" s="17">
        <v>0.4</v>
      </c>
      <c r="X248" s="17">
        <v>0.2</v>
      </c>
      <c r="Y248" s="17">
        <v>3.7</v>
      </c>
      <c r="Z248" s="17">
        <v>0.3</v>
      </c>
      <c r="AA248" s="17">
        <v>0.5</v>
      </c>
      <c r="AB248" s="17">
        <v>0</v>
      </c>
      <c r="AC248" s="17">
        <v>61</v>
      </c>
      <c r="AD248" s="17">
        <v>538</v>
      </c>
      <c r="AE248" s="17">
        <v>177</v>
      </c>
      <c r="AF248" s="17">
        <v>43</v>
      </c>
      <c r="AG248" s="17">
        <v>153</v>
      </c>
      <c r="AH248" s="17">
        <v>52</v>
      </c>
      <c r="AI248" s="17">
        <v>2.8</v>
      </c>
      <c r="AJ248" s="17">
        <v>1.2</v>
      </c>
      <c r="AK248" s="17">
        <v>0.2</v>
      </c>
      <c r="AL248" s="17">
        <v>25.3</v>
      </c>
      <c r="AM248" s="27">
        <v>0</v>
      </c>
    </row>
    <row r="249" spans="1:39" x14ac:dyDescent="0.25">
      <c r="A249" s="10">
        <v>248</v>
      </c>
      <c r="B249" s="9" t="s">
        <v>337</v>
      </c>
      <c r="C249" s="9" t="s">
        <v>352</v>
      </c>
      <c r="D249" s="10">
        <v>4</v>
      </c>
      <c r="E249" s="11">
        <v>269</v>
      </c>
      <c r="F249" s="27">
        <v>34.200000000000003</v>
      </c>
      <c r="G249" s="27">
        <v>2.5</v>
      </c>
      <c r="H249" s="17">
        <v>8.9</v>
      </c>
      <c r="I249" s="17">
        <v>45</v>
      </c>
      <c r="J249" s="17">
        <v>1.2</v>
      </c>
      <c r="K249" s="27">
        <v>3.5</v>
      </c>
      <c r="L249" s="17">
        <v>5.9</v>
      </c>
      <c r="M249" s="19">
        <v>2.8</v>
      </c>
      <c r="N249" s="19">
        <v>1.5</v>
      </c>
      <c r="O249" s="19">
        <v>1.6</v>
      </c>
      <c r="P249" s="19">
        <v>0.1</v>
      </c>
      <c r="Q249" s="17">
        <v>0</v>
      </c>
      <c r="R249" s="27">
        <v>0</v>
      </c>
      <c r="S249" s="27">
        <v>0</v>
      </c>
      <c r="T249" s="27">
        <v>0</v>
      </c>
      <c r="U249" s="27">
        <v>0</v>
      </c>
      <c r="V249" s="27">
        <v>7.2</v>
      </c>
      <c r="W249" s="27">
        <v>0.5</v>
      </c>
      <c r="X249" s="27">
        <v>0.3</v>
      </c>
      <c r="Y249" s="27">
        <v>4.4000000000000004</v>
      </c>
      <c r="Z249" s="27">
        <v>0.1</v>
      </c>
      <c r="AA249" s="27">
        <v>0.6</v>
      </c>
      <c r="AB249" s="27">
        <v>0</v>
      </c>
      <c r="AC249" s="27">
        <v>149</v>
      </c>
      <c r="AD249" s="17">
        <v>354</v>
      </c>
      <c r="AE249" s="27">
        <v>125</v>
      </c>
      <c r="AF249" s="27">
        <v>146</v>
      </c>
      <c r="AG249" s="27">
        <v>206</v>
      </c>
      <c r="AH249" s="27">
        <v>22</v>
      </c>
      <c r="AI249" s="27">
        <v>3.6</v>
      </c>
      <c r="AJ249" s="27">
        <v>0.5</v>
      </c>
      <c r="AK249" s="27">
        <v>0.1</v>
      </c>
      <c r="AL249" s="27">
        <v>22.3</v>
      </c>
      <c r="AM249" s="27">
        <v>0</v>
      </c>
    </row>
    <row r="250" spans="1:39" x14ac:dyDescent="0.25">
      <c r="A250" s="10">
        <v>249</v>
      </c>
      <c r="B250" s="9" t="s">
        <v>337</v>
      </c>
      <c r="C250" s="9" t="s">
        <v>353</v>
      </c>
      <c r="D250" s="10">
        <v>1</v>
      </c>
      <c r="E250" s="11">
        <v>370</v>
      </c>
      <c r="F250" s="17">
        <v>10.5</v>
      </c>
      <c r="G250" s="17">
        <v>0.5</v>
      </c>
      <c r="H250" s="17">
        <v>6.8</v>
      </c>
      <c r="I250" s="17">
        <v>78.900000000000006</v>
      </c>
      <c r="J250" s="27">
        <v>0.1</v>
      </c>
      <c r="K250" s="17">
        <v>2.8</v>
      </c>
      <c r="L250" s="17">
        <v>0.6</v>
      </c>
      <c r="M250" s="19">
        <v>0.11</v>
      </c>
      <c r="N250" s="19">
        <v>0.2</v>
      </c>
      <c r="O250" s="19">
        <v>0.2</v>
      </c>
      <c r="P250" s="22" t="s">
        <v>100</v>
      </c>
      <c r="Q250" s="17">
        <v>0</v>
      </c>
      <c r="R250" s="17">
        <v>0</v>
      </c>
      <c r="S250" s="17">
        <v>0</v>
      </c>
      <c r="T250" s="17">
        <v>0</v>
      </c>
      <c r="U250" s="27">
        <v>0.1</v>
      </c>
      <c r="V250" s="27">
        <v>0.1</v>
      </c>
      <c r="W250" s="17">
        <v>0.2</v>
      </c>
      <c r="X250" s="17">
        <v>0.1</v>
      </c>
      <c r="Y250" s="17">
        <v>2.1</v>
      </c>
      <c r="Z250" s="17">
        <v>0.1</v>
      </c>
      <c r="AA250" s="17">
        <v>0.8</v>
      </c>
      <c r="AB250" s="17">
        <v>0</v>
      </c>
      <c r="AC250" s="17">
        <v>7</v>
      </c>
      <c r="AD250" s="17">
        <v>7</v>
      </c>
      <c r="AE250" s="17">
        <v>77</v>
      </c>
      <c r="AF250" s="17">
        <v>11</v>
      </c>
      <c r="AG250" s="17">
        <v>71</v>
      </c>
      <c r="AH250" s="17">
        <v>23</v>
      </c>
      <c r="AI250" s="17">
        <v>1.6</v>
      </c>
      <c r="AJ250" s="17">
        <v>1.2</v>
      </c>
      <c r="AK250" s="17">
        <v>0.2</v>
      </c>
      <c r="AL250" s="17">
        <v>15.1</v>
      </c>
      <c r="AM250" s="27">
        <v>0</v>
      </c>
    </row>
    <row r="251" spans="1:39" x14ac:dyDescent="0.25">
      <c r="A251" s="10">
        <v>250</v>
      </c>
      <c r="B251" s="9" t="s">
        <v>337</v>
      </c>
      <c r="C251" s="9" t="s">
        <v>354</v>
      </c>
      <c r="D251" s="10">
        <v>1</v>
      </c>
      <c r="E251" s="11">
        <v>130</v>
      </c>
      <c r="F251" s="17">
        <v>68.400000000000006</v>
      </c>
      <c r="G251" s="17">
        <v>0.4</v>
      </c>
      <c r="H251" s="17">
        <v>2.7</v>
      </c>
      <c r="I251" s="17">
        <v>27.8</v>
      </c>
      <c r="J251" s="17">
        <v>0.1</v>
      </c>
      <c r="K251" s="17">
        <v>0.4</v>
      </c>
      <c r="L251" s="17">
        <v>0.3</v>
      </c>
      <c r="M251" s="19">
        <v>0.08</v>
      </c>
      <c r="N251" s="19">
        <v>0.09</v>
      </c>
      <c r="O251" s="19">
        <v>0.08</v>
      </c>
      <c r="P251" s="22" t="s">
        <v>100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  <c r="Y251" s="17">
        <v>0.4</v>
      </c>
      <c r="Z251" s="17">
        <v>0.1</v>
      </c>
      <c r="AA251" s="17">
        <v>0.4</v>
      </c>
      <c r="AB251" s="17">
        <v>0</v>
      </c>
      <c r="AC251" s="17">
        <v>3</v>
      </c>
      <c r="AD251" s="17">
        <v>1</v>
      </c>
      <c r="AE251" s="17">
        <v>35</v>
      </c>
      <c r="AF251" s="17">
        <v>10</v>
      </c>
      <c r="AG251" s="17">
        <v>43</v>
      </c>
      <c r="AH251" s="17">
        <v>12</v>
      </c>
      <c r="AI251" s="17">
        <v>0.2</v>
      </c>
      <c r="AJ251" s="17">
        <v>0.5</v>
      </c>
      <c r="AK251" s="17">
        <v>0.1</v>
      </c>
      <c r="AL251" s="17">
        <v>7.5</v>
      </c>
      <c r="AM251" s="27">
        <v>0</v>
      </c>
    </row>
    <row r="252" spans="1:39" x14ac:dyDescent="0.25">
      <c r="A252" s="10">
        <v>251</v>
      </c>
      <c r="B252" s="9" t="s">
        <v>337</v>
      </c>
      <c r="C252" s="9" t="s">
        <v>355</v>
      </c>
      <c r="D252" s="10">
        <v>1</v>
      </c>
      <c r="E252" s="11">
        <v>367</v>
      </c>
      <c r="F252" s="17">
        <v>11.8</v>
      </c>
      <c r="G252" s="17">
        <v>1.2</v>
      </c>
      <c r="H252" s="17">
        <v>7.5</v>
      </c>
      <c r="I252" s="17">
        <v>72.7</v>
      </c>
      <c r="J252" s="17">
        <v>0.7</v>
      </c>
      <c r="K252" s="17">
        <v>3.6</v>
      </c>
      <c r="L252" s="17">
        <v>3.2</v>
      </c>
      <c r="M252" s="19">
        <v>0.59</v>
      </c>
      <c r="N252" s="19">
        <v>1.05</v>
      </c>
      <c r="O252" s="19">
        <v>1</v>
      </c>
      <c r="P252" s="28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0.6</v>
      </c>
      <c r="V252" s="17">
        <v>0.6</v>
      </c>
      <c r="W252" s="17">
        <v>0.5</v>
      </c>
      <c r="X252" s="17">
        <v>0.1</v>
      </c>
      <c r="Y252" s="17">
        <v>6.5</v>
      </c>
      <c r="Z252" s="17">
        <v>0.5</v>
      </c>
      <c r="AA252" s="17">
        <v>1.1000000000000001</v>
      </c>
      <c r="AB252" s="17">
        <v>0</v>
      </c>
      <c r="AC252" s="17">
        <v>23</v>
      </c>
      <c r="AD252" s="17">
        <v>5</v>
      </c>
      <c r="AE252" s="17">
        <v>250</v>
      </c>
      <c r="AF252" s="17">
        <v>9</v>
      </c>
      <c r="AG252" s="17">
        <v>311</v>
      </c>
      <c r="AH252" s="17">
        <v>116</v>
      </c>
      <c r="AI252" s="17">
        <v>1.3</v>
      </c>
      <c r="AJ252" s="17">
        <v>2.1</v>
      </c>
      <c r="AK252" s="17">
        <v>0.3</v>
      </c>
      <c r="AL252" s="17">
        <v>17.100000000000001</v>
      </c>
      <c r="AM252" s="27">
        <v>0</v>
      </c>
    </row>
    <row r="253" spans="1:39" x14ac:dyDescent="0.25">
      <c r="A253" s="10">
        <v>252</v>
      </c>
      <c r="B253" s="9" t="s">
        <v>337</v>
      </c>
      <c r="C253" s="9" t="s">
        <v>356</v>
      </c>
      <c r="D253" s="10">
        <v>1</v>
      </c>
      <c r="E253" s="11">
        <v>112</v>
      </c>
      <c r="F253" s="17">
        <v>73</v>
      </c>
      <c r="G253" s="17">
        <v>0.4</v>
      </c>
      <c r="H253" s="17">
        <v>2.2999999999999998</v>
      </c>
      <c r="I253" s="17">
        <v>21.7</v>
      </c>
      <c r="J253" s="27">
        <v>0.2</v>
      </c>
      <c r="K253" s="17">
        <v>1.8</v>
      </c>
      <c r="L253" s="17">
        <v>0.8</v>
      </c>
      <c r="M253" s="19">
        <v>0.17</v>
      </c>
      <c r="N253" s="19">
        <v>0.3</v>
      </c>
      <c r="O253" s="19">
        <v>0.3</v>
      </c>
      <c r="P253" s="28">
        <v>0</v>
      </c>
      <c r="Q253" s="17">
        <v>0</v>
      </c>
      <c r="R253" s="17">
        <v>0</v>
      </c>
      <c r="S253" s="17">
        <v>0</v>
      </c>
      <c r="T253" s="17">
        <v>0</v>
      </c>
      <c r="U253" s="27">
        <v>0.2</v>
      </c>
      <c r="V253" s="27">
        <v>0.2</v>
      </c>
      <c r="W253" s="17">
        <v>0.1</v>
      </c>
      <c r="X253" s="17">
        <v>0</v>
      </c>
      <c r="Y253" s="17">
        <v>1.3</v>
      </c>
      <c r="Z253" s="17">
        <v>0.1</v>
      </c>
      <c r="AA253" s="17">
        <v>0.4</v>
      </c>
      <c r="AB253" s="17">
        <v>0</v>
      </c>
      <c r="AC253" s="17">
        <v>4</v>
      </c>
      <c r="AD253" s="17">
        <v>1</v>
      </c>
      <c r="AE253" s="17">
        <v>79</v>
      </c>
      <c r="AF253" s="17">
        <v>10</v>
      </c>
      <c r="AG253" s="17">
        <v>77</v>
      </c>
      <c r="AH253" s="17">
        <v>44</v>
      </c>
      <c r="AI253" s="17">
        <v>0.5</v>
      </c>
      <c r="AJ253" s="17">
        <v>0.6</v>
      </c>
      <c r="AK253" s="17">
        <v>0.1</v>
      </c>
      <c r="AL253" s="27">
        <v>5.3</v>
      </c>
      <c r="AM253" s="27">
        <v>0</v>
      </c>
    </row>
    <row r="254" spans="1:39" x14ac:dyDescent="0.25">
      <c r="A254" s="10">
        <v>253</v>
      </c>
      <c r="B254" s="9" t="s">
        <v>337</v>
      </c>
      <c r="C254" s="9" t="s">
        <v>357</v>
      </c>
      <c r="D254" s="10">
        <v>1</v>
      </c>
      <c r="E254" s="11">
        <v>387</v>
      </c>
      <c r="F254" s="17">
        <v>3.3</v>
      </c>
      <c r="G254" s="17">
        <v>1.4</v>
      </c>
      <c r="H254" s="17">
        <v>12.9</v>
      </c>
      <c r="I254" s="17">
        <v>63.3</v>
      </c>
      <c r="J254" s="17">
        <v>0.9</v>
      </c>
      <c r="K254" s="17">
        <v>14.5</v>
      </c>
      <c r="L254" s="17">
        <v>4.5</v>
      </c>
      <c r="M254" s="19">
        <v>0.64</v>
      </c>
      <c r="N254" s="19">
        <v>0.95</v>
      </c>
      <c r="O254" s="19">
        <v>2.3199999999999998</v>
      </c>
      <c r="P254" s="22" t="s">
        <v>100</v>
      </c>
      <c r="Q254" s="17">
        <v>0</v>
      </c>
      <c r="R254" s="17">
        <v>10</v>
      </c>
      <c r="S254" s="17">
        <v>0</v>
      </c>
      <c r="T254" s="17">
        <v>0</v>
      </c>
      <c r="U254" s="17">
        <v>0.3</v>
      </c>
      <c r="V254" s="17">
        <v>1.2</v>
      </c>
      <c r="W254" s="17">
        <v>0.1</v>
      </c>
      <c r="X254" s="17">
        <v>0.1</v>
      </c>
      <c r="Y254" s="17">
        <v>2.2999999999999998</v>
      </c>
      <c r="Z254" s="17">
        <v>0.2</v>
      </c>
      <c r="AA254" s="17">
        <v>0.5</v>
      </c>
      <c r="AB254" s="17">
        <v>0</v>
      </c>
      <c r="AC254" s="17">
        <v>31</v>
      </c>
      <c r="AD254" s="17">
        <v>8</v>
      </c>
      <c r="AE254" s="17">
        <v>329</v>
      </c>
      <c r="AF254" s="17">
        <v>7</v>
      </c>
      <c r="AG254" s="17">
        <v>358</v>
      </c>
      <c r="AH254" s="17">
        <v>144</v>
      </c>
      <c r="AI254" s="17">
        <v>3.2</v>
      </c>
      <c r="AJ254" s="17">
        <v>3.1</v>
      </c>
      <c r="AK254" s="17">
        <v>0.3</v>
      </c>
      <c r="AL254" s="17">
        <v>0</v>
      </c>
      <c r="AM254" s="27">
        <v>0</v>
      </c>
    </row>
    <row r="255" spans="1:39" x14ac:dyDescent="0.25">
      <c r="A255" s="10">
        <v>254</v>
      </c>
      <c r="B255" s="9" t="s">
        <v>337</v>
      </c>
      <c r="C255" s="9" t="s">
        <v>358</v>
      </c>
      <c r="D255" s="10">
        <v>1</v>
      </c>
      <c r="E255" s="11">
        <v>96</v>
      </c>
      <c r="F255" s="17">
        <v>73.400000000000006</v>
      </c>
      <c r="G255" s="17">
        <v>0.7</v>
      </c>
      <c r="H255" s="17">
        <v>3.4</v>
      </c>
      <c r="I255" s="17">
        <v>18.600000000000001</v>
      </c>
      <c r="J255" s="17">
        <v>4.5</v>
      </c>
      <c r="K255" s="17">
        <v>2.4</v>
      </c>
      <c r="L255" s="17">
        <v>1.5</v>
      </c>
      <c r="M255" s="19">
        <v>0.2</v>
      </c>
      <c r="N255" s="19">
        <v>0.37</v>
      </c>
      <c r="O255" s="19">
        <v>0.6</v>
      </c>
      <c r="P255" s="28">
        <v>0</v>
      </c>
      <c r="Q255" s="17">
        <v>0</v>
      </c>
      <c r="R255" s="17">
        <v>13</v>
      </c>
      <c r="S255" s="17">
        <v>5.5</v>
      </c>
      <c r="T255" s="17">
        <v>0</v>
      </c>
      <c r="U255" s="17">
        <v>0.1</v>
      </c>
      <c r="V255" s="17">
        <v>0.4</v>
      </c>
      <c r="W255" s="17">
        <v>0.1</v>
      </c>
      <c r="X255" s="17">
        <v>0.1</v>
      </c>
      <c r="Y255" s="17">
        <v>1.7</v>
      </c>
      <c r="Z255" s="17">
        <v>0.1</v>
      </c>
      <c r="AA255" s="17">
        <v>0.8</v>
      </c>
      <c r="AB255" s="17">
        <v>0</v>
      </c>
      <c r="AC255" s="17">
        <v>23</v>
      </c>
      <c r="AD255" s="17">
        <v>1</v>
      </c>
      <c r="AE255" s="17">
        <v>218</v>
      </c>
      <c r="AF255" s="17">
        <v>3</v>
      </c>
      <c r="AG255" s="17">
        <v>77</v>
      </c>
      <c r="AH255" s="17">
        <v>26</v>
      </c>
      <c r="AI255" s="17">
        <v>0.5</v>
      </c>
      <c r="AJ255" s="17">
        <v>0.6</v>
      </c>
      <c r="AK255" s="17">
        <v>0</v>
      </c>
      <c r="AL255" s="17">
        <v>0.2</v>
      </c>
      <c r="AM255" s="27">
        <v>0</v>
      </c>
    </row>
    <row r="256" spans="1:39" x14ac:dyDescent="0.25">
      <c r="A256" s="10">
        <v>255</v>
      </c>
      <c r="B256" s="9" t="s">
        <v>337</v>
      </c>
      <c r="C256" s="9" t="s">
        <v>359</v>
      </c>
      <c r="D256" s="10">
        <v>1</v>
      </c>
      <c r="E256" s="11">
        <v>81</v>
      </c>
      <c r="F256" s="17">
        <v>77</v>
      </c>
      <c r="G256" s="17">
        <v>0.4</v>
      </c>
      <c r="H256" s="17">
        <v>2.6</v>
      </c>
      <c r="I256" s="17">
        <v>16.899999999999999</v>
      </c>
      <c r="J256" s="17">
        <v>3.1</v>
      </c>
      <c r="K256" s="17">
        <v>2.4</v>
      </c>
      <c r="L256" s="17">
        <v>0.7</v>
      </c>
      <c r="M256" s="19">
        <v>0.1</v>
      </c>
      <c r="N256" s="19">
        <v>0.2</v>
      </c>
      <c r="O256" s="19">
        <v>0.32</v>
      </c>
      <c r="P256" s="28">
        <v>0</v>
      </c>
      <c r="Q256" s="17">
        <v>0</v>
      </c>
      <c r="R256" s="17">
        <v>10</v>
      </c>
      <c r="S256" s="17">
        <v>3.5</v>
      </c>
      <c r="T256" s="17">
        <v>0</v>
      </c>
      <c r="U256" s="17">
        <v>0.1</v>
      </c>
      <c r="V256" s="17">
        <v>0.3</v>
      </c>
      <c r="W256" s="17">
        <v>0</v>
      </c>
      <c r="X256" s="17">
        <v>0.1</v>
      </c>
      <c r="Y256" s="17">
        <v>1.3</v>
      </c>
      <c r="Z256" s="17">
        <v>0.1</v>
      </c>
      <c r="AA256" s="17">
        <v>0.2</v>
      </c>
      <c r="AB256" s="17">
        <v>0</v>
      </c>
      <c r="AC256" s="17">
        <v>35</v>
      </c>
      <c r="AD256" s="17">
        <v>1</v>
      </c>
      <c r="AE256" s="17">
        <v>233</v>
      </c>
      <c r="AF256" s="17">
        <v>3</v>
      </c>
      <c r="AG256" s="17">
        <v>79</v>
      </c>
      <c r="AH256" s="17">
        <v>28</v>
      </c>
      <c r="AI256" s="17">
        <v>0.5</v>
      </c>
      <c r="AJ256" s="17">
        <v>0.6</v>
      </c>
      <c r="AK256" s="17">
        <v>0</v>
      </c>
      <c r="AL256" s="17">
        <v>0.7</v>
      </c>
      <c r="AM256" s="27">
        <v>0</v>
      </c>
    </row>
    <row r="257" spans="1:39" x14ac:dyDescent="0.25">
      <c r="A257" s="10">
        <v>256</v>
      </c>
      <c r="B257" s="9" t="s">
        <v>337</v>
      </c>
      <c r="C257" s="9" t="s">
        <v>360</v>
      </c>
      <c r="D257" s="10">
        <v>1</v>
      </c>
      <c r="E257" s="11">
        <v>86</v>
      </c>
      <c r="F257" s="17">
        <v>76.099999999999994</v>
      </c>
      <c r="G257" s="17">
        <v>0.6</v>
      </c>
      <c r="H257" s="17">
        <v>3.3</v>
      </c>
      <c r="I257" s="17">
        <v>16.7</v>
      </c>
      <c r="J257" s="17">
        <v>6.3</v>
      </c>
      <c r="K257" s="17">
        <v>2</v>
      </c>
      <c r="L257" s="17">
        <v>1.4</v>
      </c>
      <c r="M257" s="19">
        <v>0.33</v>
      </c>
      <c r="N257" s="19">
        <v>0.43</v>
      </c>
      <c r="O257" s="19">
        <v>0.49</v>
      </c>
      <c r="P257" s="28">
        <v>0</v>
      </c>
      <c r="Q257" s="17">
        <v>0</v>
      </c>
      <c r="R257" s="17">
        <v>9</v>
      </c>
      <c r="S257" s="17">
        <v>6.8</v>
      </c>
      <c r="T257" s="17">
        <v>0</v>
      </c>
      <c r="U257" s="17">
        <v>0.1</v>
      </c>
      <c r="V257" s="17">
        <v>0.3</v>
      </c>
      <c r="W257" s="17">
        <v>0.2</v>
      </c>
      <c r="X257" s="17">
        <v>0.1</v>
      </c>
      <c r="Y257" s="17">
        <v>1.8</v>
      </c>
      <c r="Z257" s="17">
        <v>0.1</v>
      </c>
      <c r="AA257" s="17">
        <v>0.7</v>
      </c>
      <c r="AB257" s="17">
        <v>0</v>
      </c>
      <c r="AC257" s="17">
        <v>42</v>
      </c>
      <c r="AD257" s="17">
        <v>15</v>
      </c>
      <c r="AE257" s="17">
        <v>270</v>
      </c>
      <c r="AF257" s="17">
        <v>2</v>
      </c>
      <c r="AG257" s="17">
        <v>89</v>
      </c>
      <c r="AH257" s="17">
        <v>37</v>
      </c>
      <c r="AI257" s="17">
        <v>0.5</v>
      </c>
      <c r="AJ257" s="17">
        <v>0.5</v>
      </c>
      <c r="AK257" s="17">
        <v>0.1</v>
      </c>
      <c r="AL257" s="17">
        <v>0.6</v>
      </c>
      <c r="AM257" s="27">
        <v>0</v>
      </c>
    </row>
    <row r="258" spans="1:39" x14ac:dyDescent="0.25">
      <c r="A258" s="10">
        <v>257</v>
      </c>
      <c r="B258" s="9" t="s">
        <v>337</v>
      </c>
      <c r="C258" s="9" t="s">
        <v>361</v>
      </c>
      <c r="D258" s="10">
        <v>2</v>
      </c>
      <c r="E258" s="11">
        <v>131</v>
      </c>
      <c r="F258" s="17">
        <v>65</v>
      </c>
      <c r="G258" s="27">
        <v>0.5</v>
      </c>
      <c r="H258" s="17">
        <v>3.5</v>
      </c>
      <c r="I258" s="27">
        <v>29.2</v>
      </c>
      <c r="J258" s="27">
        <v>0.2</v>
      </c>
      <c r="K258" s="17">
        <v>0</v>
      </c>
      <c r="L258" s="17">
        <v>0.4</v>
      </c>
      <c r="M258" s="19">
        <v>0.06</v>
      </c>
      <c r="N258" s="19">
        <v>0.05</v>
      </c>
      <c r="O258" s="19">
        <v>0.16</v>
      </c>
      <c r="P258" s="22" t="s">
        <v>100</v>
      </c>
      <c r="Q258" s="17">
        <v>0</v>
      </c>
      <c r="R258" s="17">
        <v>17.600000000000001</v>
      </c>
      <c r="S258" s="17">
        <v>0</v>
      </c>
      <c r="T258" s="27">
        <v>0</v>
      </c>
      <c r="U258" s="17">
        <v>0.1</v>
      </c>
      <c r="V258" s="27">
        <v>0.8</v>
      </c>
      <c r="W258" s="17">
        <v>0.1</v>
      </c>
      <c r="X258" s="17">
        <v>0.1</v>
      </c>
      <c r="Y258" s="17">
        <v>1.7</v>
      </c>
      <c r="Z258" s="17">
        <v>0.1</v>
      </c>
      <c r="AA258" s="17">
        <v>0.5</v>
      </c>
      <c r="AB258" s="17">
        <v>0</v>
      </c>
      <c r="AC258" s="17">
        <v>18.3</v>
      </c>
      <c r="AD258" s="17">
        <v>13.7</v>
      </c>
      <c r="AE258" s="17">
        <v>144</v>
      </c>
      <c r="AF258" s="17">
        <v>22.1</v>
      </c>
      <c r="AG258" s="17">
        <v>127</v>
      </c>
      <c r="AH258" s="17">
        <v>66.400000000000006</v>
      </c>
      <c r="AI258" s="17">
        <v>0.8</v>
      </c>
      <c r="AJ258" s="17">
        <v>1.1000000000000001</v>
      </c>
      <c r="AK258" s="17">
        <v>0.2</v>
      </c>
      <c r="AL258" s="17">
        <v>19.100000000000001</v>
      </c>
      <c r="AM258" s="27">
        <v>0</v>
      </c>
    </row>
    <row r="259" spans="1:39" x14ac:dyDescent="0.25">
      <c r="A259" s="10">
        <v>258</v>
      </c>
      <c r="B259" s="9" t="s">
        <v>337</v>
      </c>
      <c r="C259" s="9" t="s">
        <v>362</v>
      </c>
      <c r="D259" s="10">
        <v>4</v>
      </c>
      <c r="E259" s="11">
        <v>354</v>
      </c>
      <c r="F259" s="27">
        <v>0.1</v>
      </c>
      <c r="G259" s="27">
        <v>1.6</v>
      </c>
      <c r="H259" s="17">
        <v>10.5</v>
      </c>
      <c r="I259" s="17">
        <v>73.599999999999994</v>
      </c>
      <c r="J259" s="17">
        <v>1.8</v>
      </c>
      <c r="K259" s="27">
        <v>12.2</v>
      </c>
      <c r="L259" s="17">
        <v>2</v>
      </c>
      <c r="M259" s="28">
        <v>0.35</v>
      </c>
      <c r="N259" s="28">
        <v>0.26</v>
      </c>
      <c r="O259" s="28">
        <v>0.81</v>
      </c>
      <c r="P259" s="22" t="s">
        <v>100</v>
      </c>
      <c r="Q259" s="27">
        <v>0</v>
      </c>
      <c r="R259" s="27">
        <v>0</v>
      </c>
      <c r="S259" s="27">
        <v>0</v>
      </c>
      <c r="T259" s="27">
        <v>0</v>
      </c>
      <c r="U259" s="27">
        <v>1</v>
      </c>
      <c r="V259" s="27">
        <v>1.9</v>
      </c>
      <c r="W259" s="27">
        <v>0.4</v>
      </c>
      <c r="X259" s="27">
        <v>0.1</v>
      </c>
      <c r="Y259" s="27">
        <v>5.5</v>
      </c>
      <c r="Z259" s="27">
        <v>0.3</v>
      </c>
      <c r="AA259" s="27">
        <v>1</v>
      </c>
      <c r="AB259" s="27">
        <v>0</v>
      </c>
      <c r="AC259" s="27">
        <v>38</v>
      </c>
      <c r="AD259" s="17">
        <v>143</v>
      </c>
      <c r="AE259" s="27">
        <v>363</v>
      </c>
      <c r="AF259" s="27">
        <v>29</v>
      </c>
      <c r="AG259" s="27">
        <v>288</v>
      </c>
      <c r="AH259" s="27">
        <v>126</v>
      </c>
      <c r="AI259" s="27">
        <v>3.2</v>
      </c>
      <c r="AJ259" s="27">
        <v>2.6</v>
      </c>
      <c r="AK259" s="27">
        <v>0.4</v>
      </c>
      <c r="AL259" s="27">
        <v>70.7</v>
      </c>
      <c r="AM259" s="27">
        <v>0</v>
      </c>
    </row>
    <row r="260" spans="1:39" x14ac:dyDescent="0.25">
      <c r="A260" s="10">
        <v>259</v>
      </c>
      <c r="B260" s="9" t="s">
        <v>337</v>
      </c>
      <c r="C260" s="9" t="s">
        <v>363</v>
      </c>
      <c r="D260" s="10">
        <v>1</v>
      </c>
      <c r="E260" s="11">
        <v>368</v>
      </c>
      <c r="F260" s="17">
        <v>13.3</v>
      </c>
      <c r="G260" s="17">
        <v>2.4</v>
      </c>
      <c r="H260" s="17">
        <v>14.1</v>
      </c>
      <c r="I260" s="17">
        <v>57.2</v>
      </c>
      <c r="J260" s="22" t="s">
        <v>100</v>
      </c>
      <c r="K260" s="17">
        <v>7</v>
      </c>
      <c r="L260" s="17">
        <v>6.1</v>
      </c>
      <c r="M260" s="19">
        <v>0.71</v>
      </c>
      <c r="N260" s="19">
        <v>1.61</v>
      </c>
      <c r="O260" s="19">
        <v>3.29</v>
      </c>
      <c r="P260" s="22" t="s">
        <v>100</v>
      </c>
      <c r="Q260" s="17">
        <v>0</v>
      </c>
      <c r="R260" s="17">
        <v>1</v>
      </c>
      <c r="S260" s="22" t="s">
        <v>100</v>
      </c>
      <c r="T260" s="17">
        <v>0</v>
      </c>
      <c r="U260" s="17">
        <v>2.4</v>
      </c>
      <c r="V260" s="17">
        <v>0</v>
      </c>
      <c r="W260" s="17">
        <v>0.4</v>
      </c>
      <c r="X260" s="17">
        <v>0.3</v>
      </c>
      <c r="Y260" s="17">
        <v>1.5</v>
      </c>
      <c r="Z260" s="17">
        <v>0.5</v>
      </c>
      <c r="AA260" s="17">
        <v>0.8</v>
      </c>
      <c r="AB260" s="17">
        <v>0</v>
      </c>
      <c r="AC260" s="17">
        <v>184</v>
      </c>
      <c r="AD260" s="17">
        <v>5</v>
      </c>
      <c r="AE260" s="17">
        <v>563</v>
      </c>
      <c r="AF260" s="17">
        <v>47</v>
      </c>
      <c r="AG260" s="17">
        <v>457</v>
      </c>
      <c r="AH260" s="17">
        <v>197</v>
      </c>
      <c r="AI260" s="17">
        <v>4.5999999999999996</v>
      </c>
      <c r="AJ260" s="17">
        <v>3.1</v>
      </c>
      <c r="AK260" s="17">
        <v>0.6</v>
      </c>
      <c r="AL260" s="17">
        <v>8.5</v>
      </c>
      <c r="AM260" s="27">
        <v>0</v>
      </c>
    </row>
    <row r="261" spans="1:39" x14ac:dyDescent="0.25">
      <c r="A261" s="10">
        <v>260</v>
      </c>
      <c r="B261" s="9" t="s">
        <v>337</v>
      </c>
      <c r="C261" s="9" t="s">
        <v>364</v>
      </c>
      <c r="D261" s="10">
        <v>3</v>
      </c>
      <c r="E261" s="11">
        <v>351</v>
      </c>
      <c r="F261" s="17">
        <v>10.4</v>
      </c>
      <c r="G261" s="17">
        <v>1.5</v>
      </c>
      <c r="H261" s="17">
        <v>12.2</v>
      </c>
      <c r="I261" s="17">
        <v>65.599999999999994</v>
      </c>
      <c r="J261" s="22" t="s">
        <v>100</v>
      </c>
      <c r="K261" s="17">
        <v>5.9</v>
      </c>
      <c r="L261" s="17">
        <v>4.4000000000000004</v>
      </c>
      <c r="M261" s="19">
        <v>0.41</v>
      </c>
      <c r="N261" s="19">
        <v>0.69</v>
      </c>
      <c r="O261" s="19">
        <v>1.9</v>
      </c>
      <c r="P261" s="19">
        <v>0</v>
      </c>
      <c r="Q261" s="27">
        <v>0</v>
      </c>
      <c r="R261" s="27">
        <v>1</v>
      </c>
      <c r="S261" s="22" t="s">
        <v>100</v>
      </c>
      <c r="T261" s="27">
        <v>0</v>
      </c>
      <c r="U261" s="27">
        <v>2.5</v>
      </c>
      <c r="V261" s="27">
        <v>0</v>
      </c>
      <c r="W261" s="27">
        <v>0.4</v>
      </c>
      <c r="X261" s="27">
        <v>0.3</v>
      </c>
      <c r="Y261" s="27">
        <v>1.6</v>
      </c>
      <c r="Z261" s="27">
        <v>0.5</v>
      </c>
      <c r="AA261" s="27">
        <v>0.8</v>
      </c>
      <c r="AB261" s="27">
        <v>0</v>
      </c>
      <c r="AC261" s="27">
        <v>190.1</v>
      </c>
      <c r="AD261" s="17">
        <v>23</v>
      </c>
      <c r="AE261" s="17">
        <v>442</v>
      </c>
      <c r="AF261" s="17">
        <v>26</v>
      </c>
      <c r="AG261" s="27">
        <v>472.2</v>
      </c>
      <c r="AH261" s="17">
        <v>133</v>
      </c>
      <c r="AI261" s="17">
        <v>5.0999999999999996</v>
      </c>
      <c r="AJ261" s="17">
        <v>6.1</v>
      </c>
      <c r="AK261" s="27">
        <v>0.6</v>
      </c>
      <c r="AL261" s="27">
        <v>8.8000000000000007</v>
      </c>
      <c r="AM261" s="27">
        <v>0</v>
      </c>
    </row>
    <row r="262" spans="1:39" x14ac:dyDescent="0.25">
      <c r="A262" s="10">
        <v>261</v>
      </c>
      <c r="B262" s="9" t="s">
        <v>337</v>
      </c>
      <c r="C262" s="9" t="s">
        <v>365</v>
      </c>
      <c r="D262" s="10">
        <v>1</v>
      </c>
      <c r="E262" s="11">
        <v>120</v>
      </c>
      <c r="F262" s="17">
        <v>71.599999999999994</v>
      </c>
      <c r="G262" s="17">
        <v>0.8</v>
      </c>
      <c r="H262" s="17">
        <v>4.4000000000000004</v>
      </c>
      <c r="I262" s="17">
        <v>18.5</v>
      </c>
      <c r="J262" s="17">
        <v>0.9</v>
      </c>
      <c r="K262" s="17">
        <v>2.8</v>
      </c>
      <c r="L262" s="17">
        <v>1.9</v>
      </c>
      <c r="M262" s="19">
        <v>0.23</v>
      </c>
      <c r="N262" s="19">
        <v>0.53</v>
      </c>
      <c r="O262" s="19">
        <v>1.08</v>
      </c>
      <c r="P262" s="22" t="s">
        <v>100</v>
      </c>
      <c r="Q262" s="17">
        <v>0</v>
      </c>
      <c r="R262" s="17">
        <v>0</v>
      </c>
      <c r="S262" s="17">
        <v>0</v>
      </c>
      <c r="T262" s="17">
        <v>0</v>
      </c>
      <c r="U262" s="17">
        <v>0.6</v>
      </c>
      <c r="V262" s="17">
        <v>0</v>
      </c>
      <c r="W262" s="17">
        <v>0.1</v>
      </c>
      <c r="X262" s="17">
        <v>0.1</v>
      </c>
      <c r="Y262" s="17">
        <v>0.4</v>
      </c>
      <c r="Z262" s="17">
        <v>0.1</v>
      </c>
      <c r="AA262" s="22" t="s">
        <v>100</v>
      </c>
      <c r="AB262" s="17">
        <v>0</v>
      </c>
      <c r="AC262" s="17">
        <v>42</v>
      </c>
      <c r="AD262" s="17">
        <v>7</v>
      </c>
      <c r="AE262" s="17">
        <v>172</v>
      </c>
      <c r="AF262" s="17">
        <v>17</v>
      </c>
      <c r="AG262" s="17">
        <v>152</v>
      </c>
      <c r="AH262" s="17">
        <v>64</v>
      </c>
      <c r="AI262" s="17">
        <v>1.5</v>
      </c>
      <c r="AJ262" s="17">
        <v>1.1000000000000001</v>
      </c>
      <c r="AK262" s="17">
        <v>0.2</v>
      </c>
      <c r="AL262" s="17">
        <v>2.8</v>
      </c>
      <c r="AM262" s="27">
        <v>0</v>
      </c>
    </row>
    <row r="263" spans="1:39" x14ac:dyDescent="0.25">
      <c r="A263" s="10">
        <v>262</v>
      </c>
      <c r="B263" s="9" t="s">
        <v>337</v>
      </c>
      <c r="C263" s="9" t="s">
        <v>366</v>
      </c>
      <c r="D263" s="10">
        <v>1</v>
      </c>
      <c r="E263" s="11">
        <v>246</v>
      </c>
      <c r="F263" s="17">
        <v>6.6</v>
      </c>
      <c r="G263" s="17">
        <v>2.9</v>
      </c>
      <c r="H263" s="17">
        <v>17.3</v>
      </c>
      <c r="I263" s="17">
        <v>50.8</v>
      </c>
      <c r="J263" s="17">
        <v>1.5</v>
      </c>
      <c r="K263" s="17">
        <v>15.4</v>
      </c>
      <c r="L263" s="17">
        <v>7</v>
      </c>
      <c r="M263" s="19">
        <v>1.33</v>
      </c>
      <c r="N263" s="19">
        <v>2.38</v>
      </c>
      <c r="O263" s="19">
        <v>2.77</v>
      </c>
      <c r="P263" s="22" t="s">
        <v>100</v>
      </c>
      <c r="Q263" s="17">
        <v>0</v>
      </c>
      <c r="R263" s="17">
        <v>0</v>
      </c>
      <c r="S263" s="17">
        <v>0</v>
      </c>
      <c r="T263" s="17">
        <v>0</v>
      </c>
      <c r="U263" s="17">
        <v>1</v>
      </c>
      <c r="V263" s="17">
        <v>3.2</v>
      </c>
      <c r="W263" s="17">
        <v>1.2</v>
      </c>
      <c r="X263" s="17">
        <v>0.2</v>
      </c>
      <c r="Y263" s="17">
        <v>0.9</v>
      </c>
      <c r="Z263" s="17">
        <v>0.2</v>
      </c>
      <c r="AA263" s="17">
        <v>1.5</v>
      </c>
      <c r="AB263" s="17">
        <v>0</v>
      </c>
      <c r="AC263" s="17">
        <v>52</v>
      </c>
      <c r="AD263" s="17">
        <v>4</v>
      </c>
      <c r="AE263" s="17">
        <v>566</v>
      </c>
      <c r="AF263" s="17">
        <v>58</v>
      </c>
      <c r="AG263" s="17">
        <v>734</v>
      </c>
      <c r="AH263" s="17">
        <v>235</v>
      </c>
      <c r="AI263" s="17">
        <v>5.4</v>
      </c>
      <c r="AJ263" s="17">
        <v>3.1</v>
      </c>
      <c r="AK263" s="17">
        <v>0.4</v>
      </c>
      <c r="AL263" s="17">
        <v>45.2</v>
      </c>
      <c r="AM263" s="27">
        <v>0</v>
      </c>
    </row>
    <row r="264" spans="1:39" x14ac:dyDescent="0.25">
      <c r="A264" s="10">
        <v>263</v>
      </c>
      <c r="B264" s="9" t="s">
        <v>337</v>
      </c>
      <c r="C264" s="9" t="s">
        <v>367</v>
      </c>
      <c r="D264" s="10">
        <v>1</v>
      </c>
      <c r="E264" s="11">
        <v>216</v>
      </c>
      <c r="F264" s="17">
        <v>9.9</v>
      </c>
      <c r="G264" s="17">
        <v>5.8</v>
      </c>
      <c r="H264" s="17">
        <v>15.6</v>
      </c>
      <c r="I264" s="17">
        <v>21.7</v>
      </c>
      <c r="J264" s="17">
        <v>0.4</v>
      </c>
      <c r="K264" s="17">
        <v>42.8</v>
      </c>
      <c r="L264" s="17">
        <v>4.3</v>
      </c>
      <c r="M264" s="19">
        <v>0.63</v>
      </c>
      <c r="N264" s="19">
        <v>0.64</v>
      </c>
      <c r="O264" s="19">
        <v>2.21</v>
      </c>
      <c r="P264" s="22" t="s">
        <v>100</v>
      </c>
      <c r="Q264" s="17">
        <v>0</v>
      </c>
      <c r="R264" s="17">
        <v>0</v>
      </c>
      <c r="S264" s="17">
        <v>0</v>
      </c>
      <c r="T264" s="17">
        <v>0</v>
      </c>
      <c r="U264" s="17">
        <v>1.5</v>
      </c>
      <c r="V264" s="17">
        <v>1.9</v>
      </c>
      <c r="W264" s="17">
        <v>0.5</v>
      </c>
      <c r="X264" s="17">
        <v>0.6</v>
      </c>
      <c r="Y264" s="17">
        <v>13.6</v>
      </c>
      <c r="Z264" s="17">
        <v>1.3</v>
      </c>
      <c r="AA264" s="17">
        <v>2.2000000000000002</v>
      </c>
      <c r="AB264" s="17">
        <v>0</v>
      </c>
      <c r="AC264" s="17">
        <v>79</v>
      </c>
      <c r="AD264" s="17">
        <v>2</v>
      </c>
      <c r="AE264" s="17">
        <v>1182</v>
      </c>
      <c r="AF264" s="17">
        <v>73</v>
      </c>
      <c r="AG264" s="17">
        <v>1013</v>
      </c>
      <c r="AH264" s="17">
        <v>611</v>
      </c>
      <c r="AI264" s="17">
        <v>10.6</v>
      </c>
      <c r="AJ264" s="17">
        <v>7.3</v>
      </c>
      <c r="AK264" s="17">
        <v>1</v>
      </c>
      <c r="AL264" s="17">
        <v>77.599999999999994</v>
      </c>
      <c r="AM264" s="27">
        <v>0</v>
      </c>
    </row>
    <row r="265" spans="1:39" x14ac:dyDescent="0.25">
      <c r="A265" s="10">
        <v>264</v>
      </c>
      <c r="B265" s="9" t="s">
        <v>337</v>
      </c>
      <c r="C265" s="9" t="s">
        <v>368</v>
      </c>
      <c r="D265" s="10">
        <v>1</v>
      </c>
      <c r="E265" s="11">
        <v>389</v>
      </c>
      <c r="F265" s="17">
        <v>8.1999999999999993</v>
      </c>
      <c r="G265" s="17">
        <v>1.7</v>
      </c>
      <c r="H265" s="17">
        <v>16.899999999999999</v>
      </c>
      <c r="I265" s="17">
        <v>55.7</v>
      </c>
      <c r="J265" s="27">
        <v>1</v>
      </c>
      <c r="K265" s="17">
        <v>10.6</v>
      </c>
      <c r="L265" s="17">
        <v>6.9</v>
      </c>
      <c r="M265" s="19">
        <v>1.22</v>
      </c>
      <c r="N265" s="19">
        <v>2.1800000000000002</v>
      </c>
      <c r="O265" s="19">
        <v>2.54</v>
      </c>
      <c r="P265" s="22" t="s">
        <v>100</v>
      </c>
      <c r="Q265" s="17">
        <v>0</v>
      </c>
      <c r="R265" s="17">
        <v>0</v>
      </c>
      <c r="S265" s="17">
        <v>0</v>
      </c>
      <c r="T265" s="17">
        <v>0</v>
      </c>
      <c r="U265" s="27">
        <v>0.4</v>
      </c>
      <c r="V265" s="27">
        <v>2.1</v>
      </c>
      <c r="W265" s="17">
        <v>0.8</v>
      </c>
      <c r="X265" s="17">
        <v>0.1</v>
      </c>
      <c r="Y265" s="17">
        <v>1</v>
      </c>
      <c r="Z265" s="17">
        <v>0.1</v>
      </c>
      <c r="AA265" s="17">
        <v>1.3</v>
      </c>
      <c r="AB265" s="17">
        <v>0</v>
      </c>
      <c r="AC265" s="17">
        <v>56</v>
      </c>
      <c r="AD265" s="17">
        <v>2</v>
      </c>
      <c r="AE265" s="17">
        <v>429</v>
      </c>
      <c r="AF265" s="17">
        <v>54</v>
      </c>
      <c r="AG265" s="17">
        <v>523</v>
      </c>
      <c r="AH265" s="17">
        <v>177</v>
      </c>
      <c r="AI265" s="17">
        <v>4.7</v>
      </c>
      <c r="AJ265" s="17">
        <v>4</v>
      </c>
      <c r="AK265" s="17">
        <v>0.6</v>
      </c>
      <c r="AL265" s="27">
        <v>29.8</v>
      </c>
      <c r="AM265" s="27">
        <v>0</v>
      </c>
    </row>
    <row r="266" spans="1:39" x14ac:dyDescent="0.25">
      <c r="A266" s="10">
        <v>265</v>
      </c>
      <c r="B266" s="9" t="s">
        <v>337</v>
      </c>
      <c r="C266" s="9" t="s">
        <v>369</v>
      </c>
      <c r="D266" s="10">
        <v>3</v>
      </c>
      <c r="E266" s="11">
        <v>358</v>
      </c>
      <c r="F266" s="17">
        <v>7.7</v>
      </c>
      <c r="G266" s="17">
        <v>0.4</v>
      </c>
      <c r="H266" s="17">
        <v>8.1</v>
      </c>
      <c r="I266" s="17">
        <v>79</v>
      </c>
      <c r="J266" s="17">
        <v>23.9</v>
      </c>
      <c r="K266" s="17">
        <v>3.7</v>
      </c>
      <c r="L266" s="17">
        <v>1.1000000000000001</v>
      </c>
      <c r="M266" s="28">
        <v>0.27</v>
      </c>
      <c r="N266" s="28">
        <v>0.13</v>
      </c>
      <c r="O266" s="28">
        <v>0.35</v>
      </c>
      <c r="P266" s="28">
        <v>0</v>
      </c>
      <c r="Q266" s="27">
        <v>0</v>
      </c>
      <c r="R266" s="27">
        <v>936.5</v>
      </c>
      <c r="S266" s="27">
        <v>62</v>
      </c>
      <c r="T266" s="27">
        <v>6.8</v>
      </c>
      <c r="U266" s="27">
        <v>0</v>
      </c>
      <c r="V266" s="27">
        <v>0</v>
      </c>
      <c r="W266" s="27">
        <v>4.3</v>
      </c>
      <c r="X266" s="27">
        <v>1.7</v>
      </c>
      <c r="Y266" s="27">
        <v>20.100000000000001</v>
      </c>
      <c r="Z266" s="27">
        <v>1.8</v>
      </c>
      <c r="AA266" s="27">
        <v>0.1</v>
      </c>
      <c r="AB266" s="27">
        <v>5.0999999999999996</v>
      </c>
      <c r="AC266" s="22" t="s">
        <v>100</v>
      </c>
      <c r="AD266" s="17">
        <v>17.600000000000001</v>
      </c>
      <c r="AE266" s="27">
        <v>102.1</v>
      </c>
      <c r="AF266" s="27">
        <v>1.9</v>
      </c>
      <c r="AG266" s="27">
        <v>31.5</v>
      </c>
      <c r="AH266" s="27">
        <v>6.7</v>
      </c>
      <c r="AI266" s="27">
        <v>18.5</v>
      </c>
      <c r="AJ266" s="27">
        <v>0.2</v>
      </c>
      <c r="AK266" s="27">
        <v>0.1</v>
      </c>
      <c r="AL266" s="27">
        <v>2.1</v>
      </c>
      <c r="AM266" s="27">
        <v>0</v>
      </c>
    </row>
    <row r="267" spans="1:39" x14ac:dyDescent="0.25">
      <c r="A267" s="10">
        <v>266</v>
      </c>
      <c r="B267" s="9" t="s">
        <v>337</v>
      </c>
      <c r="C267" s="9" t="s">
        <v>370</v>
      </c>
      <c r="D267" s="10">
        <v>1</v>
      </c>
      <c r="E267" s="11">
        <v>357</v>
      </c>
      <c r="F267" s="17">
        <v>3.8</v>
      </c>
      <c r="G267" s="17">
        <v>4</v>
      </c>
      <c r="H267" s="17">
        <v>7.5</v>
      </c>
      <c r="I267" s="17">
        <v>81</v>
      </c>
      <c r="J267" s="17">
        <v>9.5</v>
      </c>
      <c r="K267" s="17">
        <v>3.3</v>
      </c>
      <c r="L267" s="17">
        <v>0.4</v>
      </c>
      <c r="M267" s="19">
        <v>0.12</v>
      </c>
      <c r="N267" s="19">
        <v>7.0000000000000007E-2</v>
      </c>
      <c r="O267" s="19">
        <v>0.2</v>
      </c>
      <c r="P267" s="28">
        <v>0</v>
      </c>
      <c r="Q267" s="17">
        <v>0</v>
      </c>
      <c r="R267" s="17">
        <v>490</v>
      </c>
      <c r="S267" s="17">
        <v>21</v>
      </c>
      <c r="T267" s="17">
        <v>3.6</v>
      </c>
      <c r="U267" s="17">
        <v>0.1</v>
      </c>
      <c r="V267" s="17">
        <v>0</v>
      </c>
      <c r="W267" s="17">
        <v>1.3</v>
      </c>
      <c r="X267" s="17">
        <v>1.5</v>
      </c>
      <c r="Y267" s="17">
        <v>17.899999999999999</v>
      </c>
      <c r="Z267" s="17">
        <v>1.8</v>
      </c>
      <c r="AA267" s="17">
        <v>0.2</v>
      </c>
      <c r="AB267" s="17">
        <v>5</v>
      </c>
      <c r="AC267" s="17">
        <v>357</v>
      </c>
      <c r="AD267" s="17">
        <v>729</v>
      </c>
      <c r="AE267" s="17">
        <v>168</v>
      </c>
      <c r="AF267" s="17">
        <v>5</v>
      </c>
      <c r="AG267" s="17">
        <v>102</v>
      </c>
      <c r="AH267" s="17">
        <v>39</v>
      </c>
      <c r="AI267" s="17">
        <v>28.9</v>
      </c>
      <c r="AJ267" s="17">
        <v>1</v>
      </c>
      <c r="AK267" s="17">
        <v>0.2</v>
      </c>
      <c r="AL267" s="17">
        <v>8.3000000000000007</v>
      </c>
      <c r="AM267" s="27">
        <v>0</v>
      </c>
    </row>
    <row r="268" spans="1:39" x14ac:dyDescent="0.25">
      <c r="A268" s="10">
        <v>267</v>
      </c>
      <c r="B268" s="9" t="s">
        <v>337</v>
      </c>
      <c r="C268" s="9" t="s">
        <v>371</v>
      </c>
      <c r="D268" s="10">
        <v>3</v>
      </c>
      <c r="E268" s="11">
        <v>442</v>
      </c>
      <c r="F268" s="17">
        <v>3.2</v>
      </c>
      <c r="G268" s="17">
        <v>1.5</v>
      </c>
      <c r="H268" s="17">
        <v>11.4</v>
      </c>
      <c r="I268" s="17">
        <v>51.1</v>
      </c>
      <c r="J268" s="17">
        <v>20.2</v>
      </c>
      <c r="K268" s="17">
        <v>11.5</v>
      </c>
      <c r="L268" s="17">
        <v>21.4</v>
      </c>
      <c r="M268" s="19">
        <v>4.54</v>
      </c>
      <c r="N268" s="19">
        <v>10.27</v>
      </c>
      <c r="O268" s="19">
        <v>2.98</v>
      </c>
      <c r="P268" s="19">
        <v>0.6</v>
      </c>
      <c r="Q268" s="17">
        <v>3.5</v>
      </c>
      <c r="R268" s="27">
        <v>1</v>
      </c>
      <c r="S268" s="27">
        <v>1.2</v>
      </c>
      <c r="T268" s="27">
        <v>0</v>
      </c>
      <c r="U268" s="27">
        <v>11.4</v>
      </c>
      <c r="V268" s="27">
        <v>5.4</v>
      </c>
      <c r="W268" s="27">
        <v>0.6</v>
      </c>
      <c r="X268" s="27">
        <v>0.4</v>
      </c>
      <c r="Y268" s="27">
        <v>2.8</v>
      </c>
      <c r="Z268" s="27">
        <v>0.4</v>
      </c>
      <c r="AA268" s="27">
        <v>0.8</v>
      </c>
      <c r="AB268" s="27">
        <v>0</v>
      </c>
      <c r="AC268" s="27">
        <v>86.4</v>
      </c>
      <c r="AD268" s="17">
        <v>44</v>
      </c>
      <c r="AE268" s="27">
        <v>554.1</v>
      </c>
      <c r="AF268" s="27">
        <v>78.099999999999994</v>
      </c>
      <c r="AG268" s="27">
        <v>443.1</v>
      </c>
      <c r="AH268" s="27">
        <v>172.7</v>
      </c>
      <c r="AI268" s="27">
        <v>4.0999999999999996</v>
      </c>
      <c r="AJ268" s="27">
        <v>4.3</v>
      </c>
      <c r="AK268" s="27">
        <v>0.7</v>
      </c>
      <c r="AL268" s="27">
        <v>26.1</v>
      </c>
      <c r="AM268" s="27">
        <v>0</v>
      </c>
    </row>
    <row r="269" spans="1:39" x14ac:dyDescent="0.25">
      <c r="A269" s="10">
        <v>268</v>
      </c>
      <c r="B269" s="9" t="s">
        <v>337</v>
      </c>
      <c r="C269" s="9" t="s">
        <v>372</v>
      </c>
      <c r="D269" s="10">
        <v>3</v>
      </c>
      <c r="E269" s="11">
        <v>364</v>
      </c>
      <c r="F269" s="17">
        <v>9.3000000000000007</v>
      </c>
      <c r="G269" s="17">
        <v>1.2</v>
      </c>
      <c r="H269" s="17">
        <v>10.4</v>
      </c>
      <c r="I269" s="17">
        <v>78</v>
      </c>
      <c r="J269" s="17">
        <v>1.3</v>
      </c>
      <c r="K269" s="22" t="s">
        <v>100</v>
      </c>
      <c r="L269" s="17">
        <v>1.1000000000000001</v>
      </c>
      <c r="M269" s="28">
        <v>0.19</v>
      </c>
      <c r="N269" s="28">
        <v>0.14000000000000001</v>
      </c>
      <c r="O269" s="28">
        <v>0.45</v>
      </c>
      <c r="P269" s="22" t="s">
        <v>100</v>
      </c>
      <c r="Q269" s="27">
        <v>0</v>
      </c>
      <c r="R269" s="27">
        <v>0</v>
      </c>
      <c r="S269" s="27">
        <v>0</v>
      </c>
      <c r="T269" s="27">
        <v>0</v>
      </c>
      <c r="U269" s="27">
        <v>0.1</v>
      </c>
      <c r="V269" s="27">
        <v>1.9</v>
      </c>
      <c r="W269" s="27">
        <v>0.2</v>
      </c>
      <c r="X269" s="27">
        <v>0.1</v>
      </c>
      <c r="Y269" s="27">
        <v>5.0999999999999996</v>
      </c>
      <c r="Z269" s="27">
        <v>0.3</v>
      </c>
      <c r="AA269" s="27">
        <v>1</v>
      </c>
      <c r="AB269" s="27">
        <v>0</v>
      </c>
      <c r="AC269" s="27">
        <v>26.9</v>
      </c>
      <c r="AD269" s="17">
        <v>25</v>
      </c>
      <c r="AE269" s="27">
        <v>408.6</v>
      </c>
      <c r="AF269" s="27">
        <v>34.9</v>
      </c>
      <c r="AG269" s="27">
        <v>299</v>
      </c>
      <c r="AH269" s="27">
        <v>163.5</v>
      </c>
      <c r="AI269" s="27">
        <v>2.5</v>
      </c>
      <c r="AJ269" s="27">
        <v>1.9</v>
      </c>
      <c r="AK269" s="27">
        <v>0.3</v>
      </c>
      <c r="AL269" s="27">
        <v>2.2999999999999998</v>
      </c>
      <c r="AM269" s="27">
        <v>0</v>
      </c>
    </row>
    <row r="270" spans="1:39" x14ac:dyDescent="0.25">
      <c r="A270" s="10">
        <v>269</v>
      </c>
      <c r="B270" s="9" t="s">
        <v>337</v>
      </c>
      <c r="C270" s="9" t="s">
        <v>373</v>
      </c>
      <c r="D270" s="10">
        <v>1</v>
      </c>
      <c r="E270" s="11">
        <v>112</v>
      </c>
      <c r="F270" s="17">
        <v>72.599999999999994</v>
      </c>
      <c r="G270" s="17">
        <v>0.3</v>
      </c>
      <c r="H270" s="17">
        <v>3.8</v>
      </c>
      <c r="I270" s="17">
        <v>21.8</v>
      </c>
      <c r="J270" s="17">
        <v>0.1</v>
      </c>
      <c r="K270" s="17">
        <v>1.4</v>
      </c>
      <c r="L270" s="17">
        <v>0.2</v>
      </c>
      <c r="M270" s="19">
        <v>0.03</v>
      </c>
      <c r="N270" s="19">
        <v>0.02</v>
      </c>
      <c r="O270" s="19">
        <v>0.06</v>
      </c>
      <c r="P270" s="22" t="s">
        <v>100</v>
      </c>
      <c r="Q270" s="17">
        <v>0</v>
      </c>
      <c r="R270" s="17">
        <v>0</v>
      </c>
      <c r="S270" s="17">
        <v>0</v>
      </c>
      <c r="T270" s="17">
        <v>0</v>
      </c>
      <c r="U270" s="17">
        <v>0.1</v>
      </c>
      <c r="V270" s="17">
        <v>0.1</v>
      </c>
      <c r="W270" s="17">
        <v>0.1</v>
      </c>
      <c r="X270" s="17">
        <v>0</v>
      </c>
      <c r="Y270" s="17">
        <v>1</v>
      </c>
      <c r="Z270" s="17">
        <v>0.1</v>
      </c>
      <c r="AA270" s="17">
        <v>0.4</v>
      </c>
      <c r="AB270" s="17">
        <v>0</v>
      </c>
      <c r="AC270" s="17">
        <v>15</v>
      </c>
      <c r="AD270" s="17">
        <v>5</v>
      </c>
      <c r="AE270" s="17">
        <v>58</v>
      </c>
      <c r="AF270" s="17">
        <v>8</v>
      </c>
      <c r="AG270" s="17">
        <v>22</v>
      </c>
      <c r="AH270" s="17">
        <v>8</v>
      </c>
      <c r="AI270" s="17">
        <v>0.4</v>
      </c>
      <c r="AJ270" s="17">
        <v>0.3</v>
      </c>
      <c r="AK270" s="17">
        <v>0</v>
      </c>
      <c r="AL270" s="17">
        <v>27.5</v>
      </c>
      <c r="AM270" s="27">
        <v>0</v>
      </c>
    </row>
    <row r="271" spans="1:39" x14ac:dyDescent="0.25">
      <c r="A271" s="10">
        <v>270</v>
      </c>
      <c r="B271" s="9" t="s">
        <v>337</v>
      </c>
      <c r="C271" s="9" t="s">
        <v>374</v>
      </c>
      <c r="D271" s="10">
        <v>1</v>
      </c>
      <c r="E271" s="11">
        <v>376</v>
      </c>
      <c r="F271" s="17">
        <v>8.6</v>
      </c>
      <c r="G271" s="17">
        <v>0.6</v>
      </c>
      <c r="H271" s="17">
        <v>12.8</v>
      </c>
      <c r="I271" s="17">
        <v>72.400000000000006</v>
      </c>
      <c r="J271" s="22" t="s">
        <v>100</v>
      </c>
      <c r="K271" s="17">
        <v>5</v>
      </c>
      <c r="L271" s="17">
        <v>0.6</v>
      </c>
      <c r="M271" s="19">
        <v>0.12</v>
      </c>
      <c r="N271" s="19">
        <v>0.09</v>
      </c>
      <c r="O271" s="19">
        <v>0.25</v>
      </c>
      <c r="P271" s="22" t="s">
        <v>100</v>
      </c>
      <c r="Q271" s="17">
        <v>0</v>
      </c>
      <c r="R271" s="17">
        <v>0</v>
      </c>
      <c r="S271" s="17">
        <v>0</v>
      </c>
      <c r="T271" s="17">
        <v>0</v>
      </c>
      <c r="U271" s="22" t="s">
        <v>100</v>
      </c>
      <c r="V271" s="22" t="s">
        <v>100</v>
      </c>
      <c r="W271" s="17">
        <v>0.2</v>
      </c>
      <c r="X271" s="17">
        <v>0.1</v>
      </c>
      <c r="Y271" s="17">
        <v>3.5</v>
      </c>
      <c r="Z271" s="17">
        <v>0.1</v>
      </c>
      <c r="AA271" s="17">
        <v>1.2</v>
      </c>
      <c r="AB271" s="17">
        <v>0</v>
      </c>
      <c r="AC271" s="17">
        <v>20</v>
      </c>
      <c r="AD271" s="17">
        <v>10</v>
      </c>
      <c r="AE271" s="17">
        <v>166</v>
      </c>
      <c r="AF271" s="17">
        <v>24</v>
      </c>
      <c r="AG271" s="17">
        <v>170</v>
      </c>
      <c r="AH271" s="17">
        <v>44</v>
      </c>
      <c r="AI271" s="17">
        <v>1.1000000000000001</v>
      </c>
      <c r="AJ271" s="17">
        <v>0.8</v>
      </c>
      <c r="AK271" s="17">
        <v>0.2</v>
      </c>
      <c r="AL271" s="22" t="s">
        <v>100</v>
      </c>
      <c r="AM271" s="27">
        <v>0</v>
      </c>
    </row>
    <row r="272" spans="1:39" x14ac:dyDescent="0.25">
      <c r="A272" s="10">
        <v>271</v>
      </c>
      <c r="B272" s="9" t="s">
        <v>337</v>
      </c>
      <c r="C272" s="9" t="s">
        <v>375</v>
      </c>
      <c r="D272" s="10">
        <v>1</v>
      </c>
      <c r="E272" s="11">
        <v>352</v>
      </c>
      <c r="F272" s="17">
        <v>8.2100000000000009</v>
      </c>
      <c r="G272" s="17">
        <v>1.62</v>
      </c>
      <c r="H272" s="17">
        <v>13.9</v>
      </c>
      <c r="I272" s="17">
        <v>64.2</v>
      </c>
      <c r="J272" s="17">
        <v>2.7</v>
      </c>
      <c r="K272" s="17">
        <v>9.1999999999999993</v>
      </c>
      <c r="L272" s="17">
        <v>2.9</v>
      </c>
      <c r="M272" s="19">
        <v>0.43</v>
      </c>
      <c r="N272" s="19">
        <v>0.36</v>
      </c>
      <c r="O272" s="19">
        <v>1.1399999999999999</v>
      </c>
      <c r="P272" s="28">
        <v>0</v>
      </c>
      <c r="Q272" s="17">
        <v>0</v>
      </c>
      <c r="R272" s="27">
        <v>0</v>
      </c>
      <c r="S272" s="27">
        <v>0</v>
      </c>
      <c r="T272" s="17">
        <v>0</v>
      </c>
      <c r="U272" s="17">
        <v>0.5</v>
      </c>
      <c r="V272" s="17">
        <v>1.4</v>
      </c>
      <c r="W272" s="17">
        <v>0.4</v>
      </c>
      <c r="X272" s="17">
        <v>0.2</v>
      </c>
      <c r="Y272" s="17">
        <v>8.6999999999999993</v>
      </c>
      <c r="Z272" s="17">
        <v>0.3</v>
      </c>
      <c r="AA272" s="17">
        <v>0.9</v>
      </c>
      <c r="AB272" s="17">
        <v>0</v>
      </c>
      <c r="AC272" s="17">
        <v>69</v>
      </c>
      <c r="AD272" s="17">
        <v>6</v>
      </c>
      <c r="AE272" s="17">
        <v>434</v>
      </c>
      <c r="AF272" s="17">
        <v>29</v>
      </c>
      <c r="AG272" s="17">
        <v>343</v>
      </c>
      <c r="AH272" s="17">
        <v>128</v>
      </c>
      <c r="AI272" s="17">
        <v>3.6</v>
      </c>
      <c r="AJ272" s="17">
        <v>3</v>
      </c>
      <c r="AK272" s="17">
        <v>0.5</v>
      </c>
      <c r="AL272" s="17">
        <v>77.599999999999994</v>
      </c>
      <c r="AM272" s="27">
        <v>0</v>
      </c>
    </row>
    <row r="273" spans="1:39" x14ac:dyDescent="0.25">
      <c r="A273" s="10">
        <v>272</v>
      </c>
      <c r="B273" s="9" t="s">
        <v>337</v>
      </c>
      <c r="C273" s="9" t="s">
        <v>376</v>
      </c>
      <c r="D273" s="10">
        <v>1</v>
      </c>
      <c r="E273" s="11">
        <v>149</v>
      </c>
      <c r="F273" s="17">
        <v>61.8</v>
      </c>
      <c r="G273" s="17">
        <v>0.4</v>
      </c>
      <c r="H273" s="17">
        <v>6</v>
      </c>
      <c r="I273" s="17">
        <v>26.2</v>
      </c>
      <c r="J273" s="17">
        <v>0.8</v>
      </c>
      <c r="K273" s="17">
        <v>3.9</v>
      </c>
      <c r="L273" s="17">
        <v>1.7</v>
      </c>
      <c r="M273" s="19">
        <v>0.24</v>
      </c>
      <c r="N273" s="19">
        <v>0.18</v>
      </c>
      <c r="O273" s="19">
        <v>0.56999999999999995</v>
      </c>
      <c r="P273" s="28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0.2</v>
      </c>
      <c r="V273" s="17">
        <v>0.6</v>
      </c>
      <c r="W273" s="17">
        <v>0.2</v>
      </c>
      <c r="X273" s="17">
        <v>0.1</v>
      </c>
      <c r="Y273" s="17">
        <v>3.1</v>
      </c>
      <c r="Z273" s="17">
        <v>0.1</v>
      </c>
      <c r="AA273" s="17">
        <v>0.3</v>
      </c>
      <c r="AB273" s="17">
        <v>0</v>
      </c>
      <c r="AC273" s="17">
        <v>21</v>
      </c>
      <c r="AD273" s="17">
        <v>4</v>
      </c>
      <c r="AE273" s="17">
        <v>96</v>
      </c>
      <c r="AF273" s="17">
        <v>13</v>
      </c>
      <c r="AG273" s="17">
        <v>127</v>
      </c>
      <c r="AH273" s="17">
        <v>54</v>
      </c>
      <c r="AI273" s="17">
        <v>1.7</v>
      </c>
      <c r="AJ273" s="17">
        <v>1.3</v>
      </c>
      <c r="AK273" s="17">
        <v>0.2</v>
      </c>
      <c r="AL273" s="17">
        <v>36.299999999999997</v>
      </c>
      <c r="AM273" s="27">
        <v>0</v>
      </c>
    </row>
    <row r="274" spans="1:39" x14ac:dyDescent="0.25">
      <c r="A274" s="10">
        <v>273</v>
      </c>
      <c r="B274" s="9" t="s">
        <v>337</v>
      </c>
      <c r="C274" s="9" t="s">
        <v>377</v>
      </c>
      <c r="D274" s="10">
        <v>1</v>
      </c>
      <c r="E274" s="11">
        <v>108</v>
      </c>
      <c r="F274" s="17">
        <v>73.8</v>
      </c>
      <c r="G274" s="17">
        <v>0.2</v>
      </c>
      <c r="H274" s="17">
        <v>1.8</v>
      </c>
      <c r="I274" s="17">
        <v>23</v>
      </c>
      <c r="J274" s="17">
        <v>0</v>
      </c>
      <c r="K274" s="17">
        <v>1</v>
      </c>
      <c r="L274" s="17">
        <v>0.2</v>
      </c>
      <c r="M274" s="19">
        <v>0.02</v>
      </c>
      <c r="N274" s="19">
        <v>0.03</v>
      </c>
      <c r="O274" s="19">
        <v>0.02</v>
      </c>
      <c r="P274" s="22" t="s">
        <v>100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0.1</v>
      </c>
      <c r="Z274" s="17">
        <v>0</v>
      </c>
      <c r="AA274" s="17">
        <v>0</v>
      </c>
      <c r="AB274" s="17">
        <v>0</v>
      </c>
      <c r="AC274" s="17">
        <v>1</v>
      </c>
      <c r="AD274" s="17">
        <v>19</v>
      </c>
      <c r="AE274" s="17">
        <v>4</v>
      </c>
      <c r="AF274" s="17">
        <v>4</v>
      </c>
      <c r="AG274" s="17">
        <v>20</v>
      </c>
      <c r="AH274" s="17">
        <v>3</v>
      </c>
      <c r="AI274" s="17">
        <v>0.1</v>
      </c>
      <c r="AJ274" s="17">
        <v>0.3</v>
      </c>
      <c r="AK274" s="17">
        <v>0</v>
      </c>
      <c r="AL274" s="17">
        <v>4.5</v>
      </c>
      <c r="AM274" s="27">
        <v>0</v>
      </c>
    </row>
    <row r="275" spans="1:39" x14ac:dyDescent="0.25">
      <c r="A275" s="10">
        <v>274</v>
      </c>
      <c r="B275" s="9" t="s">
        <v>337</v>
      </c>
      <c r="C275" s="9" t="s">
        <v>378</v>
      </c>
      <c r="D275" s="10">
        <v>4</v>
      </c>
      <c r="E275" s="11">
        <v>409</v>
      </c>
      <c r="F275" s="27">
        <v>4</v>
      </c>
      <c r="G275" s="27">
        <v>1.1000000000000001</v>
      </c>
      <c r="H275" s="17">
        <v>5.6</v>
      </c>
      <c r="I275" s="17">
        <v>81.7</v>
      </c>
      <c r="J275" s="17">
        <v>49</v>
      </c>
      <c r="K275" s="27">
        <v>1</v>
      </c>
      <c r="L275" s="17">
        <v>6.6</v>
      </c>
      <c r="M275" s="19">
        <v>2.2000000000000002</v>
      </c>
      <c r="N275" s="19">
        <v>2.7</v>
      </c>
      <c r="O275" s="19">
        <v>1.7</v>
      </c>
      <c r="P275" s="19">
        <v>0.1</v>
      </c>
      <c r="Q275" s="17">
        <v>149</v>
      </c>
      <c r="R275" s="27">
        <v>3</v>
      </c>
      <c r="S275" s="27">
        <v>3.7</v>
      </c>
      <c r="T275" s="27">
        <v>0.6</v>
      </c>
      <c r="U275" s="27">
        <v>0.6</v>
      </c>
      <c r="V275" s="27">
        <v>0.2</v>
      </c>
      <c r="W275" s="27">
        <v>0.3</v>
      </c>
      <c r="X275" s="27">
        <v>0.4</v>
      </c>
      <c r="Y275" s="27">
        <v>2.1</v>
      </c>
      <c r="Z275" s="27">
        <v>0.1</v>
      </c>
      <c r="AA275" s="27">
        <v>1.1000000000000001</v>
      </c>
      <c r="AB275" s="27">
        <v>0.8</v>
      </c>
      <c r="AC275" s="27">
        <v>76</v>
      </c>
      <c r="AD275" s="17">
        <v>217</v>
      </c>
      <c r="AE275" s="27">
        <v>113</v>
      </c>
      <c r="AF275" s="27">
        <v>47</v>
      </c>
      <c r="AG275" s="27">
        <v>173</v>
      </c>
      <c r="AH275" s="27">
        <v>12</v>
      </c>
      <c r="AI275" s="27">
        <v>3.6</v>
      </c>
      <c r="AJ275" s="27">
        <v>1.1000000000000001</v>
      </c>
      <c r="AK275" s="27">
        <v>0.1</v>
      </c>
      <c r="AL275" s="27">
        <v>21.1</v>
      </c>
      <c r="AM275" s="27">
        <v>0</v>
      </c>
    </row>
    <row r="276" spans="1:39" x14ac:dyDescent="0.25">
      <c r="A276" s="10">
        <v>275</v>
      </c>
      <c r="B276" s="9" t="s">
        <v>337</v>
      </c>
      <c r="C276" s="9" t="s">
        <v>379</v>
      </c>
      <c r="D276" s="10">
        <v>3</v>
      </c>
      <c r="E276" s="11">
        <v>428</v>
      </c>
      <c r="F276" s="17">
        <v>3.5</v>
      </c>
      <c r="G276" s="17">
        <v>1.4</v>
      </c>
      <c r="H276" s="17">
        <v>8.6</v>
      </c>
      <c r="I276" s="17">
        <v>56.1</v>
      </c>
      <c r="J276" s="27">
        <v>25.2</v>
      </c>
      <c r="K276" s="17">
        <v>6.5</v>
      </c>
      <c r="L276" s="17">
        <v>17</v>
      </c>
      <c r="M276" s="19">
        <v>4.9400000000000004</v>
      </c>
      <c r="N276" s="19">
        <v>8.0500000000000007</v>
      </c>
      <c r="O276" s="19">
        <v>2.89</v>
      </c>
      <c r="P276" s="19">
        <v>0</v>
      </c>
      <c r="Q276" s="17">
        <v>0</v>
      </c>
      <c r="R276" s="27">
        <v>5.0999999999999996</v>
      </c>
      <c r="S276" s="27">
        <v>0.5</v>
      </c>
      <c r="T276" s="27">
        <v>0</v>
      </c>
      <c r="U276" s="27">
        <v>0.3</v>
      </c>
      <c r="V276" s="27">
        <v>8.1999999999999993</v>
      </c>
      <c r="W276" s="27">
        <v>0.3</v>
      </c>
      <c r="X276" s="27">
        <v>0.2</v>
      </c>
      <c r="Y276" s="27">
        <v>2.2999999999999998</v>
      </c>
      <c r="Z276" s="27">
        <v>0.1</v>
      </c>
      <c r="AA276" s="27">
        <v>0.4</v>
      </c>
      <c r="AB276" s="27">
        <v>0</v>
      </c>
      <c r="AC276" s="27">
        <v>97.2</v>
      </c>
      <c r="AD276" s="17">
        <v>214</v>
      </c>
      <c r="AE276" s="27">
        <v>145.30000000000001</v>
      </c>
      <c r="AF276" s="27">
        <v>37.9</v>
      </c>
      <c r="AG276" s="27">
        <v>141.19999999999999</v>
      </c>
      <c r="AH276" s="27">
        <v>33.799999999999997</v>
      </c>
      <c r="AI276" s="27">
        <v>2.6</v>
      </c>
      <c r="AJ276" s="27">
        <v>0.8</v>
      </c>
      <c r="AK276" s="27">
        <v>0.1</v>
      </c>
      <c r="AL276" s="27">
        <v>10</v>
      </c>
      <c r="AM276" s="27">
        <v>0</v>
      </c>
    </row>
    <row r="277" spans="1:39" x14ac:dyDescent="0.25">
      <c r="A277" s="10">
        <v>276</v>
      </c>
      <c r="B277" s="9" t="s">
        <v>337</v>
      </c>
      <c r="C277" s="9" t="s">
        <v>380</v>
      </c>
      <c r="D277" s="10">
        <v>3</v>
      </c>
      <c r="E277" s="11">
        <v>430</v>
      </c>
      <c r="F277" s="17">
        <v>3.7</v>
      </c>
      <c r="G277" s="17">
        <v>1.3</v>
      </c>
      <c r="H277" s="17">
        <v>8.5</v>
      </c>
      <c r="I277" s="17">
        <v>57.9</v>
      </c>
      <c r="J277" s="27">
        <v>25.2</v>
      </c>
      <c r="K277" s="17">
        <v>5.0999999999999996</v>
      </c>
      <c r="L277" s="17">
        <v>16.399999999999999</v>
      </c>
      <c r="M277" s="19">
        <v>4.92</v>
      </c>
      <c r="N277" s="19">
        <v>7.69</v>
      </c>
      <c r="O277" s="19">
        <v>2.79</v>
      </c>
      <c r="P277" s="19">
        <v>0</v>
      </c>
      <c r="Q277" s="17">
        <v>0</v>
      </c>
      <c r="R277" s="27">
        <v>5.0999999999999996</v>
      </c>
      <c r="S277" s="27">
        <v>0.5</v>
      </c>
      <c r="T277" s="27">
        <v>0</v>
      </c>
      <c r="U277" s="27">
        <v>0.3</v>
      </c>
      <c r="V277" s="27">
        <v>8.1999999999999993</v>
      </c>
      <c r="W277" s="27">
        <v>0.3</v>
      </c>
      <c r="X277" s="27">
        <v>0.2</v>
      </c>
      <c r="Y277" s="27">
        <v>2.2999999999999998</v>
      </c>
      <c r="Z277" s="27">
        <v>0.1</v>
      </c>
      <c r="AA277" s="27">
        <v>0.4</v>
      </c>
      <c r="AB277" s="27">
        <v>0</v>
      </c>
      <c r="AC277" s="27">
        <v>97</v>
      </c>
      <c r="AD277" s="17">
        <v>184</v>
      </c>
      <c r="AE277" s="27">
        <v>145</v>
      </c>
      <c r="AF277" s="27">
        <v>37.799999999999997</v>
      </c>
      <c r="AG277" s="27">
        <v>140.9</v>
      </c>
      <c r="AH277" s="27">
        <v>33.700000000000003</v>
      </c>
      <c r="AI277" s="27">
        <v>2.6</v>
      </c>
      <c r="AJ277" s="27">
        <v>0.8</v>
      </c>
      <c r="AK277" s="27">
        <v>0.1</v>
      </c>
      <c r="AL277" s="27">
        <v>10</v>
      </c>
      <c r="AM277" s="27">
        <v>0</v>
      </c>
    </row>
    <row r="278" spans="1:39" x14ac:dyDescent="0.25">
      <c r="A278" s="10">
        <v>277</v>
      </c>
      <c r="B278" s="9" t="s">
        <v>337</v>
      </c>
      <c r="C278" s="9" t="s">
        <v>381</v>
      </c>
      <c r="D278" s="10">
        <v>3</v>
      </c>
      <c r="E278" s="11">
        <v>427</v>
      </c>
      <c r="F278" s="17">
        <v>2.8</v>
      </c>
      <c r="G278" s="17">
        <v>1.5</v>
      </c>
      <c r="H278" s="17">
        <v>8.3000000000000007</v>
      </c>
      <c r="I278" s="17">
        <v>54.2</v>
      </c>
      <c r="J278" s="27">
        <v>40.799999999999997</v>
      </c>
      <c r="K278" s="17">
        <v>6.9</v>
      </c>
      <c r="L278" s="17">
        <v>17.3</v>
      </c>
      <c r="M278" s="19">
        <v>4.97</v>
      </c>
      <c r="N278" s="19">
        <v>8.27</v>
      </c>
      <c r="O278" s="19">
        <v>3</v>
      </c>
      <c r="P278" s="19">
        <v>0</v>
      </c>
      <c r="Q278" s="17">
        <v>0</v>
      </c>
      <c r="R278" s="27">
        <v>1</v>
      </c>
      <c r="S278" s="27">
        <v>0</v>
      </c>
      <c r="T278" s="27">
        <v>0</v>
      </c>
      <c r="U278" s="27">
        <v>2.5</v>
      </c>
      <c r="V278" s="27">
        <v>27.5</v>
      </c>
      <c r="W278" s="27">
        <v>0.2</v>
      </c>
      <c r="X278" s="27">
        <v>0.2</v>
      </c>
      <c r="Y278" s="27">
        <v>2.6</v>
      </c>
      <c r="Z278" s="27">
        <v>0</v>
      </c>
      <c r="AA278" s="27">
        <v>0.3</v>
      </c>
      <c r="AB278" s="27">
        <v>0</v>
      </c>
      <c r="AC278" s="27">
        <v>102.3</v>
      </c>
      <c r="AD278" s="17">
        <v>198</v>
      </c>
      <c r="AE278" s="27">
        <v>234.7</v>
      </c>
      <c r="AF278" s="27">
        <v>21.1</v>
      </c>
      <c r="AG278" s="27">
        <v>93.3</v>
      </c>
      <c r="AH278" s="27">
        <v>47.2</v>
      </c>
      <c r="AI278" s="27">
        <v>12.2</v>
      </c>
      <c r="AJ278" s="27">
        <v>0.7</v>
      </c>
      <c r="AK278" s="27">
        <v>0.3</v>
      </c>
      <c r="AL278" s="27">
        <v>5.2</v>
      </c>
      <c r="AM278" s="27">
        <v>0</v>
      </c>
    </row>
    <row r="279" spans="1:39" x14ac:dyDescent="0.25">
      <c r="A279" s="10">
        <v>278</v>
      </c>
      <c r="B279" s="9" t="s">
        <v>337</v>
      </c>
      <c r="C279" s="9" t="s">
        <v>382</v>
      </c>
      <c r="D279" s="10">
        <v>3</v>
      </c>
      <c r="E279" s="11">
        <v>430</v>
      </c>
      <c r="F279" s="17">
        <v>4.4000000000000004</v>
      </c>
      <c r="G279" s="17">
        <v>1.6</v>
      </c>
      <c r="H279" s="17">
        <v>7.6</v>
      </c>
      <c r="I279" s="17">
        <v>61.8</v>
      </c>
      <c r="J279" s="27">
        <v>25</v>
      </c>
      <c r="K279" s="17">
        <v>7.7</v>
      </c>
      <c r="L279" s="17">
        <v>16.899999999999999</v>
      </c>
      <c r="M279" s="19">
        <v>5.08</v>
      </c>
      <c r="N279" s="19">
        <v>7.73</v>
      </c>
      <c r="O279" s="19">
        <v>3.1</v>
      </c>
      <c r="P279" s="19">
        <v>0</v>
      </c>
      <c r="Q279" s="17">
        <v>0</v>
      </c>
      <c r="R279" s="27">
        <v>5.0999999999999996</v>
      </c>
      <c r="S279" s="27">
        <v>0.5</v>
      </c>
      <c r="T279" s="27">
        <v>0</v>
      </c>
      <c r="U279" s="27">
        <v>0.3</v>
      </c>
      <c r="V279" s="27">
        <v>8.1</v>
      </c>
      <c r="W279" s="27">
        <v>0.3</v>
      </c>
      <c r="X279" s="27">
        <v>0.2</v>
      </c>
      <c r="Y279" s="27">
        <v>2.2999999999999998</v>
      </c>
      <c r="Z279" s="27">
        <v>0.1</v>
      </c>
      <c r="AA279" s="27">
        <v>0.4</v>
      </c>
      <c r="AB279" s="27">
        <v>0</v>
      </c>
      <c r="AC279" s="27">
        <v>96.3</v>
      </c>
      <c r="AD279" s="17">
        <v>209</v>
      </c>
      <c r="AE279" s="27">
        <v>144</v>
      </c>
      <c r="AF279" s="27">
        <v>37.5</v>
      </c>
      <c r="AG279" s="27">
        <v>139.9</v>
      </c>
      <c r="AH279" s="27">
        <v>33.5</v>
      </c>
      <c r="AI279" s="27">
        <v>2.6</v>
      </c>
      <c r="AJ279" s="27">
        <v>0.8</v>
      </c>
      <c r="AK279" s="27">
        <v>0.1</v>
      </c>
      <c r="AL279" s="27">
        <v>9.9</v>
      </c>
      <c r="AM279" s="27">
        <v>0</v>
      </c>
    </row>
    <row r="280" spans="1:39" x14ac:dyDescent="0.25">
      <c r="A280" s="10">
        <v>279</v>
      </c>
      <c r="B280" s="9" t="s">
        <v>337</v>
      </c>
      <c r="C280" s="9" t="s">
        <v>383</v>
      </c>
      <c r="D280" s="10">
        <v>3</v>
      </c>
      <c r="E280" s="11">
        <v>427</v>
      </c>
      <c r="F280" s="17">
        <v>3.7</v>
      </c>
      <c r="G280" s="17">
        <v>1.8</v>
      </c>
      <c r="H280" s="17">
        <v>8.9</v>
      </c>
      <c r="I280" s="17">
        <v>54.8</v>
      </c>
      <c r="J280" s="27">
        <v>25.2</v>
      </c>
      <c r="K280" s="17">
        <v>11.7</v>
      </c>
      <c r="L280" s="17">
        <v>19</v>
      </c>
      <c r="M280" s="19">
        <v>5.12</v>
      </c>
      <c r="N280" s="19">
        <v>9.3800000000000008</v>
      </c>
      <c r="O280" s="19">
        <v>3.4</v>
      </c>
      <c r="P280" s="19">
        <v>0</v>
      </c>
      <c r="Q280" s="17">
        <v>0</v>
      </c>
      <c r="R280" s="27">
        <v>5.0999999999999996</v>
      </c>
      <c r="S280" s="27">
        <v>0.5</v>
      </c>
      <c r="T280" s="27">
        <v>0</v>
      </c>
      <c r="U280" s="27">
        <v>0.3</v>
      </c>
      <c r="V280" s="27">
        <v>8.1999999999999993</v>
      </c>
      <c r="W280" s="27">
        <v>0.3</v>
      </c>
      <c r="X280" s="27">
        <v>0.2</v>
      </c>
      <c r="Y280" s="27">
        <v>2.2999999999999998</v>
      </c>
      <c r="Z280" s="27">
        <v>0.1</v>
      </c>
      <c r="AA280" s="27">
        <v>0.4</v>
      </c>
      <c r="AB280" s="27">
        <v>0</v>
      </c>
      <c r="AC280" s="27">
        <v>97</v>
      </c>
      <c r="AD280" s="17">
        <v>220</v>
      </c>
      <c r="AE280" s="27">
        <v>145</v>
      </c>
      <c r="AF280" s="27">
        <v>37.799999999999997</v>
      </c>
      <c r="AG280" s="27">
        <v>140.9</v>
      </c>
      <c r="AH280" s="27">
        <v>33.700000000000003</v>
      </c>
      <c r="AI280" s="27">
        <v>2.6</v>
      </c>
      <c r="AJ280" s="27">
        <v>0.8</v>
      </c>
      <c r="AK280" s="27">
        <v>0.1</v>
      </c>
      <c r="AL280" s="27">
        <v>10</v>
      </c>
      <c r="AM280" s="27">
        <v>0</v>
      </c>
    </row>
    <row r="281" spans="1:39" x14ac:dyDescent="0.25">
      <c r="A281" s="10">
        <v>280</v>
      </c>
      <c r="B281" s="9" t="s">
        <v>337</v>
      </c>
      <c r="C281" s="9" t="s">
        <v>384</v>
      </c>
      <c r="D281" s="10">
        <v>1</v>
      </c>
      <c r="E281" s="11">
        <v>481</v>
      </c>
      <c r="F281" s="17">
        <v>4.0999999999999996</v>
      </c>
      <c r="G281" s="17">
        <v>1.1000000000000001</v>
      </c>
      <c r="H281" s="17">
        <v>5.4</v>
      </c>
      <c r="I281" s="17">
        <v>64.3</v>
      </c>
      <c r="J281" s="27">
        <v>32.700000000000003</v>
      </c>
      <c r="K281" s="17">
        <v>2.5</v>
      </c>
      <c r="L281" s="17">
        <v>22.6</v>
      </c>
      <c r="M281" s="19">
        <v>7.48</v>
      </c>
      <c r="N281" s="19">
        <v>11.67</v>
      </c>
      <c r="O281" s="19">
        <v>2.37</v>
      </c>
      <c r="P281" s="28">
        <v>0.63</v>
      </c>
      <c r="Q281" s="17">
        <v>0</v>
      </c>
      <c r="R281" s="17">
        <v>0</v>
      </c>
      <c r="S281" s="17">
        <v>0</v>
      </c>
      <c r="T281" s="27">
        <v>0</v>
      </c>
      <c r="U281" s="27">
        <v>2</v>
      </c>
      <c r="V281" s="27">
        <v>33.5</v>
      </c>
      <c r="W281" s="17">
        <v>0.1</v>
      </c>
      <c r="X281" s="17">
        <v>0.1</v>
      </c>
      <c r="Y281" s="17">
        <v>0.5</v>
      </c>
      <c r="Z281" s="17">
        <v>0.1</v>
      </c>
      <c r="AA281" s="17">
        <v>0.2</v>
      </c>
      <c r="AB281" s="17">
        <v>0</v>
      </c>
      <c r="AC281" s="17">
        <v>9</v>
      </c>
      <c r="AD281" s="17">
        <v>315</v>
      </c>
      <c r="AE281" s="17">
        <v>135</v>
      </c>
      <c r="AF281" s="17">
        <v>25</v>
      </c>
      <c r="AG281" s="17">
        <v>108</v>
      </c>
      <c r="AH281" s="17">
        <v>31</v>
      </c>
      <c r="AI281" s="17">
        <v>1</v>
      </c>
      <c r="AJ281" s="17">
        <v>0.6</v>
      </c>
      <c r="AK281" s="17">
        <v>0.2</v>
      </c>
      <c r="AL281" s="27">
        <v>3.9</v>
      </c>
      <c r="AM281" s="27">
        <v>0</v>
      </c>
    </row>
    <row r="282" spans="1:39" x14ac:dyDescent="0.25">
      <c r="A282" s="10">
        <v>281</v>
      </c>
      <c r="B282" s="9" t="s">
        <v>337</v>
      </c>
      <c r="C282" s="9" t="s">
        <v>385</v>
      </c>
      <c r="D282" s="10">
        <v>3</v>
      </c>
      <c r="E282" s="11">
        <v>463</v>
      </c>
      <c r="F282" s="17">
        <v>3.6</v>
      </c>
      <c r="G282" s="17">
        <v>1.3</v>
      </c>
      <c r="H282" s="17">
        <v>7.1</v>
      </c>
      <c r="I282" s="17">
        <v>66</v>
      </c>
      <c r="J282" s="27">
        <v>37.799999999999997</v>
      </c>
      <c r="K282" s="17">
        <v>3.1</v>
      </c>
      <c r="L282" s="17">
        <v>18.899999999999999</v>
      </c>
      <c r="M282" s="19">
        <v>4.97</v>
      </c>
      <c r="N282" s="19">
        <v>10.19</v>
      </c>
      <c r="O282" s="19">
        <v>2.61</v>
      </c>
      <c r="P282" s="19">
        <v>0</v>
      </c>
      <c r="Q282" s="17">
        <v>9.5</v>
      </c>
      <c r="R282" s="27">
        <v>3</v>
      </c>
      <c r="S282" s="27">
        <v>0</v>
      </c>
      <c r="T282" s="27">
        <v>0</v>
      </c>
      <c r="U282" s="27">
        <v>0.7</v>
      </c>
      <c r="V282" s="27">
        <v>2.4</v>
      </c>
      <c r="W282" s="27">
        <v>0.2</v>
      </c>
      <c r="X282" s="27">
        <v>0.3</v>
      </c>
      <c r="Y282" s="27">
        <v>2.9</v>
      </c>
      <c r="Z282" s="27">
        <v>0.1</v>
      </c>
      <c r="AA282" s="27">
        <v>0.4</v>
      </c>
      <c r="AB282" s="27">
        <v>0.1</v>
      </c>
      <c r="AC282" s="27">
        <v>75.7</v>
      </c>
      <c r="AD282" s="17">
        <v>266</v>
      </c>
      <c r="AE282" s="27">
        <v>212</v>
      </c>
      <c r="AF282" s="27">
        <v>31.3</v>
      </c>
      <c r="AG282" s="27">
        <v>133.19999999999999</v>
      </c>
      <c r="AH282" s="27">
        <v>53.5</v>
      </c>
      <c r="AI282" s="27">
        <v>4</v>
      </c>
      <c r="AJ282" s="27">
        <v>1.1000000000000001</v>
      </c>
      <c r="AK282" s="27">
        <v>0.5</v>
      </c>
      <c r="AL282" s="27">
        <v>5.8</v>
      </c>
      <c r="AM282" s="27">
        <v>0</v>
      </c>
    </row>
    <row r="283" spans="1:39" x14ac:dyDescent="0.25">
      <c r="A283" s="10">
        <v>282</v>
      </c>
      <c r="B283" s="9" t="s">
        <v>337</v>
      </c>
      <c r="C283" s="9" t="s">
        <v>386</v>
      </c>
      <c r="D283" s="10">
        <v>3</v>
      </c>
      <c r="E283" s="11">
        <v>363</v>
      </c>
      <c r="F283" s="17">
        <v>5.5</v>
      </c>
      <c r="G283" s="17">
        <v>0.4</v>
      </c>
      <c r="H283" s="17">
        <v>6.7</v>
      </c>
      <c r="I283" s="17">
        <v>83.4</v>
      </c>
      <c r="J283" s="27">
        <v>0.9</v>
      </c>
      <c r="K283" s="17">
        <v>3.7</v>
      </c>
      <c r="L283" s="17">
        <v>0.3</v>
      </c>
      <c r="M283" s="28">
        <v>0.06</v>
      </c>
      <c r="N283" s="28">
        <v>0.11</v>
      </c>
      <c r="O283" s="28">
        <v>0.11</v>
      </c>
      <c r="P283" s="22" t="s">
        <v>100</v>
      </c>
      <c r="Q283" s="27">
        <v>0</v>
      </c>
      <c r="R283" s="27">
        <v>0</v>
      </c>
      <c r="S283" s="27">
        <v>0</v>
      </c>
      <c r="T283" s="27">
        <v>0</v>
      </c>
      <c r="U283" s="27">
        <v>1.2</v>
      </c>
      <c r="V283" s="27">
        <v>1.9</v>
      </c>
      <c r="W283" s="27">
        <v>0.1</v>
      </c>
      <c r="X283" s="27">
        <v>0.2</v>
      </c>
      <c r="Y283" s="27">
        <v>7.8</v>
      </c>
      <c r="Z283" s="27">
        <v>0.2</v>
      </c>
      <c r="AA283" s="27">
        <v>1</v>
      </c>
      <c r="AB283" s="27">
        <v>0</v>
      </c>
      <c r="AC283" s="27">
        <v>21.1</v>
      </c>
      <c r="AD283" s="17">
        <v>152</v>
      </c>
      <c r="AE283" s="27">
        <v>290.89999999999998</v>
      </c>
      <c r="AF283" s="27">
        <v>11</v>
      </c>
      <c r="AG283" s="27">
        <v>361.1</v>
      </c>
      <c r="AH283" s="27">
        <v>131.4</v>
      </c>
      <c r="AI283" s="27">
        <v>1.5</v>
      </c>
      <c r="AJ283" s="27">
        <v>3</v>
      </c>
      <c r="AK283" s="27">
        <v>0.4</v>
      </c>
      <c r="AL283" s="27">
        <v>24.7</v>
      </c>
      <c r="AM283" s="27">
        <v>0</v>
      </c>
    </row>
    <row r="284" spans="1:39" x14ac:dyDescent="0.25">
      <c r="A284" s="10">
        <v>283</v>
      </c>
      <c r="B284" s="9" t="s">
        <v>337</v>
      </c>
      <c r="C284" s="9" t="s">
        <v>387</v>
      </c>
      <c r="D284" s="10">
        <v>4</v>
      </c>
      <c r="E284" s="11">
        <v>373</v>
      </c>
      <c r="F284" s="27">
        <v>5.9</v>
      </c>
      <c r="G284" s="27">
        <v>1.7</v>
      </c>
      <c r="H284" s="17">
        <v>5.2</v>
      </c>
      <c r="I284" s="17">
        <v>82.7</v>
      </c>
      <c r="J284" s="17">
        <v>0.1</v>
      </c>
      <c r="K284" s="17">
        <v>3.2</v>
      </c>
      <c r="L284" s="17">
        <v>1.3</v>
      </c>
      <c r="M284" s="19">
        <v>0.5</v>
      </c>
      <c r="N284" s="28">
        <v>0.48</v>
      </c>
      <c r="O284" s="28">
        <v>0.46</v>
      </c>
      <c r="P284" s="19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1.2</v>
      </c>
      <c r="V284" s="27">
        <v>1.9</v>
      </c>
      <c r="W284" s="27">
        <v>0.1</v>
      </c>
      <c r="X284" s="27">
        <v>0.2</v>
      </c>
      <c r="Y284" s="27">
        <v>7.8</v>
      </c>
      <c r="Z284" s="27">
        <v>0.1</v>
      </c>
      <c r="AA284" s="27">
        <v>1</v>
      </c>
      <c r="AB284" s="27">
        <v>0</v>
      </c>
      <c r="AC284" s="27">
        <v>21</v>
      </c>
      <c r="AD284" s="17">
        <v>120</v>
      </c>
      <c r="AE284" s="27">
        <v>290</v>
      </c>
      <c r="AF284" s="27">
        <v>11</v>
      </c>
      <c r="AG284" s="27">
        <v>360</v>
      </c>
      <c r="AH284" s="27">
        <v>131</v>
      </c>
      <c r="AI284" s="27">
        <v>1.5</v>
      </c>
      <c r="AJ284" s="27">
        <v>3</v>
      </c>
      <c r="AK284" s="27">
        <v>0.4</v>
      </c>
      <c r="AL284" s="27">
        <v>24.6</v>
      </c>
      <c r="AM284" s="27">
        <v>0</v>
      </c>
    </row>
    <row r="285" spans="1:39" x14ac:dyDescent="0.25">
      <c r="A285" s="10">
        <v>284</v>
      </c>
      <c r="B285" s="9" t="s">
        <v>337</v>
      </c>
      <c r="C285" s="9" t="s">
        <v>388</v>
      </c>
      <c r="D285" s="10">
        <v>3</v>
      </c>
      <c r="E285" s="11">
        <v>371</v>
      </c>
      <c r="F285" s="17">
        <v>4.9000000000000004</v>
      </c>
      <c r="G285" s="17">
        <v>2.8</v>
      </c>
      <c r="H285" s="17">
        <v>7.5</v>
      </c>
      <c r="I285" s="17">
        <v>74.2</v>
      </c>
      <c r="J285" s="17">
        <v>1.2</v>
      </c>
      <c r="K285" s="17">
        <v>5.7</v>
      </c>
      <c r="L285" s="17">
        <v>4.9000000000000004</v>
      </c>
      <c r="M285" s="19">
        <v>1.25</v>
      </c>
      <c r="N285" s="19">
        <v>1.48</v>
      </c>
      <c r="O285" s="19">
        <v>1.43</v>
      </c>
      <c r="P285" s="19">
        <v>0</v>
      </c>
      <c r="Q285" s="17">
        <v>0</v>
      </c>
      <c r="R285" s="27">
        <v>0</v>
      </c>
      <c r="S285" s="27">
        <v>3</v>
      </c>
      <c r="T285" s="22" t="s">
        <v>100</v>
      </c>
      <c r="U285" s="22" t="s">
        <v>100</v>
      </c>
      <c r="V285" s="22" t="s">
        <v>100</v>
      </c>
      <c r="W285" s="27">
        <v>0</v>
      </c>
      <c r="X285" s="27">
        <v>0.1</v>
      </c>
      <c r="Y285" s="27">
        <v>7.3</v>
      </c>
      <c r="Z285" s="27">
        <v>0.2</v>
      </c>
      <c r="AA285" s="27">
        <v>1.5</v>
      </c>
      <c r="AB285" s="27">
        <v>0</v>
      </c>
      <c r="AC285" s="27">
        <v>18.2</v>
      </c>
      <c r="AD285" s="17">
        <v>665</v>
      </c>
      <c r="AE285" s="27">
        <v>293.10000000000002</v>
      </c>
      <c r="AF285" s="27">
        <v>12.1</v>
      </c>
      <c r="AG285" s="27">
        <v>379</v>
      </c>
      <c r="AH285" s="27">
        <v>137.4</v>
      </c>
      <c r="AI285" s="27">
        <v>1.6</v>
      </c>
      <c r="AJ285" s="27">
        <v>3</v>
      </c>
      <c r="AK285" s="27">
        <v>0.4</v>
      </c>
      <c r="AL285" s="27">
        <v>24.4</v>
      </c>
      <c r="AM285" s="27">
        <v>0</v>
      </c>
    </row>
    <row r="286" spans="1:39" x14ac:dyDescent="0.25">
      <c r="A286" s="10">
        <v>285</v>
      </c>
      <c r="B286" s="9" t="s">
        <v>337</v>
      </c>
      <c r="C286" s="9" t="s">
        <v>389</v>
      </c>
      <c r="D286" s="10">
        <v>3</v>
      </c>
      <c r="E286" s="11">
        <v>363</v>
      </c>
      <c r="F286" s="17">
        <v>5</v>
      </c>
      <c r="G286" s="17">
        <v>1.3</v>
      </c>
      <c r="H286" s="17">
        <v>7.7</v>
      </c>
      <c r="I286" s="17">
        <v>80.099999999999994</v>
      </c>
      <c r="J286" s="17">
        <v>1.2</v>
      </c>
      <c r="K286" s="17">
        <v>4.5999999999999996</v>
      </c>
      <c r="L286" s="17">
        <v>1.3</v>
      </c>
      <c r="M286" s="19">
        <v>0.24</v>
      </c>
      <c r="N286" s="19">
        <v>0.45</v>
      </c>
      <c r="O286" s="19">
        <v>0.4</v>
      </c>
      <c r="P286" s="19">
        <v>0</v>
      </c>
      <c r="Q286" s="17">
        <v>0</v>
      </c>
      <c r="R286" s="27">
        <v>0</v>
      </c>
      <c r="S286" s="27">
        <v>0</v>
      </c>
      <c r="T286" s="27">
        <v>0</v>
      </c>
      <c r="U286" s="27">
        <v>1.3</v>
      </c>
      <c r="V286" s="27">
        <v>1.9</v>
      </c>
      <c r="W286" s="27">
        <v>0.1</v>
      </c>
      <c r="X286" s="27">
        <v>0.2</v>
      </c>
      <c r="Y286" s="27">
        <v>7.9</v>
      </c>
      <c r="Z286" s="27">
        <v>0.2</v>
      </c>
      <c r="AA286" s="27">
        <v>1</v>
      </c>
      <c r="AB286" s="27">
        <v>0</v>
      </c>
      <c r="AC286" s="27">
        <v>21.2</v>
      </c>
      <c r="AD286" s="17">
        <v>18</v>
      </c>
      <c r="AE286" s="27">
        <v>292.5</v>
      </c>
      <c r="AF286" s="27">
        <v>11.1</v>
      </c>
      <c r="AG286" s="27">
        <v>363.1</v>
      </c>
      <c r="AH286" s="27">
        <v>132.1</v>
      </c>
      <c r="AI286" s="27">
        <v>1.5</v>
      </c>
      <c r="AJ286" s="27">
        <v>3</v>
      </c>
      <c r="AK286" s="27">
        <v>0.4</v>
      </c>
      <c r="AL286" s="27">
        <v>24.8</v>
      </c>
      <c r="AM286" s="27">
        <v>0</v>
      </c>
    </row>
    <row r="287" spans="1:39" x14ac:dyDescent="0.25">
      <c r="A287" s="10">
        <v>286</v>
      </c>
      <c r="B287" s="9" t="s">
        <v>337</v>
      </c>
      <c r="C287" s="9" t="s">
        <v>390</v>
      </c>
      <c r="D287" s="10">
        <v>3</v>
      </c>
      <c r="E287" s="11">
        <v>356</v>
      </c>
      <c r="F287" s="17">
        <v>4.0999999999999996</v>
      </c>
      <c r="G287" s="17">
        <v>2.6</v>
      </c>
      <c r="H287" s="17">
        <v>11</v>
      </c>
      <c r="I287" s="17">
        <v>72.2</v>
      </c>
      <c r="J287" s="17">
        <v>2.6</v>
      </c>
      <c r="K287" s="17">
        <v>7.5</v>
      </c>
      <c r="L287" s="17">
        <v>2.6</v>
      </c>
      <c r="M287" s="19">
        <v>0.53</v>
      </c>
      <c r="N287" s="19">
        <v>0.6</v>
      </c>
      <c r="O287" s="19">
        <v>1.08</v>
      </c>
      <c r="P287" s="19">
        <v>0</v>
      </c>
      <c r="Q287" s="17">
        <v>0</v>
      </c>
      <c r="R287" s="27">
        <v>0</v>
      </c>
      <c r="S287" s="27">
        <v>0</v>
      </c>
      <c r="T287" s="22" t="s">
        <v>100</v>
      </c>
      <c r="U287" s="22" t="s">
        <v>100</v>
      </c>
      <c r="V287" s="22" t="s">
        <v>100</v>
      </c>
      <c r="W287" s="27">
        <v>0.1</v>
      </c>
      <c r="X287" s="27">
        <v>0.2</v>
      </c>
      <c r="Y287" s="27">
        <v>6.8</v>
      </c>
      <c r="Z287" s="27">
        <v>0.1</v>
      </c>
      <c r="AA287" s="27">
        <v>1</v>
      </c>
      <c r="AB287" s="27">
        <v>0</v>
      </c>
      <c r="AC287" s="27">
        <v>20.5</v>
      </c>
      <c r="AD287" s="17">
        <v>525</v>
      </c>
      <c r="AE287" s="27">
        <v>300.89999999999998</v>
      </c>
      <c r="AF287" s="27">
        <v>21.5</v>
      </c>
      <c r="AG287" s="27">
        <v>378.7</v>
      </c>
      <c r="AH287" s="27">
        <v>140.19999999999999</v>
      </c>
      <c r="AI287" s="27">
        <v>2</v>
      </c>
      <c r="AJ287" s="27">
        <v>2.6</v>
      </c>
      <c r="AK287" s="27">
        <v>0.4</v>
      </c>
      <c r="AL287" s="22" t="s">
        <v>100</v>
      </c>
      <c r="AM287" s="27">
        <v>0</v>
      </c>
    </row>
    <row r="288" spans="1:39" x14ac:dyDescent="0.25">
      <c r="A288" s="10">
        <v>287</v>
      </c>
      <c r="B288" s="9" t="s">
        <v>337</v>
      </c>
      <c r="C288" s="9" t="s">
        <v>391</v>
      </c>
      <c r="D288" s="10">
        <v>3</v>
      </c>
      <c r="E288" s="11">
        <v>469</v>
      </c>
      <c r="F288" s="17">
        <v>2.6</v>
      </c>
      <c r="G288" s="17">
        <v>1</v>
      </c>
      <c r="H288" s="17">
        <v>5.8</v>
      </c>
      <c r="I288" s="17">
        <v>71</v>
      </c>
      <c r="J288" s="27">
        <v>20.7</v>
      </c>
      <c r="K288" s="17">
        <v>1.6</v>
      </c>
      <c r="L288" s="17">
        <v>18</v>
      </c>
      <c r="M288" s="19">
        <v>5.27</v>
      </c>
      <c r="N288" s="19">
        <v>9.19</v>
      </c>
      <c r="O288" s="19">
        <v>2.34</v>
      </c>
      <c r="P288" s="19">
        <v>0.1</v>
      </c>
      <c r="Q288" s="17">
        <v>16.5</v>
      </c>
      <c r="R288" s="27">
        <v>168.5</v>
      </c>
      <c r="S288" s="27">
        <v>0</v>
      </c>
      <c r="T288" s="27">
        <v>0.4</v>
      </c>
      <c r="U288" s="27">
        <v>0.6</v>
      </c>
      <c r="V288" s="27">
        <v>1.7</v>
      </c>
      <c r="W288" s="27">
        <v>0.4</v>
      </c>
      <c r="X288" s="27">
        <v>0.3</v>
      </c>
      <c r="Y288" s="27">
        <v>3.3</v>
      </c>
      <c r="Z288" s="27">
        <v>0</v>
      </c>
      <c r="AA288" s="27">
        <v>0.5</v>
      </c>
      <c r="AB288" s="27">
        <v>0.4</v>
      </c>
      <c r="AC288" s="27">
        <v>127.6</v>
      </c>
      <c r="AD288" s="17">
        <v>273</v>
      </c>
      <c r="AE288" s="27">
        <v>113.3</v>
      </c>
      <c r="AF288" s="27">
        <v>29.6</v>
      </c>
      <c r="AG288" s="27">
        <v>104.1</v>
      </c>
      <c r="AH288" s="27">
        <v>12.3</v>
      </c>
      <c r="AI288" s="27">
        <v>2.2999999999999998</v>
      </c>
      <c r="AJ288" s="27">
        <v>0.4</v>
      </c>
      <c r="AK288" s="27">
        <v>0.2</v>
      </c>
      <c r="AL288" s="27">
        <v>8.6</v>
      </c>
      <c r="AM288" s="27">
        <v>0</v>
      </c>
    </row>
    <row r="289" spans="1:39" x14ac:dyDescent="0.25">
      <c r="A289" s="10">
        <v>288</v>
      </c>
      <c r="B289" s="9" t="s">
        <v>337</v>
      </c>
      <c r="C289" s="9" t="s">
        <v>392</v>
      </c>
      <c r="D289" s="10">
        <v>3</v>
      </c>
      <c r="E289" s="11">
        <v>483</v>
      </c>
      <c r="F289" s="17">
        <v>2.1</v>
      </c>
      <c r="G289" s="17">
        <v>0.8</v>
      </c>
      <c r="H289" s="17">
        <v>5.4</v>
      </c>
      <c r="I289" s="17">
        <v>65.5</v>
      </c>
      <c r="J289" s="27">
        <v>50</v>
      </c>
      <c r="K289" s="17">
        <v>4</v>
      </c>
      <c r="L289" s="17">
        <v>22.2</v>
      </c>
      <c r="M289" s="19">
        <v>11.97</v>
      </c>
      <c r="N289" s="19">
        <v>6.88</v>
      </c>
      <c r="O289" s="19">
        <v>2.0499999999999998</v>
      </c>
      <c r="P289" s="19">
        <v>0</v>
      </c>
      <c r="Q289" s="17">
        <v>8.1999999999999993</v>
      </c>
      <c r="R289" s="27">
        <v>0</v>
      </c>
      <c r="S289" s="27">
        <v>0</v>
      </c>
      <c r="T289" s="27">
        <v>0</v>
      </c>
      <c r="U289" s="27">
        <v>0.2</v>
      </c>
      <c r="V289" s="27">
        <v>1.2</v>
      </c>
      <c r="W289" s="27">
        <v>0</v>
      </c>
      <c r="X289" s="27">
        <v>0.1</v>
      </c>
      <c r="Y289" s="27">
        <v>0.2</v>
      </c>
      <c r="Z289" s="27">
        <v>0.1</v>
      </c>
      <c r="AA289" s="22" t="s">
        <v>100</v>
      </c>
      <c r="AB289" s="27">
        <v>0</v>
      </c>
      <c r="AC289" s="27">
        <v>3.3</v>
      </c>
      <c r="AD289" s="17">
        <v>162</v>
      </c>
      <c r="AE289" s="27">
        <v>136.1</v>
      </c>
      <c r="AF289" s="27">
        <v>5.5</v>
      </c>
      <c r="AG289" s="27">
        <v>75.2</v>
      </c>
      <c r="AH289" s="27">
        <v>32.1</v>
      </c>
      <c r="AI289" s="27">
        <v>0.9</v>
      </c>
      <c r="AJ289" s="27">
        <v>0.8</v>
      </c>
      <c r="AK289" s="27">
        <v>0.3</v>
      </c>
      <c r="AL289" s="27">
        <v>7.5</v>
      </c>
      <c r="AM289" s="27">
        <v>0</v>
      </c>
    </row>
    <row r="290" spans="1:39" x14ac:dyDescent="0.25">
      <c r="A290" s="10">
        <v>289</v>
      </c>
      <c r="B290" s="9" t="s">
        <v>337</v>
      </c>
      <c r="C290" s="9" t="s">
        <v>393</v>
      </c>
      <c r="D290" s="10">
        <v>3</v>
      </c>
      <c r="E290" s="11">
        <v>467</v>
      </c>
      <c r="F290" s="17">
        <v>2.9</v>
      </c>
      <c r="G290" s="17">
        <v>1.4</v>
      </c>
      <c r="H290" s="17">
        <v>7.3</v>
      </c>
      <c r="I290" s="17">
        <v>67.400000000000006</v>
      </c>
      <c r="J290" s="27">
        <v>38.4</v>
      </c>
      <c r="K290" s="17">
        <v>2.2000000000000002</v>
      </c>
      <c r="L290" s="17">
        <v>18.7</v>
      </c>
      <c r="M290" s="19">
        <v>4.93</v>
      </c>
      <c r="N290" s="19">
        <v>9.69</v>
      </c>
      <c r="O290" s="19">
        <v>2.91</v>
      </c>
      <c r="P290" s="19">
        <v>0</v>
      </c>
      <c r="Q290" s="17">
        <v>0</v>
      </c>
      <c r="R290" s="27">
        <v>8.1999999999999993</v>
      </c>
      <c r="S290" s="27">
        <v>0</v>
      </c>
      <c r="T290" s="27">
        <v>0</v>
      </c>
      <c r="U290" s="27">
        <v>0.2</v>
      </c>
      <c r="V290" s="27">
        <v>6.1</v>
      </c>
      <c r="W290" s="27">
        <v>0.3</v>
      </c>
      <c r="X290" s="27">
        <v>0.3</v>
      </c>
      <c r="Y290" s="27">
        <v>3.2</v>
      </c>
      <c r="Z290" s="27">
        <v>0.1</v>
      </c>
      <c r="AA290" s="27">
        <v>0.4</v>
      </c>
      <c r="AB290" s="27">
        <v>0.1</v>
      </c>
      <c r="AC290" s="27">
        <v>98.2</v>
      </c>
      <c r="AD290" s="17">
        <v>322</v>
      </c>
      <c r="AE290" s="27">
        <v>99.2</v>
      </c>
      <c r="AF290" s="27">
        <v>49.1</v>
      </c>
      <c r="AG290" s="27">
        <v>106.4</v>
      </c>
      <c r="AH290" s="27">
        <v>14.3</v>
      </c>
      <c r="AI290" s="27">
        <v>2.4</v>
      </c>
      <c r="AJ290" s="27">
        <v>0.4</v>
      </c>
      <c r="AK290" s="27">
        <v>0.1</v>
      </c>
      <c r="AL290" s="27">
        <v>11.6</v>
      </c>
      <c r="AM290" s="27">
        <v>0</v>
      </c>
    </row>
    <row r="291" spans="1:39" x14ac:dyDescent="0.25">
      <c r="A291" s="10">
        <v>290</v>
      </c>
      <c r="B291" s="9" t="s">
        <v>337</v>
      </c>
      <c r="C291" s="9" t="s">
        <v>394</v>
      </c>
      <c r="D291" s="10">
        <v>3</v>
      </c>
      <c r="E291" s="11">
        <v>476</v>
      </c>
      <c r="F291" s="17">
        <v>2.8</v>
      </c>
      <c r="G291" s="17">
        <v>1.4</v>
      </c>
      <c r="H291" s="17">
        <v>6.5</v>
      </c>
      <c r="I291" s="17">
        <v>67.400000000000006</v>
      </c>
      <c r="J291" s="27">
        <v>20.6</v>
      </c>
      <c r="K291" s="17">
        <v>1.9</v>
      </c>
      <c r="L291" s="17">
        <v>20</v>
      </c>
      <c r="M291" s="19">
        <v>4.6900000000000004</v>
      </c>
      <c r="N291" s="19">
        <v>9.65</v>
      </c>
      <c r="O291" s="19">
        <v>2.5499999999999998</v>
      </c>
      <c r="P291" s="19">
        <v>0</v>
      </c>
      <c r="Q291" s="17">
        <v>5.5</v>
      </c>
      <c r="R291" s="27">
        <v>168.1</v>
      </c>
      <c r="S291" s="27">
        <v>0</v>
      </c>
      <c r="T291" s="27">
        <v>0.4</v>
      </c>
      <c r="U291" s="27">
        <v>0.6</v>
      </c>
      <c r="V291" s="27">
        <v>1.7</v>
      </c>
      <c r="W291" s="27">
        <v>0.4</v>
      </c>
      <c r="X291" s="27">
        <v>0.3</v>
      </c>
      <c r="Y291" s="27">
        <v>3.3</v>
      </c>
      <c r="Z291" s="27">
        <v>0</v>
      </c>
      <c r="AA291" s="27">
        <v>0.5</v>
      </c>
      <c r="AB291" s="27">
        <v>0.4</v>
      </c>
      <c r="AC291" s="27">
        <v>127.4</v>
      </c>
      <c r="AD291" s="17">
        <v>313</v>
      </c>
      <c r="AE291" s="27">
        <v>113.1</v>
      </c>
      <c r="AF291" s="27">
        <v>29.5</v>
      </c>
      <c r="AG291" s="27">
        <v>103.9</v>
      </c>
      <c r="AH291" s="27">
        <v>12.2</v>
      </c>
      <c r="AI291" s="27">
        <v>2.2999999999999998</v>
      </c>
      <c r="AJ291" s="27">
        <v>0.4</v>
      </c>
      <c r="AK291" s="27">
        <v>0.2</v>
      </c>
      <c r="AL291" s="27">
        <v>8.6</v>
      </c>
      <c r="AM291" s="27">
        <v>0</v>
      </c>
    </row>
    <row r="292" spans="1:39" x14ac:dyDescent="0.25">
      <c r="A292" s="10">
        <v>291</v>
      </c>
      <c r="B292" s="9" t="s">
        <v>337</v>
      </c>
      <c r="C292" s="9" t="s">
        <v>395</v>
      </c>
      <c r="D292" s="10">
        <v>3</v>
      </c>
      <c r="E292" s="11">
        <v>409</v>
      </c>
      <c r="F292" s="17">
        <v>1.5</v>
      </c>
      <c r="G292" s="17">
        <v>1.1000000000000001</v>
      </c>
      <c r="H292" s="17">
        <v>9.6</v>
      </c>
      <c r="I292" s="17">
        <v>59.5</v>
      </c>
      <c r="J292" s="27">
        <v>22.1</v>
      </c>
      <c r="K292" s="17">
        <v>13.6</v>
      </c>
      <c r="L292" s="17">
        <v>14.7</v>
      </c>
      <c r="M292" s="19">
        <v>5.31</v>
      </c>
      <c r="N292" s="19">
        <v>6.39</v>
      </c>
      <c r="O292" s="19">
        <v>2.13</v>
      </c>
      <c r="P292" s="19">
        <v>0</v>
      </c>
      <c r="Q292" s="17">
        <v>0</v>
      </c>
      <c r="R292" s="27">
        <v>0</v>
      </c>
      <c r="S292" s="27">
        <v>0</v>
      </c>
      <c r="T292" s="27">
        <v>0</v>
      </c>
      <c r="U292" s="27">
        <v>2.5</v>
      </c>
      <c r="V292" s="27">
        <v>11.2</v>
      </c>
      <c r="W292" s="27">
        <v>0.4</v>
      </c>
      <c r="X292" s="27">
        <v>0.3</v>
      </c>
      <c r="Y292" s="27">
        <v>3.3</v>
      </c>
      <c r="Z292" s="27">
        <v>0.1</v>
      </c>
      <c r="AA292" s="27">
        <v>0.3</v>
      </c>
      <c r="AB292" s="27">
        <v>0</v>
      </c>
      <c r="AC292" s="27">
        <v>126.7</v>
      </c>
      <c r="AD292" s="17">
        <v>228</v>
      </c>
      <c r="AE292" s="27">
        <v>89.9</v>
      </c>
      <c r="AF292" s="27">
        <v>13.3</v>
      </c>
      <c r="AG292" s="27">
        <v>67.400000000000006</v>
      </c>
      <c r="AH292" s="27">
        <v>14.3</v>
      </c>
      <c r="AI292" s="27">
        <v>3</v>
      </c>
      <c r="AJ292" s="27">
        <v>0.5</v>
      </c>
      <c r="AK292" s="27">
        <v>0.1</v>
      </c>
      <c r="AL292" s="27">
        <v>6.3</v>
      </c>
      <c r="AM292" s="27">
        <v>0</v>
      </c>
    </row>
    <row r="293" spans="1:39" x14ac:dyDescent="0.25">
      <c r="A293" s="10">
        <v>292</v>
      </c>
      <c r="B293" s="9" t="s">
        <v>337</v>
      </c>
      <c r="C293" s="9" t="s">
        <v>396</v>
      </c>
      <c r="D293" s="10">
        <v>4</v>
      </c>
      <c r="E293" s="11">
        <v>428</v>
      </c>
      <c r="F293" s="27">
        <v>1.6</v>
      </c>
      <c r="G293" s="27">
        <v>2.8</v>
      </c>
      <c r="H293" s="17">
        <v>9</v>
      </c>
      <c r="I293" s="17">
        <v>73.400000000000006</v>
      </c>
      <c r="J293" s="17">
        <v>1.9</v>
      </c>
      <c r="K293" s="27">
        <v>2.8</v>
      </c>
      <c r="L293" s="17">
        <v>10.4</v>
      </c>
      <c r="M293" s="19">
        <v>4.5999999999999996</v>
      </c>
      <c r="N293" s="19">
        <v>3.4</v>
      </c>
      <c r="O293" s="19">
        <v>1.5</v>
      </c>
      <c r="P293" s="19">
        <v>0.1</v>
      </c>
      <c r="Q293" s="17">
        <v>1</v>
      </c>
      <c r="R293" s="27">
        <v>1</v>
      </c>
      <c r="S293" s="27">
        <v>0</v>
      </c>
      <c r="T293" s="27">
        <v>0</v>
      </c>
      <c r="U293" s="27">
        <v>1.1000000000000001</v>
      </c>
      <c r="V293" s="27">
        <v>25.4</v>
      </c>
      <c r="W293" s="27">
        <v>0.7</v>
      </c>
      <c r="X293" s="27">
        <v>0.5</v>
      </c>
      <c r="Y293" s="27">
        <v>6.4</v>
      </c>
      <c r="Z293" s="27">
        <v>0.1</v>
      </c>
      <c r="AA293" s="27">
        <v>0.5</v>
      </c>
      <c r="AB293" s="27">
        <v>0.1</v>
      </c>
      <c r="AC293" s="27">
        <v>216</v>
      </c>
      <c r="AD293" s="17">
        <v>720</v>
      </c>
      <c r="AE293" s="27">
        <v>152</v>
      </c>
      <c r="AF293" s="27">
        <v>19</v>
      </c>
      <c r="AG293" s="27">
        <v>102</v>
      </c>
      <c r="AH293" s="27">
        <v>23</v>
      </c>
      <c r="AI293" s="27">
        <v>5.6</v>
      </c>
      <c r="AJ293" s="27">
        <v>0.7</v>
      </c>
      <c r="AK293" s="27">
        <v>0.1</v>
      </c>
      <c r="AL293" s="27">
        <v>10.3</v>
      </c>
      <c r="AM293" s="27">
        <v>0</v>
      </c>
    </row>
    <row r="294" spans="1:39" x14ac:dyDescent="0.25">
      <c r="A294" s="10">
        <v>293</v>
      </c>
      <c r="B294" s="9" t="s">
        <v>337</v>
      </c>
      <c r="C294" s="9" t="s">
        <v>397</v>
      </c>
      <c r="D294" s="10">
        <v>3</v>
      </c>
      <c r="E294" s="11">
        <v>453</v>
      </c>
      <c r="F294" s="17">
        <v>3.6</v>
      </c>
      <c r="G294" s="17">
        <v>0.7</v>
      </c>
      <c r="H294" s="17">
        <v>8</v>
      </c>
      <c r="I294" s="17">
        <v>69.7</v>
      </c>
      <c r="J294" s="27">
        <v>35.6</v>
      </c>
      <c r="K294" s="17">
        <v>2.2000000000000002</v>
      </c>
      <c r="L294" s="17">
        <v>15.8</v>
      </c>
      <c r="M294" s="19">
        <v>6.13</v>
      </c>
      <c r="N294" s="19">
        <v>4.3600000000000003</v>
      </c>
      <c r="O294" s="19">
        <v>1.25</v>
      </c>
      <c r="P294" s="19">
        <v>0</v>
      </c>
      <c r="Q294" s="27">
        <v>9</v>
      </c>
      <c r="R294" s="27">
        <v>0</v>
      </c>
      <c r="S294" s="27">
        <v>0</v>
      </c>
      <c r="T294" s="27">
        <v>0</v>
      </c>
      <c r="U294" s="27">
        <v>2.2999999999999998</v>
      </c>
      <c r="V294" s="27">
        <v>29.4</v>
      </c>
      <c r="W294" s="27">
        <v>0.3</v>
      </c>
      <c r="X294" s="27">
        <v>0.3</v>
      </c>
      <c r="Y294" s="27">
        <v>3.4</v>
      </c>
      <c r="Z294" s="27">
        <v>0.1</v>
      </c>
      <c r="AA294" s="27">
        <v>0.4</v>
      </c>
      <c r="AB294" s="27">
        <v>0</v>
      </c>
      <c r="AC294" s="27">
        <v>109.6</v>
      </c>
      <c r="AD294" s="17">
        <v>98</v>
      </c>
      <c r="AE294" s="27">
        <v>100.4</v>
      </c>
      <c r="AF294" s="27">
        <v>36.5</v>
      </c>
      <c r="AG294" s="27">
        <v>89.3</v>
      </c>
      <c r="AH294" s="27">
        <v>12.2</v>
      </c>
      <c r="AI294" s="27">
        <v>2.8</v>
      </c>
      <c r="AJ294" s="27">
        <v>0.4</v>
      </c>
      <c r="AK294" s="27">
        <v>0.1</v>
      </c>
      <c r="AL294" s="27">
        <v>5.7</v>
      </c>
      <c r="AM294" s="27">
        <v>0</v>
      </c>
    </row>
    <row r="295" spans="1:39" x14ac:dyDescent="0.25">
      <c r="A295" s="10">
        <v>294</v>
      </c>
      <c r="B295" s="9" t="s">
        <v>337</v>
      </c>
      <c r="C295" s="9" t="s">
        <v>398</v>
      </c>
      <c r="D295" s="10">
        <v>3</v>
      </c>
      <c r="E295" s="11">
        <v>405</v>
      </c>
      <c r="F295" s="17">
        <v>1.6</v>
      </c>
      <c r="G295" s="17">
        <v>1.2</v>
      </c>
      <c r="H295" s="17">
        <v>7.4</v>
      </c>
      <c r="I295" s="17">
        <v>60.3</v>
      </c>
      <c r="J295" s="27">
        <v>22.1</v>
      </c>
      <c r="K295" s="17">
        <v>14.6</v>
      </c>
      <c r="L295" s="17">
        <v>14.9</v>
      </c>
      <c r="M295" s="19">
        <v>5.32</v>
      </c>
      <c r="N295" s="19">
        <v>6.46</v>
      </c>
      <c r="O295" s="19">
        <v>2.2000000000000002</v>
      </c>
      <c r="P295" s="19">
        <v>0</v>
      </c>
      <c r="Q295" s="17">
        <v>0</v>
      </c>
      <c r="R295" s="27">
        <v>0</v>
      </c>
      <c r="S295" s="27">
        <v>0</v>
      </c>
      <c r="T295" s="27">
        <v>0</v>
      </c>
      <c r="U295" s="27">
        <v>2.5</v>
      </c>
      <c r="V295" s="27">
        <v>11.2</v>
      </c>
      <c r="W295" s="27">
        <v>0.4</v>
      </c>
      <c r="X295" s="27">
        <v>0.3</v>
      </c>
      <c r="Y295" s="27">
        <v>3.3</v>
      </c>
      <c r="Z295" s="27">
        <v>0.1</v>
      </c>
      <c r="AA295" s="27">
        <v>0.3</v>
      </c>
      <c r="AB295" s="27">
        <v>0</v>
      </c>
      <c r="AC295" s="27">
        <v>126.6</v>
      </c>
      <c r="AD295" s="17">
        <v>235</v>
      </c>
      <c r="AE295" s="27">
        <v>89.8</v>
      </c>
      <c r="AF295" s="27">
        <v>13.3</v>
      </c>
      <c r="AG295" s="27">
        <v>67.400000000000006</v>
      </c>
      <c r="AH295" s="27">
        <v>14.3</v>
      </c>
      <c r="AI295" s="27">
        <v>3</v>
      </c>
      <c r="AJ295" s="27">
        <v>0.5</v>
      </c>
      <c r="AK295" s="27">
        <v>0.1</v>
      </c>
      <c r="AL295" s="27">
        <v>6.3</v>
      </c>
      <c r="AM295" s="27">
        <v>0</v>
      </c>
    </row>
    <row r="296" spans="1:39" x14ac:dyDescent="0.25">
      <c r="A296" s="10">
        <v>295</v>
      </c>
      <c r="B296" s="9" t="s">
        <v>337</v>
      </c>
      <c r="C296" s="9" t="s">
        <v>399</v>
      </c>
      <c r="D296" s="10">
        <v>1</v>
      </c>
      <c r="E296" s="11">
        <v>386</v>
      </c>
      <c r="F296" s="17">
        <v>8</v>
      </c>
      <c r="G296" s="17">
        <v>2.6</v>
      </c>
      <c r="H296" s="17">
        <v>5.7</v>
      </c>
      <c r="I296" s="17">
        <v>72.3</v>
      </c>
      <c r="J296" s="17">
        <v>22.9</v>
      </c>
      <c r="K296" s="17">
        <v>5.7</v>
      </c>
      <c r="L296" s="17">
        <v>5.7</v>
      </c>
      <c r="M296" s="19">
        <v>0</v>
      </c>
      <c r="N296" s="19">
        <v>1.72</v>
      </c>
      <c r="O296" s="19">
        <v>3.37</v>
      </c>
      <c r="P296" s="28">
        <v>0.23</v>
      </c>
      <c r="Q296" s="17">
        <v>0</v>
      </c>
      <c r="R296" s="17">
        <v>0</v>
      </c>
      <c r="S296" s="17">
        <v>0</v>
      </c>
      <c r="T296" s="17">
        <v>0</v>
      </c>
      <c r="U296" s="17">
        <v>0.9</v>
      </c>
      <c r="V296" s="17">
        <v>2.5</v>
      </c>
      <c r="W296" s="17">
        <v>0.5</v>
      </c>
      <c r="X296" s="17">
        <v>0.2</v>
      </c>
      <c r="Y296" s="17">
        <v>3.8</v>
      </c>
      <c r="Z296" s="17">
        <v>0.2</v>
      </c>
      <c r="AA296" s="27">
        <v>0.4</v>
      </c>
      <c r="AB296" s="17">
        <v>0</v>
      </c>
      <c r="AC296" s="17">
        <v>80</v>
      </c>
      <c r="AD296" s="17">
        <v>629</v>
      </c>
      <c r="AE296" s="17">
        <v>171</v>
      </c>
      <c r="AF296" s="17">
        <v>429</v>
      </c>
      <c r="AG296" s="17">
        <v>163</v>
      </c>
      <c r="AH296" s="17">
        <v>56</v>
      </c>
      <c r="AI296" s="17">
        <v>3.1</v>
      </c>
      <c r="AJ296" s="17">
        <v>1.2</v>
      </c>
      <c r="AK296" s="17">
        <v>0.2</v>
      </c>
      <c r="AL296" s="17">
        <v>33.700000000000003</v>
      </c>
      <c r="AM296" s="27">
        <v>0</v>
      </c>
    </row>
    <row r="297" spans="1:39" x14ac:dyDescent="0.25">
      <c r="A297" s="10">
        <v>296</v>
      </c>
      <c r="B297" s="9" t="s">
        <v>337</v>
      </c>
      <c r="C297" s="9" t="s">
        <v>400</v>
      </c>
      <c r="D297" s="10">
        <v>1</v>
      </c>
      <c r="E297" s="11">
        <v>384</v>
      </c>
      <c r="F297" s="17">
        <v>6.4</v>
      </c>
      <c r="G297" s="27">
        <v>2.6</v>
      </c>
      <c r="H297" s="17">
        <v>8</v>
      </c>
      <c r="I297" s="17">
        <v>71.099999999999994</v>
      </c>
      <c r="J297" s="27">
        <v>0.3</v>
      </c>
      <c r="K297" s="17">
        <v>2.5</v>
      </c>
      <c r="L297" s="17">
        <v>9.4</v>
      </c>
      <c r="M297" s="19">
        <v>2.27</v>
      </c>
      <c r="N297" s="19">
        <v>4.29</v>
      </c>
      <c r="O297" s="19">
        <v>2.86</v>
      </c>
      <c r="P297" s="22" t="s">
        <v>100</v>
      </c>
      <c r="Q297" s="17">
        <v>0</v>
      </c>
      <c r="R297" s="17">
        <v>0</v>
      </c>
      <c r="S297" s="17">
        <v>0</v>
      </c>
      <c r="T297" s="27">
        <v>0</v>
      </c>
      <c r="U297" s="17">
        <v>0</v>
      </c>
      <c r="V297" s="27">
        <v>0.3</v>
      </c>
      <c r="W297" s="17">
        <v>0.1</v>
      </c>
      <c r="X297" s="17">
        <v>0.6</v>
      </c>
      <c r="Y297" s="17">
        <v>3.5</v>
      </c>
      <c r="Z297" s="17">
        <v>0.1</v>
      </c>
      <c r="AA297" s="17">
        <v>0.5</v>
      </c>
      <c r="AB297" s="17">
        <v>0</v>
      </c>
      <c r="AC297" s="17">
        <v>12.9</v>
      </c>
      <c r="AD297" s="17">
        <v>670</v>
      </c>
      <c r="AE297" s="17">
        <v>384</v>
      </c>
      <c r="AF297" s="17">
        <v>40</v>
      </c>
      <c r="AG297" s="17">
        <v>149</v>
      </c>
      <c r="AH297" s="17">
        <v>42.9</v>
      </c>
      <c r="AI297" s="17">
        <v>3.5</v>
      </c>
      <c r="AJ297" s="17">
        <v>0.8</v>
      </c>
      <c r="AK297" s="17">
        <v>0.2</v>
      </c>
      <c r="AL297" s="17">
        <v>11</v>
      </c>
      <c r="AM297" s="27">
        <v>0</v>
      </c>
    </row>
    <row r="298" spans="1:39" x14ac:dyDescent="0.25">
      <c r="A298" s="10">
        <v>297</v>
      </c>
      <c r="B298" s="9" t="s">
        <v>337</v>
      </c>
      <c r="C298" s="9" t="s">
        <v>401</v>
      </c>
      <c r="D298" s="10">
        <v>4</v>
      </c>
      <c r="E298" s="11">
        <v>363</v>
      </c>
      <c r="F298" s="27">
        <v>5</v>
      </c>
      <c r="G298" s="27">
        <v>1.7</v>
      </c>
      <c r="H298" s="17">
        <v>8.4</v>
      </c>
      <c r="I298" s="17">
        <v>77</v>
      </c>
      <c r="J298" s="17">
        <v>0.5</v>
      </c>
      <c r="K298" s="17">
        <v>5.5</v>
      </c>
      <c r="L298" s="17">
        <v>2.4</v>
      </c>
      <c r="M298" s="19">
        <v>0.5</v>
      </c>
      <c r="N298" s="28">
        <v>0.88</v>
      </c>
      <c r="O298" s="28">
        <v>0.85</v>
      </c>
      <c r="P298" s="19">
        <v>0</v>
      </c>
      <c r="Q298" s="17">
        <v>0</v>
      </c>
      <c r="R298" s="27">
        <v>0</v>
      </c>
      <c r="S298" s="27">
        <v>0</v>
      </c>
      <c r="T298" s="27">
        <v>0</v>
      </c>
      <c r="U298" s="27">
        <v>1.2</v>
      </c>
      <c r="V298" s="27">
        <v>1.9</v>
      </c>
      <c r="W298" s="27">
        <v>0.1</v>
      </c>
      <c r="X298" s="27">
        <v>0.2</v>
      </c>
      <c r="Y298" s="27">
        <v>7.8</v>
      </c>
      <c r="Z298" s="27">
        <v>0.1</v>
      </c>
      <c r="AA298" s="27">
        <v>1</v>
      </c>
      <c r="AB298" s="27">
        <v>0</v>
      </c>
      <c r="AC298" s="27">
        <v>21</v>
      </c>
      <c r="AD298" s="17">
        <v>228</v>
      </c>
      <c r="AE298" s="27">
        <v>290</v>
      </c>
      <c r="AF298" s="27">
        <v>11</v>
      </c>
      <c r="AG298" s="27">
        <v>360</v>
      </c>
      <c r="AH298" s="27">
        <v>131</v>
      </c>
      <c r="AI298" s="27">
        <v>1.5</v>
      </c>
      <c r="AJ298" s="27">
        <v>3</v>
      </c>
      <c r="AK298" s="27">
        <v>0.4</v>
      </c>
      <c r="AL298" s="27">
        <v>24.6</v>
      </c>
      <c r="AM298" s="27">
        <v>0</v>
      </c>
    </row>
    <row r="299" spans="1:39" x14ac:dyDescent="0.25">
      <c r="A299" s="10">
        <v>298</v>
      </c>
      <c r="B299" s="9" t="s">
        <v>337</v>
      </c>
      <c r="C299" s="9" t="s">
        <v>402</v>
      </c>
      <c r="D299" s="10">
        <v>1</v>
      </c>
      <c r="E299" s="11">
        <v>349</v>
      </c>
      <c r="F299" s="17">
        <v>11</v>
      </c>
      <c r="G299" s="17">
        <v>1.2</v>
      </c>
      <c r="H299" s="17">
        <v>10.9</v>
      </c>
      <c r="I299" s="17">
        <v>63.6</v>
      </c>
      <c r="J299" s="17">
        <v>1.1000000000000001</v>
      </c>
      <c r="K299" s="17">
        <v>11.8</v>
      </c>
      <c r="L299" s="17">
        <v>1.5</v>
      </c>
      <c r="M299" s="19">
        <v>0.18</v>
      </c>
      <c r="N299" s="19">
        <v>0.19</v>
      </c>
      <c r="O299" s="19">
        <v>0.7</v>
      </c>
      <c r="P299" s="28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1.4</v>
      </c>
      <c r="V299" s="17">
        <v>5.9</v>
      </c>
      <c r="W299" s="17">
        <v>0.3</v>
      </c>
      <c r="X299" s="17">
        <v>0.1</v>
      </c>
      <c r="Y299" s="17">
        <v>1.7</v>
      </c>
      <c r="Z299" s="17">
        <v>0.3</v>
      </c>
      <c r="AA299" s="17">
        <v>0.5</v>
      </c>
      <c r="AB299" s="17">
        <v>0</v>
      </c>
      <c r="AC299" s="17">
        <v>34</v>
      </c>
      <c r="AD299" s="17">
        <v>2</v>
      </c>
      <c r="AE299" s="17">
        <v>374</v>
      </c>
      <c r="AF299" s="17">
        <v>24</v>
      </c>
      <c r="AG299" s="17">
        <v>225</v>
      </c>
      <c r="AH299" s="17">
        <v>63</v>
      </c>
      <c r="AI299" s="17">
        <v>2.5</v>
      </c>
      <c r="AJ299" s="17">
        <v>2.2000000000000002</v>
      </c>
      <c r="AK299" s="17">
        <v>0.3</v>
      </c>
      <c r="AL299" s="17">
        <v>14.4</v>
      </c>
      <c r="AM299" s="27">
        <v>0</v>
      </c>
    </row>
    <row r="300" spans="1:39" x14ac:dyDescent="0.25">
      <c r="A300" s="10">
        <v>299</v>
      </c>
      <c r="B300" s="9" t="s">
        <v>337</v>
      </c>
      <c r="C300" s="9" t="s">
        <v>403</v>
      </c>
      <c r="D300" s="10">
        <v>1</v>
      </c>
      <c r="E300" s="11">
        <v>364</v>
      </c>
      <c r="F300" s="17">
        <v>11.9</v>
      </c>
      <c r="G300" s="17">
        <v>0.5</v>
      </c>
      <c r="H300" s="17">
        <v>10.3</v>
      </c>
      <c r="I300" s="17">
        <v>73.599999999999994</v>
      </c>
      <c r="J300" s="17">
        <v>0.3</v>
      </c>
      <c r="K300" s="17">
        <v>2.7</v>
      </c>
      <c r="L300" s="17">
        <v>1</v>
      </c>
      <c r="M300" s="19">
        <v>0.16</v>
      </c>
      <c r="N300" s="19">
        <v>0.09</v>
      </c>
      <c r="O300" s="19">
        <v>0.41</v>
      </c>
      <c r="P300" s="22" t="s">
        <v>100</v>
      </c>
      <c r="Q300" s="17">
        <v>0</v>
      </c>
      <c r="R300" s="17">
        <v>0</v>
      </c>
      <c r="S300" s="17">
        <v>0</v>
      </c>
      <c r="T300" s="17">
        <v>0</v>
      </c>
      <c r="U300" s="17">
        <v>0.1</v>
      </c>
      <c r="V300" s="17">
        <v>0.3</v>
      </c>
      <c r="W300" s="17">
        <v>0.1</v>
      </c>
      <c r="X300" s="17">
        <v>0</v>
      </c>
      <c r="Y300" s="17">
        <v>1.3</v>
      </c>
      <c r="Z300" s="17">
        <v>0</v>
      </c>
      <c r="AA300" s="17">
        <v>0.4</v>
      </c>
      <c r="AB300" s="17">
        <v>0</v>
      </c>
      <c r="AC300" s="17">
        <v>26</v>
      </c>
      <c r="AD300" s="17">
        <v>2</v>
      </c>
      <c r="AE300" s="17">
        <v>107</v>
      </c>
      <c r="AF300" s="17">
        <v>15</v>
      </c>
      <c r="AG300" s="17">
        <v>108</v>
      </c>
      <c r="AH300" s="17">
        <v>22</v>
      </c>
      <c r="AI300" s="17">
        <v>1.2</v>
      </c>
      <c r="AJ300" s="17">
        <v>0.7</v>
      </c>
      <c r="AK300" s="17">
        <v>0.1</v>
      </c>
      <c r="AL300" s="17">
        <v>33.9</v>
      </c>
      <c r="AM300" s="27">
        <v>0</v>
      </c>
    </row>
    <row r="301" spans="1:39" x14ac:dyDescent="0.25">
      <c r="A301" s="10">
        <v>300</v>
      </c>
      <c r="B301" s="9" t="s">
        <v>337</v>
      </c>
      <c r="C301" s="9" t="s">
        <v>404</v>
      </c>
      <c r="D301" s="10">
        <v>3</v>
      </c>
      <c r="E301" s="11">
        <v>333</v>
      </c>
      <c r="F301" s="17">
        <v>8.8000000000000007</v>
      </c>
      <c r="G301" s="17">
        <v>0.1</v>
      </c>
      <c r="H301" s="17">
        <v>0.3</v>
      </c>
      <c r="I301" s="17">
        <v>82.7</v>
      </c>
      <c r="J301" s="27">
        <v>3.8</v>
      </c>
      <c r="K301" s="17">
        <v>8</v>
      </c>
      <c r="L301" s="17">
        <v>0.1</v>
      </c>
      <c r="M301" s="28">
        <v>0.03</v>
      </c>
      <c r="N301" s="28">
        <v>0.03</v>
      </c>
      <c r="O301" s="28">
        <v>0.02</v>
      </c>
      <c r="P301" s="28">
        <v>0</v>
      </c>
      <c r="Q301" s="27">
        <v>0</v>
      </c>
      <c r="R301" s="27">
        <v>2.2999999999999998</v>
      </c>
      <c r="S301" s="27">
        <v>46.6</v>
      </c>
      <c r="T301" s="27">
        <v>0</v>
      </c>
      <c r="U301" s="27">
        <v>0.4</v>
      </c>
      <c r="V301" s="27">
        <v>4.3</v>
      </c>
      <c r="W301" s="27">
        <v>0.2</v>
      </c>
      <c r="X301" s="27">
        <v>0.1</v>
      </c>
      <c r="Y301" s="27">
        <v>1.9</v>
      </c>
      <c r="Z301" s="27">
        <v>0.2</v>
      </c>
      <c r="AA301" s="27">
        <v>0.2</v>
      </c>
      <c r="AB301" s="27">
        <v>0</v>
      </c>
      <c r="AC301" s="27">
        <v>61.1</v>
      </c>
      <c r="AD301" s="17">
        <v>17</v>
      </c>
      <c r="AE301" s="27">
        <v>613</v>
      </c>
      <c r="AF301" s="27">
        <v>36.200000000000003</v>
      </c>
      <c r="AG301" s="27">
        <v>61.1</v>
      </c>
      <c r="AH301" s="27">
        <v>47.5</v>
      </c>
      <c r="AI301" s="27">
        <v>0.6</v>
      </c>
      <c r="AJ301" s="27">
        <v>0.8</v>
      </c>
      <c r="AK301" s="27">
        <v>0.2</v>
      </c>
      <c r="AL301" s="27">
        <v>1.6</v>
      </c>
      <c r="AM301" s="27">
        <v>0</v>
      </c>
    </row>
    <row r="302" spans="1:39" x14ac:dyDescent="0.25">
      <c r="A302" s="10">
        <v>301</v>
      </c>
      <c r="B302" s="9" t="s">
        <v>337</v>
      </c>
      <c r="C302" s="9" t="s">
        <v>405</v>
      </c>
      <c r="D302" s="10">
        <v>2</v>
      </c>
      <c r="E302" s="11">
        <v>380</v>
      </c>
      <c r="F302" s="17">
        <v>4.7</v>
      </c>
      <c r="G302" s="17">
        <v>1.7</v>
      </c>
      <c r="H302" s="17">
        <v>13.4</v>
      </c>
      <c r="I302" s="17">
        <v>77.400000000000006</v>
      </c>
      <c r="J302" s="27">
        <v>1.1000000000000001</v>
      </c>
      <c r="K302" s="17">
        <v>0.9</v>
      </c>
      <c r="L302" s="17">
        <v>1.9</v>
      </c>
      <c r="M302" s="28">
        <v>0.42</v>
      </c>
      <c r="N302" s="28">
        <v>0.28000000000000003</v>
      </c>
      <c r="O302" s="28">
        <v>1.1399999999999999</v>
      </c>
      <c r="P302" s="22" t="s">
        <v>100</v>
      </c>
      <c r="Q302" s="27">
        <v>0</v>
      </c>
      <c r="R302" s="27">
        <v>0</v>
      </c>
      <c r="S302" s="27">
        <v>0</v>
      </c>
      <c r="T302" s="27">
        <v>0</v>
      </c>
      <c r="U302" s="27">
        <v>0.6</v>
      </c>
      <c r="V302" s="27">
        <v>2.1</v>
      </c>
      <c r="W302" s="17">
        <v>0.3</v>
      </c>
      <c r="X302" s="17">
        <v>0.3</v>
      </c>
      <c r="Y302" s="17">
        <v>9.1</v>
      </c>
      <c r="Z302" s="27">
        <v>0.2</v>
      </c>
      <c r="AA302" s="27">
        <v>1.1000000000000001</v>
      </c>
      <c r="AB302" s="22" t="s">
        <v>100</v>
      </c>
      <c r="AC302" s="27">
        <v>30.5</v>
      </c>
      <c r="AD302" s="27">
        <v>3.3</v>
      </c>
      <c r="AE302" s="27">
        <v>428.7</v>
      </c>
      <c r="AF302" s="17">
        <v>62</v>
      </c>
      <c r="AG302" s="17">
        <v>292</v>
      </c>
      <c r="AH302" s="27">
        <v>127.3</v>
      </c>
      <c r="AI302" s="17">
        <v>3.2</v>
      </c>
      <c r="AJ302" s="27">
        <v>3.2</v>
      </c>
      <c r="AK302" s="27">
        <v>0.5</v>
      </c>
      <c r="AL302" s="27">
        <v>13.8</v>
      </c>
      <c r="AM302" s="27">
        <v>0</v>
      </c>
    </row>
    <row r="303" spans="1:39" x14ac:dyDescent="0.25">
      <c r="A303" s="10">
        <v>302</v>
      </c>
      <c r="B303" s="9" t="s">
        <v>337</v>
      </c>
      <c r="C303" s="9" t="s">
        <v>406</v>
      </c>
      <c r="D303" s="10">
        <v>1</v>
      </c>
      <c r="E303" s="11">
        <v>361</v>
      </c>
      <c r="F303" s="17">
        <v>10.9</v>
      </c>
      <c r="G303" s="17">
        <v>1.5</v>
      </c>
      <c r="H303" s="17">
        <v>6.9</v>
      </c>
      <c r="I303" s="17">
        <v>69.599999999999994</v>
      </c>
      <c r="J303" s="17">
        <v>0.6</v>
      </c>
      <c r="K303" s="17">
        <v>7.3</v>
      </c>
      <c r="L303" s="17">
        <v>3.9</v>
      </c>
      <c r="M303" s="19">
        <v>0.54</v>
      </c>
      <c r="N303" s="19">
        <v>1.02</v>
      </c>
      <c r="O303" s="19">
        <v>1.76</v>
      </c>
      <c r="P303" s="22" t="s">
        <v>100</v>
      </c>
      <c r="Q303" s="17">
        <v>0</v>
      </c>
      <c r="R303" s="17">
        <v>11</v>
      </c>
      <c r="S303" s="17">
        <v>0</v>
      </c>
      <c r="T303" s="17">
        <v>0</v>
      </c>
      <c r="U303" s="17">
        <v>0.4</v>
      </c>
      <c r="V303" s="17">
        <v>0.3</v>
      </c>
      <c r="W303" s="17">
        <v>0.2</v>
      </c>
      <c r="X303" s="17">
        <v>0.1</v>
      </c>
      <c r="Y303" s="17">
        <v>1.9</v>
      </c>
      <c r="Z303" s="17">
        <v>0.4</v>
      </c>
      <c r="AA303" s="17">
        <v>0.7</v>
      </c>
      <c r="AB303" s="17">
        <v>0</v>
      </c>
      <c r="AC303" s="17">
        <v>25</v>
      </c>
      <c r="AD303" s="17">
        <v>5</v>
      </c>
      <c r="AE303" s="17">
        <v>315</v>
      </c>
      <c r="AF303" s="17">
        <v>7</v>
      </c>
      <c r="AG303" s="17">
        <v>272</v>
      </c>
      <c r="AH303" s="17">
        <v>93</v>
      </c>
      <c r="AI303" s="17">
        <v>2.4</v>
      </c>
      <c r="AJ303" s="17">
        <v>1.7</v>
      </c>
      <c r="AK303" s="17">
        <v>0.2</v>
      </c>
      <c r="AL303" s="17">
        <v>15.4</v>
      </c>
      <c r="AM303" s="27">
        <v>0</v>
      </c>
    </row>
    <row r="304" spans="1:39" x14ac:dyDescent="0.25">
      <c r="A304" s="10">
        <v>303</v>
      </c>
      <c r="B304" s="9" t="s">
        <v>337</v>
      </c>
      <c r="C304" s="9" t="s">
        <v>407</v>
      </c>
      <c r="D304" s="10">
        <v>1</v>
      </c>
      <c r="E304" s="11">
        <v>351</v>
      </c>
      <c r="F304" s="17">
        <v>7.6</v>
      </c>
      <c r="G304" s="17">
        <v>3.7</v>
      </c>
      <c r="H304" s="17">
        <v>8</v>
      </c>
      <c r="I304" s="17">
        <v>78.900000000000006</v>
      </c>
      <c r="J304" s="17">
        <v>0.1</v>
      </c>
      <c r="K304" s="17">
        <v>1.1000000000000001</v>
      </c>
      <c r="L304" s="17">
        <v>0.8</v>
      </c>
      <c r="M304" s="19">
        <v>0.21</v>
      </c>
      <c r="N304" s="19">
        <v>0.02</v>
      </c>
      <c r="O304" s="19">
        <v>0.35</v>
      </c>
      <c r="P304" s="28">
        <v>0</v>
      </c>
      <c r="Q304" s="17">
        <v>0</v>
      </c>
      <c r="R304" s="17">
        <v>0</v>
      </c>
      <c r="S304" s="17">
        <v>19</v>
      </c>
      <c r="T304" s="27">
        <v>0</v>
      </c>
      <c r="U304" s="17">
        <v>0.2</v>
      </c>
      <c r="V304" s="27">
        <v>0</v>
      </c>
      <c r="W304" s="17">
        <v>0.4</v>
      </c>
      <c r="X304" s="17">
        <v>0.1</v>
      </c>
      <c r="Y304" s="17">
        <v>3.4</v>
      </c>
      <c r="Z304" s="17">
        <v>0</v>
      </c>
      <c r="AA304" s="17">
        <v>1.5</v>
      </c>
      <c r="AB304" s="17">
        <v>0</v>
      </c>
      <c r="AC304" s="17">
        <v>50.6</v>
      </c>
      <c r="AD304" s="17">
        <v>34</v>
      </c>
      <c r="AE304" s="17">
        <v>1588</v>
      </c>
      <c r="AF304" s="17">
        <v>33</v>
      </c>
      <c r="AG304" s="17">
        <v>178</v>
      </c>
      <c r="AH304" s="17">
        <v>87.7</v>
      </c>
      <c r="AI304" s="17">
        <v>17.2</v>
      </c>
      <c r="AJ304" s="17">
        <v>1.6</v>
      </c>
      <c r="AK304" s="17">
        <v>1.1000000000000001</v>
      </c>
      <c r="AL304" s="17">
        <v>2.8</v>
      </c>
      <c r="AM304" s="27">
        <v>0</v>
      </c>
    </row>
    <row r="305" spans="1:39" x14ac:dyDescent="0.25">
      <c r="A305" s="10">
        <v>304</v>
      </c>
      <c r="B305" s="9" t="s">
        <v>337</v>
      </c>
      <c r="C305" s="9" t="s">
        <v>408</v>
      </c>
      <c r="D305" s="10">
        <v>1</v>
      </c>
      <c r="E305" s="11">
        <v>381</v>
      </c>
      <c r="F305" s="17">
        <v>8.3000000000000007</v>
      </c>
      <c r="G305" s="17">
        <v>0.1</v>
      </c>
      <c r="H305" s="17">
        <v>0.3</v>
      </c>
      <c r="I305" s="17">
        <v>90.4</v>
      </c>
      <c r="J305" s="17">
        <v>0</v>
      </c>
      <c r="K305" s="17">
        <v>0.9</v>
      </c>
      <c r="L305" s="17">
        <v>0.1</v>
      </c>
      <c r="M305" s="19">
        <v>0.01</v>
      </c>
      <c r="N305" s="19">
        <v>0.02</v>
      </c>
      <c r="O305" s="19">
        <v>0.03</v>
      </c>
      <c r="P305" s="22" t="s">
        <v>100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9</v>
      </c>
      <c r="AE305" s="17">
        <v>3</v>
      </c>
      <c r="AF305" s="17">
        <v>2</v>
      </c>
      <c r="AG305" s="17">
        <v>13</v>
      </c>
      <c r="AH305" s="17">
        <v>3</v>
      </c>
      <c r="AI305" s="17">
        <v>0.5</v>
      </c>
      <c r="AJ305" s="17">
        <v>0.1</v>
      </c>
      <c r="AK305" s="17">
        <v>0.1</v>
      </c>
      <c r="AL305" s="17">
        <v>2.8</v>
      </c>
      <c r="AM305" s="27">
        <v>0</v>
      </c>
    </row>
    <row r="306" spans="1:39" x14ac:dyDescent="0.25">
      <c r="A306" s="10">
        <v>305</v>
      </c>
      <c r="B306" s="9" t="s">
        <v>337</v>
      </c>
      <c r="C306" s="9" t="s">
        <v>409</v>
      </c>
      <c r="D306" s="10">
        <v>1</v>
      </c>
      <c r="E306" s="11">
        <v>360</v>
      </c>
      <c r="F306" s="17">
        <v>12.7</v>
      </c>
      <c r="G306" s="17">
        <v>0.8</v>
      </c>
      <c r="H306" s="17">
        <v>12.7</v>
      </c>
      <c r="I306" s="17">
        <v>68.900000000000006</v>
      </c>
      <c r="J306" s="22" t="s">
        <v>100</v>
      </c>
      <c r="K306" s="17">
        <v>3.9</v>
      </c>
      <c r="L306" s="17">
        <v>1.1000000000000001</v>
      </c>
      <c r="M306" s="19">
        <v>0.15</v>
      </c>
      <c r="N306" s="19">
        <v>0.12</v>
      </c>
      <c r="O306" s="19">
        <v>0.43</v>
      </c>
      <c r="P306" s="22" t="s">
        <v>100</v>
      </c>
      <c r="Q306" s="17">
        <v>0</v>
      </c>
      <c r="R306" s="17">
        <v>0</v>
      </c>
      <c r="S306" s="17">
        <v>0</v>
      </c>
      <c r="T306" s="17">
        <v>0</v>
      </c>
      <c r="U306" s="27">
        <v>0.3</v>
      </c>
      <c r="V306" s="22" t="s">
        <v>100</v>
      </c>
      <c r="W306" s="17">
        <v>0.3</v>
      </c>
      <c r="X306" s="17">
        <v>0.1</v>
      </c>
      <c r="Y306" s="17">
        <v>3.3</v>
      </c>
      <c r="Z306" s="17">
        <v>0.1</v>
      </c>
      <c r="AA306" s="17">
        <v>0.6</v>
      </c>
      <c r="AB306" s="17">
        <v>0</v>
      </c>
      <c r="AC306" s="17">
        <v>72</v>
      </c>
      <c r="AD306" s="17">
        <v>1</v>
      </c>
      <c r="AE306" s="17">
        <v>186</v>
      </c>
      <c r="AF306" s="17">
        <v>17</v>
      </c>
      <c r="AG306" s="17">
        <v>136</v>
      </c>
      <c r="AH306" s="17">
        <v>47</v>
      </c>
      <c r="AI306" s="17">
        <v>1.2</v>
      </c>
      <c r="AJ306" s="17">
        <v>1.1000000000000001</v>
      </c>
      <c r="AK306" s="17">
        <v>0.2</v>
      </c>
      <c r="AL306" s="27">
        <v>89.4</v>
      </c>
      <c r="AM306" s="27">
        <v>0</v>
      </c>
    </row>
    <row r="307" spans="1:39" x14ac:dyDescent="0.25">
      <c r="A307" s="10">
        <v>306</v>
      </c>
      <c r="B307" s="9" t="s">
        <v>337</v>
      </c>
      <c r="C307" s="9" t="s">
        <v>410</v>
      </c>
      <c r="D307" s="10">
        <v>4</v>
      </c>
      <c r="E307" s="11">
        <v>342</v>
      </c>
      <c r="F307" s="27">
        <v>12.3</v>
      </c>
      <c r="G307" s="27">
        <v>0.8</v>
      </c>
      <c r="H307" s="17">
        <v>12</v>
      </c>
      <c r="I307" s="17">
        <v>69</v>
      </c>
      <c r="J307" s="17">
        <v>4</v>
      </c>
      <c r="K307" s="27">
        <v>3.9</v>
      </c>
      <c r="L307" s="17">
        <v>2</v>
      </c>
      <c r="M307" s="19">
        <v>0.3</v>
      </c>
      <c r="N307" s="28">
        <v>0.24</v>
      </c>
      <c r="O307" s="28">
        <v>0.82</v>
      </c>
      <c r="P307" s="22" t="s">
        <v>100</v>
      </c>
      <c r="Q307" s="17">
        <v>0</v>
      </c>
      <c r="R307" s="27">
        <v>0</v>
      </c>
      <c r="S307" s="27">
        <v>0</v>
      </c>
      <c r="T307" s="27">
        <v>0</v>
      </c>
      <c r="U307" s="27">
        <v>0.3</v>
      </c>
      <c r="V307" s="22" t="s">
        <v>100</v>
      </c>
      <c r="W307" s="27">
        <v>0.8</v>
      </c>
      <c r="X307" s="27">
        <v>0.6</v>
      </c>
      <c r="Y307" s="27">
        <v>6</v>
      </c>
      <c r="Z307" s="27">
        <v>0.1</v>
      </c>
      <c r="AA307" s="27">
        <v>0.6</v>
      </c>
      <c r="AB307" s="27">
        <v>0</v>
      </c>
      <c r="AC307" s="27">
        <v>261</v>
      </c>
      <c r="AD307" s="17">
        <v>5</v>
      </c>
      <c r="AE307" s="27">
        <v>186</v>
      </c>
      <c r="AF307" s="27">
        <v>17</v>
      </c>
      <c r="AG307" s="27">
        <v>136</v>
      </c>
      <c r="AH307" s="27">
        <v>47</v>
      </c>
      <c r="AI307" s="27">
        <v>4.4000000000000004</v>
      </c>
      <c r="AJ307" s="27">
        <v>1.1000000000000001</v>
      </c>
      <c r="AK307" s="27">
        <v>0.2</v>
      </c>
      <c r="AL307" s="27">
        <v>89.4</v>
      </c>
      <c r="AM307" s="27">
        <v>0</v>
      </c>
    </row>
    <row r="308" spans="1:39" x14ac:dyDescent="0.25">
      <c r="A308" s="10">
        <v>307</v>
      </c>
      <c r="B308" s="9" t="s">
        <v>337</v>
      </c>
      <c r="C308" s="9" t="s">
        <v>411</v>
      </c>
      <c r="D308" s="10">
        <v>1</v>
      </c>
      <c r="E308" s="11">
        <v>358</v>
      </c>
      <c r="F308" s="17">
        <v>11</v>
      </c>
      <c r="G308" s="17">
        <v>0.1</v>
      </c>
      <c r="H308" s="17">
        <v>0.2</v>
      </c>
      <c r="I308" s="17">
        <v>87.8</v>
      </c>
      <c r="J308" s="17">
        <v>3.4</v>
      </c>
      <c r="K308" s="17">
        <v>0.9</v>
      </c>
      <c r="L308" s="17">
        <v>0</v>
      </c>
      <c r="M308" s="19">
        <v>0.01</v>
      </c>
      <c r="N308" s="19">
        <v>0.01</v>
      </c>
      <c r="O308" s="19">
        <v>0</v>
      </c>
      <c r="P308" s="28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0.1</v>
      </c>
      <c r="AB308" s="17">
        <v>0</v>
      </c>
      <c r="AC308" s="17">
        <v>4</v>
      </c>
      <c r="AD308" s="17">
        <v>1</v>
      </c>
      <c r="AE308" s="17">
        <v>11</v>
      </c>
      <c r="AF308" s="17">
        <v>20</v>
      </c>
      <c r="AG308" s="17">
        <v>7</v>
      </c>
      <c r="AH308" s="17">
        <v>1</v>
      </c>
      <c r="AI308" s="17">
        <v>1.6</v>
      </c>
      <c r="AJ308" s="17">
        <v>0.1</v>
      </c>
      <c r="AK308" s="17">
        <v>0</v>
      </c>
      <c r="AL308" s="17">
        <v>0.8</v>
      </c>
      <c r="AM308" s="27">
        <v>0</v>
      </c>
    </row>
    <row r="309" spans="1:39" x14ac:dyDescent="0.25">
      <c r="A309" s="10">
        <v>308</v>
      </c>
      <c r="B309" s="9" t="s">
        <v>412</v>
      </c>
      <c r="C309" s="9" t="s">
        <v>413</v>
      </c>
      <c r="D309" s="10">
        <v>6</v>
      </c>
      <c r="E309" s="11">
        <v>131</v>
      </c>
      <c r="F309" s="17">
        <v>66.099999999999994</v>
      </c>
      <c r="G309" s="17">
        <v>1</v>
      </c>
      <c r="H309" s="17">
        <v>1.6</v>
      </c>
      <c r="I309" s="17">
        <v>30.2</v>
      </c>
      <c r="J309" s="27">
        <v>6.2</v>
      </c>
      <c r="K309" s="27">
        <v>0.7</v>
      </c>
      <c r="L309" s="17">
        <v>0.4</v>
      </c>
      <c r="M309" s="28">
        <v>0.14000000000000001</v>
      </c>
      <c r="N309" s="28">
        <v>0.01</v>
      </c>
      <c r="O309" s="28">
        <v>0.11</v>
      </c>
      <c r="P309" s="28">
        <v>0</v>
      </c>
      <c r="Q309" s="17">
        <v>0</v>
      </c>
      <c r="R309" s="27">
        <v>1057.9000000000001</v>
      </c>
      <c r="S309" s="27">
        <v>3.6</v>
      </c>
      <c r="T309" s="27">
        <v>0</v>
      </c>
      <c r="U309" s="27">
        <v>0.4</v>
      </c>
      <c r="V309" s="27">
        <v>2.7</v>
      </c>
      <c r="W309" s="27">
        <v>0.1</v>
      </c>
      <c r="X309" s="27">
        <v>0.1</v>
      </c>
      <c r="Y309" s="27">
        <v>0.8</v>
      </c>
      <c r="Z309" s="27">
        <v>0.3</v>
      </c>
      <c r="AA309" s="27">
        <v>1.2</v>
      </c>
      <c r="AB309" s="27">
        <v>0</v>
      </c>
      <c r="AC309" s="27">
        <v>16.399999999999999</v>
      </c>
      <c r="AD309" s="27">
        <v>82.1</v>
      </c>
      <c r="AE309" s="27">
        <v>502.8</v>
      </c>
      <c r="AF309" s="17">
        <v>41</v>
      </c>
      <c r="AG309" s="17">
        <v>21</v>
      </c>
      <c r="AH309" s="27">
        <v>37.299999999999997</v>
      </c>
      <c r="AI309" s="17">
        <v>8</v>
      </c>
      <c r="AJ309" s="27">
        <v>0.4</v>
      </c>
      <c r="AK309" s="27">
        <v>0.2</v>
      </c>
      <c r="AL309" s="27">
        <v>0.9</v>
      </c>
      <c r="AM309" s="27">
        <v>0</v>
      </c>
    </row>
    <row r="310" spans="1:39" x14ac:dyDescent="0.25">
      <c r="A310" s="10">
        <v>309</v>
      </c>
      <c r="B310" s="9" t="s">
        <v>412</v>
      </c>
      <c r="C310" s="9" t="s">
        <v>414</v>
      </c>
      <c r="D310" s="10">
        <v>1</v>
      </c>
      <c r="E310" s="11">
        <v>89</v>
      </c>
      <c r="F310" s="17">
        <v>76.7</v>
      </c>
      <c r="G310" s="17">
        <v>1.3</v>
      </c>
      <c r="H310" s="17">
        <v>2.2999999999999998</v>
      </c>
      <c r="I310" s="17">
        <v>17.8</v>
      </c>
      <c r="J310" s="17">
        <v>1.4</v>
      </c>
      <c r="K310" s="17">
        <v>1.8</v>
      </c>
      <c r="L310" s="17">
        <v>0.2</v>
      </c>
      <c r="M310" s="19">
        <v>0.03</v>
      </c>
      <c r="N310" s="19">
        <v>0</v>
      </c>
      <c r="O310" s="19">
        <v>0.04</v>
      </c>
      <c r="P310" s="28">
        <v>0</v>
      </c>
      <c r="Q310" s="17">
        <v>0</v>
      </c>
      <c r="R310" s="17">
        <v>1</v>
      </c>
      <c r="S310" s="17">
        <v>12.6</v>
      </c>
      <c r="T310" s="17">
        <v>0</v>
      </c>
      <c r="U310" s="17">
        <v>0.1</v>
      </c>
      <c r="V310" s="17">
        <v>2.8</v>
      </c>
      <c r="W310" s="17">
        <v>0.1</v>
      </c>
      <c r="X310" s="17">
        <v>0.1</v>
      </c>
      <c r="Y310" s="17">
        <v>1.6</v>
      </c>
      <c r="Z310" s="17">
        <v>0.2</v>
      </c>
      <c r="AA310" s="17">
        <v>0.3</v>
      </c>
      <c r="AB310" s="17">
        <v>0</v>
      </c>
      <c r="AC310" s="17">
        <v>27</v>
      </c>
      <c r="AD310" s="17">
        <v>12</v>
      </c>
      <c r="AE310" s="17">
        <v>545</v>
      </c>
      <c r="AF310" s="17">
        <v>9</v>
      </c>
      <c r="AG310" s="17">
        <v>72</v>
      </c>
      <c r="AH310" s="17">
        <v>28</v>
      </c>
      <c r="AI310" s="17">
        <v>0.7</v>
      </c>
      <c r="AJ310" s="17">
        <v>0.4</v>
      </c>
      <c r="AK310" s="17">
        <v>0.2</v>
      </c>
      <c r="AL310" s="27">
        <v>0.3</v>
      </c>
      <c r="AM310" s="27">
        <v>0</v>
      </c>
    </row>
    <row r="311" spans="1:39" x14ac:dyDescent="0.25">
      <c r="A311" s="10">
        <v>310</v>
      </c>
      <c r="B311" s="9" t="s">
        <v>412</v>
      </c>
      <c r="C311" s="9" t="s">
        <v>415</v>
      </c>
      <c r="D311" s="10">
        <v>6</v>
      </c>
      <c r="E311" s="11">
        <v>80</v>
      </c>
      <c r="F311" s="17">
        <v>78.7</v>
      </c>
      <c r="G311" s="17">
        <v>0.9</v>
      </c>
      <c r="H311" s="17">
        <v>3.1</v>
      </c>
      <c r="I311" s="17">
        <v>16.5</v>
      </c>
      <c r="J311" s="27">
        <v>0.8</v>
      </c>
      <c r="K311" s="27">
        <v>0.6</v>
      </c>
      <c r="L311" s="17">
        <v>0.2</v>
      </c>
      <c r="M311" s="28">
        <v>0.06</v>
      </c>
      <c r="N311" s="28">
        <v>0</v>
      </c>
      <c r="O311" s="28">
        <v>0.09</v>
      </c>
      <c r="P311" s="28">
        <v>0</v>
      </c>
      <c r="Q311" s="27">
        <v>0</v>
      </c>
      <c r="R311" s="27">
        <v>0</v>
      </c>
      <c r="S311" s="17">
        <v>27.8</v>
      </c>
      <c r="T311" s="27">
        <v>0</v>
      </c>
      <c r="U311" s="27">
        <v>0</v>
      </c>
      <c r="V311" s="27">
        <v>2.1</v>
      </c>
      <c r="W311" s="17">
        <v>0.1</v>
      </c>
      <c r="X311" s="17">
        <v>0</v>
      </c>
      <c r="Y311" s="17">
        <v>1.4</v>
      </c>
      <c r="Z311" s="27">
        <v>0.3</v>
      </c>
      <c r="AA311" s="27">
        <v>0.3</v>
      </c>
      <c r="AB311" s="27">
        <v>0</v>
      </c>
      <c r="AC311" s="27">
        <v>15.4</v>
      </c>
      <c r="AD311" s="17">
        <v>7</v>
      </c>
      <c r="AE311" s="17">
        <v>419</v>
      </c>
      <c r="AF311" s="17">
        <v>11</v>
      </c>
      <c r="AG311" s="17">
        <v>51</v>
      </c>
      <c r="AH311" s="27">
        <v>23.6</v>
      </c>
      <c r="AI311" s="17">
        <v>1.1000000000000001</v>
      </c>
      <c r="AJ311" s="27">
        <v>0.3</v>
      </c>
      <c r="AK311" s="27">
        <v>0.1</v>
      </c>
      <c r="AL311" s="27">
        <v>0.4</v>
      </c>
      <c r="AM311" s="27">
        <v>0</v>
      </c>
    </row>
    <row r="312" spans="1:39" x14ac:dyDescent="0.25">
      <c r="A312" s="10">
        <v>311</v>
      </c>
      <c r="B312" s="9" t="s">
        <v>412</v>
      </c>
      <c r="C312" s="9" t="s">
        <v>416</v>
      </c>
      <c r="D312" s="10">
        <v>1</v>
      </c>
      <c r="E312" s="11">
        <v>79</v>
      </c>
      <c r="F312" s="17">
        <v>78.599999999999994</v>
      </c>
      <c r="G312" s="17">
        <v>1.1000000000000001</v>
      </c>
      <c r="H312" s="17">
        <v>2.1</v>
      </c>
      <c r="I312" s="17">
        <v>16.8</v>
      </c>
      <c r="J312" s="17">
        <v>0.6</v>
      </c>
      <c r="K312" s="17">
        <v>1.3</v>
      </c>
      <c r="L312" s="17">
        <v>0.1</v>
      </c>
      <c r="M312" s="19">
        <v>0.03</v>
      </c>
      <c r="N312" s="19">
        <v>0</v>
      </c>
      <c r="O312" s="19">
        <v>0.04</v>
      </c>
      <c r="P312" s="28">
        <v>0</v>
      </c>
      <c r="Q312" s="17">
        <v>0</v>
      </c>
      <c r="R312" s="17">
        <v>0</v>
      </c>
      <c r="S312" s="17">
        <v>5.7</v>
      </c>
      <c r="T312" s="17">
        <v>0</v>
      </c>
      <c r="U312" s="17">
        <v>0</v>
      </c>
      <c r="V312" s="17">
        <v>1.8</v>
      </c>
      <c r="W312" s="17">
        <v>0.1</v>
      </c>
      <c r="X312" s="17">
        <v>0</v>
      </c>
      <c r="Y312" s="17">
        <v>1</v>
      </c>
      <c r="Z312" s="17">
        <v>0.3</v>
      </c>
      <c r="AA312" s="17">
        <v>0.3</v>
      </c>
      <c r="AB312" s="17">
        <v>0</v>
      </c>
      <c r="AC312" s="17">
        <v>14</v>
      </c>
      <c r="AD312" s="17">
        <v>5</v>
      </c>
      <c r="AE312" s="17">
        <v>417</v>
      </c>
      <c r="AF312" s="17">
        <v>13</v>
      </c>
      <c r="AG312" s="17">
        <v>55</v>
      </c>
      <c r="AH312" s="17">
        <v>23</v>
      </c>
      <c r="AI312" s="17">
        <v>0.9</v>
      </c>
      <c r="AJ312" s="17">
        <v>0.3</v>
      </c>
      <c r="AK312" s="17">
        <v>0.1</v>
      </c>
      <c r="AL312" s="17">
        <v>0.4</v>
      </c>
      <c r="AM312" s="27">
        <v>0</v>
      </c>
    </row>
    <row r="313" spans="1:39" x14ac:dyDescent="0.25">
      <c r="A313" s="10">
        <v>312</v>
      </c>
      <c r="B313" s="9" t="s">
        <v>417</v>
      </c>
      <c r="C313" s="9" t="s">
        <v>418</v>
      </c>
      <c r="D313" s="10">
        <v>1</v>
      </c>
      <c r="E313" s="11">
        <v>884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100</v>
      </c>
      <c r="M313" s="19">
        <v>7.76</v>
      </c>
      <c r="N313" s="19">
        <v>61.15</v>
      </c>
      <c r="O313" s="19">
        <v>26.4</v>
      </c>
      <c r="P313" s="28">
        <v>0.4</v>
      </c>
      <c r="Q313" s="17">
        <v>0</v>
      </c>
      <c r="R313" s="17">
        <v>0</v>
      </c>
      <c r="S313" s="17">
        <v>0</v>
      </c>
      <c r="T313" s="27">
        <v>0</v>
      </c>
      <c r="U313" s="17">
        <v>17.5</v>
      </c>
      <c r="V313" s="17">
        <v>71.3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27">
        <v>0</v>
      </c>
    </row>
    <row r="314" spans="1:39" x14ac:dyDescent="0.25">
      <c r="A314" s="10">
        <v>313</v>
      </c>
      <c r="B314" s="9" t="s">
        <v>417</v>
      </c>
      <c r="C314" s="9" t="s">
        <v>419</v>
      </c>
      <c r="D314" s="10">
        <v>1</v>
      </c>
      <c r="E314" s="11">
        <v>892</v>
      </c>
      <c r="F314" s="17">
        <v>0</v>
      </c>
      <c r="G314" s="17">
        <v>0</v>
      </c>
      <c r="H314" s="17">
        <v>0</v>
      </c>
      <c r="I314" s="17">
        <v>0.9</v>
      </c>
      <c r="J314" s="17">
        <v>0</v>
      </c>
      <c r="K314" s="17">
        <v>0</v>
      </c>
      <c r="L314" s="17">
        <v>99.1</v>
      </c>
      <c r="M314" s="19">
        <v>82.48</v>
      </c>
      <c r="N314" s="19">
        <v>6.33</v>
      </c>
      <c r="O314" s="19">
        <v>1.7</v>
      </c>
      <c r="P314" s="28">
        <v>0.03</v>
      </c>
      <c r="Q314" s="17">
        <v>0</v>
      </c>
      <c r="R314" s="17">
        <v>0</v>
      </c>
      <c r="S314" s="17">
        <v>0</v>
      </c>
      <c r="T314" s="17">
        <v>0</v>
      </c>
      <c r="U314" s="17">
        <v>0.1</v>
      </c>
      <c r="V314" s="17">
        <v>0.6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1</v>
      </c>
      <c r="AG314" s="17">
        <v>0</v>
      </c>
      <c r="AH314" s="17">
        <v>0</v>
      </c>
      <c r="AI314" s="17">
        <v>0.1</v>
      </c>
      <c r="AJ314" s="17">
        <v>0</v>
      </c>
      <c r="AK314" s="17">
        <v>0</v>
      </c>
      <c r="AL314" s="17">
        <v>0</v>
      </c>
      <c r="AM314" s="27">
        <v>0</v>
      </c>
    </row>
    <row r="315" spans="1:39" x14ac:dyDescent="0.25">
      <c r="A315" s="10">
        <v>314</v>
      </c>
      <c r="B315" s="9" t="s">
        <v>417</v>
      </c>
      <c r="C315" s="9" t="s">
        <v>420</v>
      </c>
      <c r="D315" s="10">
        <v>2</v>
      </c>
      <c r="E315" s="11">
        <v>897</v>
      </c>
      <c r="F315" s="17">
        <v>0</v>
      </c>
      <c r="G315" s="17">
        <v>0</v>
      </c>
      <c r="H315" s="17">
        <v>0</v>
      </c>
      <c r="I315" s="17">
        <v>0.3</v>
      </c>
      <c r="J315" s="27">
        <v>0</v>
      </c>
      <c r="K315" s="17">
        <v>0</v>
      </c>
      <c r="L315" s="17">
        <v>99.7</v>
      </c>
      <c r="M315" s="19">
        <v>13.6</v>
      </c>
      <c r="N315" s="19">
        <v>26.1</v>
      </c>
      <c r="O315" s="19">
        <v>59.9</v>
      </c>
      <c r="P315" s="22" t="s">
        <v>100</v>
      </c>
      <c r="Q315" s="17">
        <v>0</v>
      </c>
      <c r="R315" s="17">
        <v>0</v>
      </c>
      <c r="S315" s="17">
        <v>0</v>
      </c>
      <c r="T315" s="27">
        <v>0</v>
      </c>
      <c r="U315" s="17">
        <v>83</v>
      </c>
      <c r="V315" s="27">
        <v>1.9</v>
      </c>
      <c r="W315" s="17">
        <v>0</v>
      </c>
      <c r="X315" s="17">
        <v>0</v>
      </c>
      <c r="Y315" s="17">
        <v>0</v>
      </c>
      <c r="Z315" s="17">
        <v>0</v>
      </c>
      <c r="AA315" s="17">
        <v>0</v>
      </c>
      <c r="AB315" s="17">
        <v>0</v>
      </c>
      <c r="AC315" s="17">
        <v>0</v>
      </c>
      <c r="AD315" s="17">
        <v>0</v>
      </c>
      <c r="AE315" s="17">
        <v>1.8</v>
      </c>
      <c r="AF315" s="17">
        <v>0</v>
      </c>
      <c r="AG315" s="17">
        <v>0.9</v>
      </c>
      <c r="AH315" s="17">
        <v>0</v>
      </c>
      <c r="AI315" s="17">
        <v>0</v>
      </c>
      <c r="AJ315" s="17">
        <v>0</v>
      </c>
      <c r="AK315" s="17">
        <v>0</v>
      </c>
      <c r="AL315" s="17">
        <v>0</v>
      </c>
      <c r="AM315" s="27">
        <v>0</v>
      </c>
    </row>
    <row r="316" spans="1:39" x14ac:dyDescent="0.25">
      <c r="A316" s="10">
        <v>315</v>
      </c>
      <c r="B316" s="9" t="s">
        <v>417</v>
      </c>
      <c r="C316" s="9" t="s">
        <v>421</v>
      </c>
      <c r="D316" s="10">
        <v>1</v>
      </c>
      <c r="E316" s="11">
        <v>884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100</v>
      </c>
      <c r="M316" s="19">
        <v>10.3</v>
      </c>
      <c r="N316" s="19">
        <v>19.5</v>
      </c>
      <c r="O316" s="19">
        <v>65.7</v>
      </c>
      <c r="P316" s="22" t="s">
        <v>100</v>
      </c>
      <c r="Q316" s="17">
        <v>0</v>
      </c>
      <c r="R316" s="17">
        <v>0</v>
      </c>
      <c r="S316" s="17">
        <v>0</v>
      </c>
      <c r="T316" s="17">
        <v>0</v>
      </c>
      <c r="U316" s="17">
        <v>41.1</v>
      </c>
      <c r="V316" s="17">
        <v>5.4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  <c r="AE316" s="17">
        <v>0</v>
      </c>
      <c r="AF316" s="17">
        <v>0</v>
      </c>
      <c r="AG316" s="17">
        <v>0</v>
      </c>
      <c r="AH316" s="17">
        <v>0</v>
      </c>
      <c r="AI316" s="17">
        <v>0</v>
      </c>
      <c r="AJ316" s="17">
        <v>0</v>
      </c>
      <c r="AK316" s="17">
        <v>0</v>
      </c>
      <c r="AL316" s="17">
        <v>0</v>
      </c>
      <c r="AM316" s="27">
        <v>0</v>
      </c>
    </row>
    <row r="317" spans="1:39" x14ac:dyDescent="0.25">
      <c r="A317" s="10">
        <v>316</v>
      </c>
      <c r="B317" s="9" t="s">
        <v>417</v>
      </c>
      <c r="C317" s="9" t="s">
        <v>422</v>
      </c>
      <c r="D317" s="10">
        <v>3</v>
      </c>
      <c r="E317" s="11">
        <v>898</v>
      </c>
      <c r="F317" s="17">
        <v>0</v>
      </c>
      <c r="G317" s="17">
        <v>0</v>
      </c>
      <c r="H317" s="17">
        <v>0</v>
      </c>
      <c r="I317" s="17">
        <v>0.2</v>
      </c>
      <c r="J317" s="27">
        <v>0</v>
      </c>
      <c r="K317" s="17">
        <v>0</v>
      </c>
      <c r="L317" s="17">
        <v>99.8</v>
      </c>
      <c r="M317" s="19">
        <v>7.98</v>
      </c>
      <c r="N317" s="19">
        <v>25.07</v>
      </c>
      <c r="O317" s="19">
        <v>43.5</v>
      </c>
      <c r="P317" s="19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41.1</v>
      </c>
      <c r="V317" s="27">
        <v>5.4</v>
      </c>
      <c r="W317" s="27">
        <v>0</v>
      </c>
      <c r="X317" s="27">
        <v>0</v>
      </c>
      <c r="Y317" s="27">
        <v>0</v>
      </c>
      <c r="Z317" s="27">
        <v>0</v>
      </c>
      <c r="AA317" s="27">
        <v>0</v>
      </c>
      <c r="AB317" s="27">
        <v>0</v>
      </c>
      <c r="AC317" s="27">
        <v>0</v>
      </c>
      <c r="AD317" s="27">
        <v>0</v>
      </c>
      <c r="AE317" s="27">
        <v>0</v>
      </c>
      <c r="AF317" s="27">
        <v>0</v>
      </c>
      <c r="AG317" s="27">
        <v>0</v>
      </c>
      <c r="AH317" s="27">
        <v>0</v>
      </c>
      <c r="AI317" s="27">
        <v>0</v>
      </c>
      <c r="AJ317" s="27">
        <v>0</v>
      </c>
      <c r="AK317" s="27">
        <v>0</v>
      </c>
      <c r="AL317" s="27">
        <v>0</v>
      </c>
      <c r="AM317" s="27">
        <v>0</v>
      </c>
    </row>
    <row r="318" spans="1:39" x14ac:dyDescent="0.25">
      <c r="A318" s="10">
        <v>317</v>
      </c>
      <c r="B318" s="9" t="s">
        <v>417</v>
      </c>
      <c r="C318" s="9" t="s">
        <v>423</v>
      </c>
      <c r="D318" s="10">
        <v>2</v>
      </c>
      <c r="E318" s="11">
        <v>897</v>
      </c>
      <c r="F318" s="17">
        <v>0</v>
      </c>
      <c r="G318" s="17">
        <v>0</v>
      </c>
      <c r="H318" s="17">
        <v>0</v>
      </c>
      <c r="I318" s="17">
        <v>0.3</v>
      </c>
      <c r="J318" s="27">
        <v>0</v>
      </c>
      <c r="K318" s="17">
        <v>0</v>
      </c>
      <c r="L318" s="17">
        <v>99.7</v>
      </c>
      <c r="M318" s="19">
        <v>11</v>
      </c>
      <c r="N318" s="19">
        <v>19.7</v>
      </c>
      <c r="O318" s="19">
        <v>69.3</v>
      </c>
      <c r="P318" s="22" t="s">
        <v>100</v>
      </c>
      <c r="Q318" s="17">
        <v>0</v>
      </c>
      <c r="R318" s="17">
        <v>0</v>
      </c>
      <c r="S318" s="17">
        <v>0</v>
      </c>
      <c r="T318" s="27">
        <v>0</v>
      </c>
      <c r="U318" s="17">
        <v>47.7</v>
      </c>
      <c r="V318" s="27">
        <v>5.4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0.1</v>
      </c>
      <c r="AE318" s="17">
        <v>0</v>
      </c>
      <c r="AF318" s="17">
        <v>0</v>
      </c>
      <c r="AG318" s="17">
        <v>0</v>
      </c>
      <c r="AH318" s="17">
        <v>0.2</v>
      </c>
      <c r="AI318" s="17">
        <v>0</v>
      </c>
      <c r="AJ318" s="17">
        <v>0</v>
      </c>
      <c r="AK318" s="17">
        <v>0</v>
      </c>
      <c r="AL318" s="17">
        <v>0.3</v>
      </c>
      <c r="AM318" s="27">
        <v>0</v>
      </c>
    </row>
    <row r="319" spans="1:39" x14ac:dyDescent="0.25">
      <c r="A319" s="10">
        <v>318</v>
      </c>
      <c r="B319" s="9" t="s">
        <v>417</v>
      </c>
      <c r="C319" s="9" t="s">
        <v>424</v>
      </c>
      <c r="D319" s="10">
        <v>1</v>
      </c>
      <c r="E319" s="11">
        <v>884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100</v>
      </c>
      <c r="M319" s="19">
        <v>13.81</v>
      </c>
      <c r="N319" s="19">
        <v>72.959999999999994</v>
      </c>
      <c r="O319" s="19">
        <v>10.52</v>
      </c>
      <c r="P319" s="22" t="s">
        <v>100</v>
      </c>
      <c r="Q319" s="17">
        <v>0</v>
      </c>
      <c r="R319" s="17">
        <v>0</v>
      </c>
      <c r="S319" s="17">
        <v>0</v>
      </c>
      <c r="T319" s="17">
        <v>0</v>
      </c>
      <c r="U319" s="17">
        <v>14.4</v>
      </c>
      <c r="V319" s="17">
        <v>60.2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2</v>
      </c>
      <c r="AE319" s="17">
        <v>1</v>
      </c>
      <c r="AF319" s="17">
        <v>1</v>
      </c>
      <c r="AG319" s="17">
        <v>0</v>
      </c>
      <c r="AH319" s="17">
        <v>0</v>
      </c>
      <c r="AI319" s="17">
        <v>0.6</v>
      </c>
      <c r="AJ319" s="17">
        <v>0</v>
      </c>
      <c r="AK319" s="17">
        <v>0</v>
      </c>
      <c r="AL319" s="17">
        <v>0</v>
      </c>
      <c r="AM319" s="27">
        <v>0</v>
      </c>
    </row>
    <row r="320" spans="1:39" x14ac:dyDescent="0.25">
      <c r="A320" s="10">
        <v>319</v>
      </c>
      <c r="B320" s="9" t="s">
        <v>417</v>
      </c>
      <c r="C320" s="9" t="s">
        <v>425</v>
      </c>
      <c r="D320" s="10">
        <v>3</v>
      </c>
      <c r="E320" s="11">
        <v>887</v>
      </c>
      <c r="F320" s="17">
        <v>0.3</v>
      </c>
      <c r="G320" s="17">
        <v>0.2</v>
      </c>
      <c r="H320" s="17">
        <v>0.2</v>
      </c>
      <c r="I320" s="17">
        <v>0</v>
      </c>
      <c r="J320" s="27">
        <v>0</v>
      </c>
      <c r="K320" s="27">
        <v>0</v>
      </c>
      <c r="L320" s="17">
        <v>97.9</v>
      </c>
      <c r="M320" s="19">
        <v>12.13</v>
      </c>
      <c r="N320" s="19">
        <v>73.5</v>
      </c>
      <c r="O320" s="19">
        <v>6.59</v>
      </c>
      <c r="P320" s="19">
        <v>0</v>
      </c>
      <c r="Q320" s="17">
        <v>5.2</v>
      </c>
      <c r="R320" s="27">
        <v>0</v>
      </c>
      <c r="S320" s="27">
        <v>0</v>
      </c>
      <c r="T320" s="27">
        <v>0</v>
      </c>
      <c r="U320" s="27">
        <v>14.3</v>
      </c>
      <c r="V320" s="27">
        <v>60</v>
      </c>
      <c r="W320" s="27">
        <v>0</v>
      </c>
      <c r="X320" s="27">
        <v>0</v>
      </c>
      <c r="Y320" s="27">
        <v>0</v>
      </c>
      <c r="Z320" s="27">
        <v>0</v>
      </c>
      <c r="AA320" s="27">
        <v>0</v>
      </c>
      <c r="AB320" s="27">
        <v>0</v>
      </c>
      <c r="AC320" s="27">
        <v>0</v>
      </c>
      <c r="AD320" s="17">
        <v>0.3</v>
      </c>
      <c r="AE320" s="27">
        <v>1</v>
      </c>
      <c r="AF320" s="27">
        <v>1</v>
      </c>
      <c r="AG320" s="27">
        <v>0</v>
      </c>
      <c r="AH320" s="27">
        <v>0</v>
      </c>
      <c r="AI320" s="27">
        <v>0.6</v>
      </c>
      <c r="AJ320" s="27">
        <v>0</v>
      </c>
      <c r="AK320" s="27">
        <v>0</v>
      </c>
      <c r="AL320" s="27">
        <v>0</v>
      </c>
      <c r="AM320" s="27">
        <v>0</v>
      </c>
    </row>
    <row r="321" spans="1:39" x14ac:dyDescent="0.25">
      <c r="A321" s="10">
        <v>320</v>
      </c>
      <c r="B321" s="9" t="s">
        <v>417</v>
      </c>
      <c r="C321" s="9" t="s">
        <v>426</v>
      </c>
      <c r="D321" s="10">
        <v>1</v>
      </c>
      <c r="E321" s="11">
        <v>884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100</v>
      </c>
      <c r="M321" s="19">
        <v>49.3</v>
      </c>
      <c r="N321" s="19">
        <v>37</v>
      </c>
      <c r="O321" s="19">
        <v>9.3000000000000007</v>
      </c>
      <c r="P321" s="22" t="s">
        <v>100</v>
      </c>
      <c r="Q321" s="17">
        <v>0</v>
      </c>
      <c r="R321" s="17">
        <v>0</v>
      </c>
      <c r="S321" s="17">
        <v>0</v>
      </c>
      <c r="T321" s="22" t="s">
        <v>100</v>
      </c>
      <c r="U321" s="17">
        <v>15.9</v>
      </c>
      <c r="V321" s="17">
        <v>8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  <c r="AE321" s="17">
        <v>0</v>
      </c>
      <c r="AF321" s="17">
        <v>0</v>
      </c>
      <c r="AG321" s="17">
        <v>0</v>
      </c>
      <c r="AH321" s="17">
        <v>0</v>
      </c>
      <c r="AI321" s="17">
        <v>0</v>
      </c>
      <c r="AJ321" s="17">
        <v>0</v>
      </c>
      <c r="AK321" s="17">
        <v>0</v>
      </c>
      <c r="AL321" s="17">
        <v>0</v>
      </c>
      <c r="AM321" s="27">
        <v>0</v>
      </c>
    </row>
    <row r="322" spans="1:39" x14ac:dyDescent="0.25">
      <c r="A322" s="10">
        <v>321</v>
      </c>
      <c r="B322" s="9" t="s">
        <v>417</v>
      </c>
      <c r="C322" s="9" t="s">
        <v>427</v>
      </c>
      <c r="D322" s="10">
        <v>2</v>
      </c>
      <c r="E322" s="11">
        <v>897</v>
      </c>
      <c r="F322" s="17">
        <v>0</v>
      </c>
      <c r="G322" s="17">
        <v>0</v>
      </c>
      <c r="H322" s="17">
        <v>0</v>
      </c>
      <c r="I322" s="17">
        <v>0.3</v>
      </c>
      <c r="J322" s="27">
        <v>0</v>
      </c>
      <c r="K322" s="17">
        <v>0</v>
      </c>
      <c r="L322" s="17">
        <v>99.7</v>
      </c>
      <c r="M322" s="19">
        <v>14.7</v>
      </c>
      <c r="N322" s="19">
        <v>19.7</v>
      </c>
      <c r="O322" s="19">
        <v>57.8</v>
      </c>
      <c r="P322" s="28">
        <v>0.53</v>
      </c>
      <c r="Q322" s="17">
        <v>0</v>
      </c>
      <c r="R322" s="17">
        <v>0</v>
      </c>
      <c r="S322" s="17">
        <v>0</v>
      </c>
      <c r="T322" s="27">
        <v>0</v>
      </c>
      <c r="U322" s="17">
        <v>93.6</v>
      </c>
      <c r="V322" s="27">
        <v>183.9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  <c r="AE322" s="17">
        <v>0</v>
      </c>
      <c r="AF322" s="17">
        <v>0</v>
      </c>
      <c r="AG322" s="17">
        <v>0.3</v>
      </c>
      <c r="AH322" s="17">
        <v>0</v>
      </c>
      <c r="AI322" s="17">
        <v>0</v>
      </c>
      <c r="AJ322" s="17">
        <v>0.2</v>
      </c>
      <c r="AK322" s="17">
        <v>0.4</v>
      </c>
      <c r="AL322" s="17">
        <v>0</v>
      </c>
      <c r="AM322" s="27">
        <v>0</v>
      </c>
    </row>
    <row r="323" spans="1:39" x14ac:dyDescent="0.25">
      <c r="A323" s="10">
        <v>322</v>
      </c>
      <c r="B323" s="9" t="s">
        <v>417</v>
      </c>
      <c r="C323" s="9" t="s">
        <v>428</v>
      </c>
      <c r="D323" s="10">
        <v>1</v>
      </c>
      <c r="E323" s="11">
        <v>884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100</v>
      </c>
      <c r="M323" s="19">
        <v>14.9</v>
      </c>
      <c r="N323" s="19">
        <v>43</v>
      </c>
      <c r="O323" s="19">
        <v>37.6</v>
      </c>
      <c r="P323" s="28">
        <v>0.53</v>
      </c>
      <c r="Q323" s="17">
        <v>0</v>
      </c>
      <c r="R323" s="17">
        <v>0</v>
      </c>
      <c r="S323" s="17">
        <v>0</v>
      </c>
      <c r="T323" s="17">
        <v>0</v>
      </c>
      <c r="U323" s="17">
        <v>8.1</v>
      </c>
      <c r="V323" s="17">
        <v>24.7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  <c r="AE323" s="17">
        <v>0</v>
      </c>
      <c r="AF323" s="17">
        <v>0</v>
      </c>
      <c r="AG323" s="17">
        <v>0</v>
      </c>
      <c r="AH323" s="17">
        <v>0</v>
      </c>
      <c r="AI323" s="17">
        <v>0</v>
      </c>
      <c r="AJ323" s="17">
        <v>0</v>
      </c>
      <c r="AK323" s="17">
        <v>0</v>
      </c>
      <c r="AL323" s="17">
        <v>0</v>
      </c>
      <c r="AM323" s="27">
        <v>0</v>
      </c>
    </row>
    <row r="324" spans="1:39" x14ac:dyDescent="0.25">
      <c r="A324" s="10">
        <v>323</v>
      </c>
      <c r="B324" s="9" t="s">
        <v>417</v>
      </c>
      <c r="C324" s="9" t="s">
        <v>429</v>
      </c>
      <c r="D324" s="10">
        <v>3</v>
      </c>
      <c r="E324" s="11">
        <v>897</v>
      </c>
      <c r="F324" s="17">
        <v>0.1</v>
      </c>
      <c r="G324" s="17">
        <v>0</v>
      </c>
      <c r="H324" s="17">
        <v>0.4</v>
      </c>
      <c r="I324" s="17">
        <v>0</v>
      </c>
      <c r="J324" s="22" t="s">
        <v>100</v>
      </c>
      <c r="K324" s="17">
        <v>0</v>
      </c>
      <c r="L324" s="17">
        <v>99.4</v>
      </c>
      <c r="M324" s="19">
        <v>14.69</v>
      </c>
      <c r="N324" s="19">
        <v>57.04</v>
      </c>
      <c r="O324" s="19">
        <v>11.1</v>
      </c>
      <c r="P324" s="22" t="s">
        <v>100</v>
      </c>
      <c r="Q324" s="22" t="s">
        <v>100</v>
      </c>
      <c r="R324" s="27">
        <v>0</v>
      </c>
      <c r="S324" s="27">
        <v>0</v>
      </c>
      <c r="T324" s="22" t="s">
        <v>100</v>
      </c>
      <c r="U324" s="22" t="s">
        <v>100</v>
      </c>
      <c r="V324" s="22" t="s">
        <v>100</v>
      </c>
      <c r="W324" s="27">
        <v>0</v>
      </c>
      <c r="X324" s="27">
        <v>0</v>
      </c>
      <c r="Y324" s="27">
        <v>0</v>
      </c>
      <c r="Z324" s="27">
        <v>0</v>
      </c>
      <c r="AA324" s="27">
        <v>0</v>
      </c>
      <c r="AB324" s="27">
        <v>0</v>
      </c>
      <c r="AC324" s="27">
        <v>0</v>
      </c>
      <c r="AD324" s="27">
        <v>0</v>
      </c>
      <c r="AE324" s="27">
        <v>0</v>
      </c>
      <c r="AF324" s="27">
        <v>0</v>
      </c>
      <c r="AG324" s="27">
        <v>0</v>
      </c>
      <c r="AH324" s="27">
        <v>0</v>
      </c>
      <c r="AI324" s="27">
        <v>0</v>
      </c>
      <c r="AJ324" s="27">
        <v>0</v>
      </c>
      <c r="AK324" s="27">
        <v>0</v>
      </c>
      <c r="AL324" s="27">
        <v>0</v>
      </c>
      <c r="AM324" s="27">
        <v>0</v>
      </c>
    </row>
    <row r="325" spans="1:39" x14ac:dyDescent="0.25">
      <c r="A325" s="10">
        <v>324</v>
      </c>
      <c r="B325" s="9" t="s">
        <v>417</v>
      </c>
      <c r="C325" s="9" t="s">
        <v>430</v>
      </c>
      <c r="D325" s="10">
        <v>1</v>
      </c>
      <c r="E325" s="11">
        <v>181</v>
      </c>
      <c r="F325" s="17">
        <v>71</v>
      </c>
      <c r="G325" s="17">
        <v>0.9</v>
      </c>
      <c r="H325" s="17">
        <v>7</v>
      </c>
      <c r="I325" s="17">
        <v>7</v>
      </c>
      <c r="J325" s="17">
        <v>0.3</v>
      </c>
      <c r="K325" s="17">
        <v>0</v>
      </c>
      <c r="L325" s="17">
        <v>14.1</v>
      </c>
      <c r="M325" s="19">
        <v>8.6999999999999993</v>
      </c>
      <c r="N325" s="19">
        <v>4.0999999999999996</v>
      </c>
      <c r="O325" s="19">
        <v>0.5</v>
      </c>
      <c r="P325" s="28">
        <v>0.57999999999999996</v>
      </c>
      <c r="Q325" s="17">
        <v>35</v>
      </c>
      <c r="R325" s="17">
        <v>119</v>
      </c>
      <c r="S325" s="17">
        <v>0.9</v>
      </c>
      <c r="T325" s="17">
        <v>0.3</v>
      </c>
      <c r="U325" s="17">
        <v>0.4</v>
      </c>
      <c r="V325" s="17">
        <v>0.7</v>
      </c>
      <c r="W325" s="17">
        <v>0</v>
      </c>
      <c r="X325" s="17">
        <v>0.2</v>
      </c>
      <c r="Y325" s="17">
        <v>0.1</v>
      </c>
      <c r="Z325" s="17">
        <v>0</v>
      </c>
      <c r="AA325" s="27">
        <v>0.5</v>
      </c>
      <c r="AB325" s="17">
        <v>0.3</v>
      </c>
      <c r="AC325" s="17">
        <v>11</v>
      </c>
      <c r="AD325" s="17">
        <v>70</v>
      </c>
      <c r="AE325" s="17">
        <v>211</v>
      </c>
      <c r="AF325" s="17">
        <v>141</v>
      </c>
      <c r="AG325" s="17">
        <v>85</v>
      </c>
      <c r="AH325" s="17">
        <v>11</v>
      </c>
      <c r="AI325" s="17">
        <v>0.1</v>
      </c>
      <c r="AJ325" s="17">
        <v>0.3</v>
      </c>
      <c r="AK325" s="17">
        <v>0</v>
      </c>
      <c r="AL325" s="17">
        <v>4.0999999999999996</v>
      </c>
      <c r="AM325" s="27">
        <v>0</v>
      </c>
    </row>
    <row r="326" spans="1:39" x14ac:dyDescent="0.25">
      <c r="A326" s="10">
        <v>325</v>
      </c>
      <c r="B326" s="9" t="s">
        <v>417</v>
      </c>
      <c r="C326" s="9" t="s">
        <v>431</v>
      </c>
      <c r="D326" s="10">
        <v>1</v>
      </c>
      <c r="E326" s="11">
        <v>345</v>
      </c>
      <c r="F326" s="17">
        <v>0</v>
      </c>
      <c r="G326" s="17">
        <v>0.5</v>
      </c>
      <c r="H326" s="17">
        <v>2.1</v>
      </c>
      <c r="I326" s="17">
        <v>2.8</v>
      </c>
      <c r="J326" s="27">
        <v>2.8</v>
      </c>
      <c r="K326" s="17">
        <v>0</v>
      </c>
      <c r="L326" s="17">
        <v>37</v>
      </c>
      <c r="M326" s="19">
        <v>23</v>
      </c>
      <c r="N326" s="19">
        <v>10.7</v>
      </c>
      <c r="O326" s="19">
        <v>1.37</v>
      </c>
      <c r="P326" s="22" t="s">
        <v>100</v>
      </c>
      <c r="Q326" s="17">
        <v>137</v>
      </c>
      <c r="R326" s="17">
        <v>442</v>
      </c>
      <c r="S326" s="17">
        <v>0.6</v>
      </c>
      <c r="T326" s="27">
        <v>1</v>
      </c>
      <c r="U326" s="17">
        <v>0.6</v>
      </c>
      <c r="V326" s="27">
        <v>4.9000000000000004</v>
      </c>
      <c r="W326" s="17">
        <v>0</v>
      </c>
      <c r="X326" s="17">
        <v>0.1</v>
      </c>
      <c r="Y326" s="17">
        <v>0</v>
      </c>
      <c r="Z326" s="17">
        <v>0</v>
      </c>
      <c r="AA326" s="17">
        <v>0.3</v>
      </c>
      <c r="AB326" s="17">
        <v>0.2</v>
      </c>
      <c r="AC326" s="17">
        <v>3.8</v>
      </c>
      <c r="AD326" s="17">
        <v>37.4</v>
      </c>
      <c r="AE326" s="17">
        <v>75.2</v>
      </c>
      <c r="AF326" s="17">
        <v>64.7</v>
      </c>
      <c r="AG326" s="17">
        <v>62.6</v>
      </c>
      <c r="AH326" s="17">
        <v>7.1</v>
      </c>
      <c r="AI326" s="17">
        <v>0</v>
      </c>
      <c r="AJ326" s="17">
        <v>0</v>
      </c>
      <c r="AK326" s="17">
        <v>0</v>
      </c>
      <c r="AL326" s="17">
        <v>0</v>
      </c>
      <c r="AM326" s="27">
        <v>0</v>
      </c>
    </row>
    <row r="327" spans="1:39" x14ac:dyDescent="0.25">
      <c r="A327" s="10">
        <v>326</v>
      </c>
      <c r="B327" s="9" t="s">
        <v>417</v>
      </c>
      <c r="C327" s="9" t="s">
        <v>432</v>
      </c>
      <c r="D327" s="10">
        <v>4</v>
      </c>
      <c r="E327" s="11">
        <v>194</v>
      </c>
      <c r="F327" s="17">
        <v>73.7</v>
      </c>
      <c r="G327" s="17">
        <v>0.6</v>
      </c>
      <c r="H327" s="17">
        <v>2.7</v>
      </c>
      <c r="I327" s="17">
        <v>4.8</v>
      </c>
      <c r="J327" s="27">
        <v>3.7</v>
      </c>
      <c r="K327" s="17">
        <v>0</v>
      </c>
      <c r="L327" s="17">
        <v>18.2</v>
      </c>
      <c r="M327" s="19">
        <v>11.65</v>
      </c>
      <c r="N327" s="19">
        <v>5.48</v>
      </c>
      <c r="O327" s="19">
        <v>1.04</v>
      </c>
      <c r="P327" s="28">
        <v>0.6</v>
      </c>
      <c r="Q327" s="17">
        <v>32.5</v>
      </c>
      <c r="R327" s="27">
        <v>120.2</v>
      </c>
      <c r="S327" s="17">
        <v>0</v>
      </c>
      <c r="T327" s="27">
        <v>1.1000000000000001</v>
      </c>
      <c r="U327" s="17">
        <v>0</v>
      </c>
      <c r="V327" s="27">
        <v>1.7</v>
      </c>
      <c r="W327" s="17">
        <v>0</v>
      </c>
      <c r="X327" s="17">
        <v>0</v>
      </c>
      <c r="Y327" s="17">
        <v>0</v>
      </c>
      <c r="Z327" s="17">
        <v>0</v>
      </c>
      <c r="AA327" s="17">
        <v>0</v>
      </c>
      <c r="AB327" s="17">
        <v>0</v>
      </c>
      <c r="AC327" s="17">
        <v>0</v>
      </c>
      <c r="AD327" s="17">
        <v>0</v>
      </c>
      <c r="AE327" s="17">
        <v>0</v>
      </c>
      <c r="AF327" s="17">
        <v>0</v>
      </c>
      <c r="AG327" s="17">
        <v>0</v>
      </c>
      <c r="AH327" s="17">
        <v>0</v>
      </c>
      <c r="AI327" s="17">
        <v>0</v>
      </c>
      <c r="AJ327" s="17">
        <v>3.3</v>
      </c>
      <c r="AK327" s="17">
        <v>0</v>
      </c>
      <c r="AL327" s="17">
        <v>22</v>
      </c>
      <c r="AM327" s="27">
        <v>0</v>
      </c>
    </row>
    <row r="328" spans="1:39" x14ac:dyDescent="0.25">
      <c r="A328" s="10">
        <v>327</v>
      </c>
      <c r="B328" s="9" t="s">
        <v>417</v>
      </c>
      <c r="C328" s="9" t="s">
        <v>433</v>
      </c>
      <c r="D328" s="10">
        <v>1</v>
      </c>
      <c r="E328" s="11">
        <v>897</v>
      </c>
      <c r="F328" s="17">
        <v>0</v>
      </c>
      <c r="G328" s="17">
        <v>0.5</v>
      </c>
      <c r="H328" s="17">
        <v>0</v>
      </c>
      <c r="I328" s="17">
        <v>0</v>
      </c>
      <c r="J328" s="17">
        <v>0</v>
      </c>
      <c r="K328" s="17">
        <v>0</v>
      </c>
      <c r="L328" s="17">
        <v>99.5</v>
      </c>
      <c r="M328" s="19">
        <v>39</v>
      </c>
      <c r="N328" s="19">
        <v>44.87</v>
      </c>
      <c r="O328" s="19">
        <v>11.14</v>
      </c>
      <c r="P328" s="22" t="s">
        <v>100</v>
      </c>
      <c r="Q328" s="17">
        <v>95</v>
      </c>
      <c r="R328" s="17">
        <v>0</v>
      </c>
      <c r="S328" s="17">
        <v>0</v>
      </c>
      <c r="T328" s="17">
        <v>2.5</v>
      </c>
      <c r="U328" s="17">
        <v>0.6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150</v>
      </c>
      <c r="AE328" s="17">
        <v>0</v>
      </c>
      <c r="AF328" s="17">
        <v>0</v>
      </c>
      <c r="AG328" s="17">
        <v>0</v>
      </c>
      <c r="AH328" s="17">
        <v>0</v>
      </c>
      <c r="AI328" s="17">
        <v>0</v>
      </c>
      <c r="AJ328" s="17">
        <v>0.1</v>
      </c>
      <c r="AK328" s="17">
        <v>0</v>
      </c>
      <c r="AL328" s="17">
        <v>0</v>
      </c>
      <c r="AM328" s="27">
        <v>0</v>
      </c>
    </row>
    <row r="329" spans="1:39" x14ac:dyDescent="0.25">
      <c r="A329" s="10">
        <v>328</v>
      </c>
      <c r="B329" s="9" t="s">
        <v>417</v>
      </c>
      <c r="C329" s="9" t="s">
        <v>434</v>
      </c>
      <c r="D329" s="10">
        <v>2</v>
      </c>
      <c r="E329" s="11">
        <v>897</v>
      </c>
      <c r="F329" s="17">
        <v>0</v>
      </c>
      <c r="G329" s="17">
        <v>0</v>
      </c>
      <c r="H329" s="17">
        <v>0</v>
      </c>
      <c r="I329" s="17">
        <v>0.3</v>
      </c>
      <c r="J329" s="27">
        <v>0</v>
      </c>
      <c r="K329" s="17">
        <v>0</v>
      </c>
      <c r="L329" s="17">
        <v>99.7</v>
      </c>
      <c r="M329" s="19">
        <v>22.43</v>
      </c>
      <c r="N329" s="19">
        <v>56.63</v>
      </c>
      <c r="O329" s="19">
        <v>20.64</v>
      </c>
      <c r="P329" s="22" t="s">
        <v>100</v>
      </c>
      <c r="Q329" s="17">
        <v>0</v>
      </c>
      <c r="R329" s="17">
        <v>0</v>
      </c>
      <c r="S329" s="17">
        <v>0</v>
      </c>
      <c r="T329" s="27">
        <v>0</v>
      </c>
      <c r="U329" s="17">
        <v>0</v>
      </c>
      <c r="V329" s="27">
        <v>43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  <c r="AE329" s="17">
        <v>0</v>
      </c>
      <c r="AF329" s="17">
        <v>0</v>
      </c>
      <c r="AG329" s="17">
        <v>0</v>
      </c>
      <c r="AH329" s="17">
        <v>0</v>
      </c>
      <c r="AI329" s="17">
        <v>0</v>
      </c>
      <c r="AJ329" s="17">
        <v>0</v>
      </c>
      <c r="AK329" s="17">
        <v>0</v>
      </c>
      <c r="AL329" s="17">
        <v>0</v>
      </c>
      <c r="AM329" s="27">
        <v>0</v>
      </c>
    </row>
    <row r="330" spans="1:39" x14ac:dyDescent="0.25">
      <c r="A330" s="10">
        <v>329</v>
      </c>
      <c r="B330" s="9" t="s">
        <v>417</v>
      </c>
      <c r="C330" s="9" t="s">
        <v>435</v>
      </c>
      <c r="D330" s="10">
        <v>1</v>
      </c>
      <c r="E330" s="11">
        <v>717</v>
      </c>
      <c r="F330" s="17">
        <v>15.9</v>
      </c>
      <c r="G330" s="17">
        <v>2.1</v>
      </c>
      <c r="H330" s="17">
        <v>0.9</v>
      </c>
      <c r="I330" s="17">
        <v>0.1</v>
      </c>
      <c r="J330" s="17">
        <v>0.1</v>
      </c>
      <c r="K330" s="17">
        <v>0</v>
      </c>
      <c r="L330" s="17">
        <v>81.099999999999994</v>
      </c>
      <c r="M330" s="19">
        <v>51.37</v>
      </c>
      <c r="N330" s="19">
        <v>21.02</v>
      </c>
      <c r="O330" s="19">
        <v>3.04</v>
      </c>
      <c r="P330" s="22" t="s">
        <v>100</v>
      </c>
      <c r="Q330" s="17">
        <v>215</v>
      </c>
      <c r="R330" s="17">
        <v>684</v>
      </c>
      <c r="S330" s="17">
        <v>0</v>
      </c>
      <c r="T330" s="17">
        <v>0</v>
      </c>
      <c r="U330" s="17">
        <v>2.2999999999999998</v>
      </c>
      <c r="V330" s="17">
        <v>7</v>
      </c>
      <c r="W330" s="17">
        <v>0</v>
      </c>
      <c r="X330" s="17">
        <v>0</v>
      </c>
      <c r="Y330" s="17">
        <v>0</v>
      </c>
      <c r="Z330" s="17">
        <v>0</v>
      </c>
      <c r="AA330" s="17">
        <v>0.1</v>
      </c>
      <c r="AB330" s="17">
        <v>0.2</v>
      </c>
      <c r="AC330" s="17">
        <v>3</v>
      </c>
      <c r="AD330" s="17">
        <v>643</v>
      </c>
      <c r="AE330" s="17">
        <v>24</v>
      </c>
      <c r="AF330" s="17">
        <v>24</v>
      </c>
      <c r="AG330" s="17">
        <v>24</v>
      </c>
      <c r="AH330" s="17">
        <v>2</v>
      </c>
      <c r="AI330" s="17">
        <v>0</v>
      </c>
      <c r="AJ330" s="17">
        <v>0.1</v>
      </c>
      <c r="AK330" s="17">
        <v>0</v>
      </c>
      <c r="AL330" s="17">
        <v>1</v>
      </c>
      <c r="AM330" s="27">
        <v>0</v>
      </c>
    </row>
    <row r="331" spans="1:39" x14ac:dyDescent="0.25">
      <c r="A331" s="10">
        <v>330</v>
      </c>
      <c r="B331" s="9" t="s">
        <v>417</v>
      </c>
      <c r="C331" s="9" t="s">
        <v>436</v>
      </c>
      <c r="D331" s="10">
        <v>3</v>
      </c>
      <c r="E331" s="11">
        <v>749</v>
      </c>
      <c r="F331" s="17">
        <v>15.3</v>
      </c>
      <c r="G331" s="17">
        <v>1.3</v>
      </c>
      <c r="H331" s="17">
        <v>0.3</v>
      </c>
      <c r="I331" s="17">
        <v>0</v>
      </c>
      <c r="J331" s="27">
        <v>0</v>
      </c>
      <c r="K331" s="22" t="s">
        <v>100</v>
      </c>
      <c r="L331" s="17">
        <v>83.1</v>
      </c>
      <c r="M331" s="19">
        <v>46.99</v>
      </c>
      <c r="N331" s="19">
        <v>27.51</v>
      </c>
      <c r="O331" s="19">
        <v>1.1399999999999999</v>
      </c>
      <c r="P331" s="19">
        <v>2.6</v>
      </c>
      <c r="Q331" s="17">
        <v>187.1</v>
      </c>
      <c r="R331" s="27">
        <v>691.1</v>
      </c>
      <c r="S331" s="27">
        <v>0</v>
      </c>
      <c r="T331" s="27">
        <v>0</v>
      </c>
      <c r="U331" s="27">
        <v>2.2999999999999998</v>
      </c>
      <c r="V331" s="27">
        <v>7.1</v>
      </c>
      <c r="W331" s="27">
        <v>0</v>
      </c>
      <c r="X331" s="27">
        <v>0</v>
      </c>
      <c r="Y331" s="27">
        <v>0</v>
      </c>
      <c r="Z331" s="27">
        <v>0</v>
      </c>
      <c r="AA331" s="27">
        <v>0.1</v>
      </c>
      <c r="AB331" s="27">
        <v>0.2</v>
      </c>
      <c r="AC331" s="27">
        <v>3</v>
      </c>
      <c r="AD331" s="17">
        <v>563</v>
      </c>
      <c r="AE331" s="27">
        <v>24.2</v>
      </c>
      <c r="AF331" s="17">
        <v>9.1999999999999993</v>
      </c>
      <c r="AG331" s="27">
        <v>24.2</v>
      </c>
      <c r="AH331" s="27">
        <v>2</v>
      </c>
      <c r="AI331" s="27">
        <v>0</v>
      </c>
      <c r="AJ331" s="27">
        <v>0.1</v>
      </c>
      <c r="AK331" s="27">
        <v>0</v>
      </c>
      <c r="AL331" s="27">
        <v>1</v>
      </c>
      <c r="AM331" s="27">
        <v>0</v>
      </c>
    </row>
    <row r="332" spans="1:39" x14ac:dyDescent="0.25">
      <c r="A332" s="10">
        <v>331</v>
      </c>
      <c r="B332" s="9" t="s">
        <v>417</v>
      </c>
      <c r="C332" s="9" t="s">
        <v>437</v>
      </c>
      <c r="D332" s="10">
        <v>1</v>
      </c>
      <c r="E332" s="11">
        <v>717</v>
      </c>
      <c r="F332" s="17">
        <v>16.5</v>
      </c>
      <c r="G332" s="17">
        <v>1.9</v>
      </c>
      <c r="H332" s="17">
        <v>0.2</v>
      </c>
      <c r="I332" s="17">
        <v>0.7</v>
      </c>
      <c r="J332" s="17">
        <v>0</v>
      </c>
      <c r="K332" s="17">
        <v>0</v>
      </c>
      <c r="L332" s="17">
        <v>80.7</v>
      </c>
      <c r="M332" s="19">
        <v>15.19</v>
      </c>
      <c r="N332" s="19">
        <v>38.880000000000003</v>
      </c>
      <c r="O332" s="19">
        <v>24.3</v>
      </c>
      <c r="P332" s="28">
        <v>14.89</v>
      </c>
      <c r="Q332" s="17">
        <v>0</v>
      </c>
      <c r="R332" s="17">
        <v>819</v>
      </c>
      <c r="S332" s="17">
        <v>0.2</v>
      </c>
      <c r="T332" s="17">
        <v>0</v>
      </c>
      <c r="U332" s="17">
        <v>9</v>
      </c>
      <c r="V332" s="17">
        <v>93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0.1</v>
      </c>
      <c r="AC332" s="17">
        <v>1</v>
      </c>
      <c r="AD332" s="17">
        <v>751</v>
      </c>
      <c r="AE332" s="17">
        <v>18</v>
      </c>
      <c r="AF332" s="17">
        <v>3</v>
      </c>
      <c r="AG332" s="17">
        <v>5</v>
      </c>
      <c r="AH332" s="17">
        <v>3</v>
      </c>
      <c r="AI332" s="17">
        <v>0.1</v>
      </c>
      <c r="AJ332" s="17">
        <v>0</v>
      </c>
      <c r="AK332" s="17">
        <v>0</v>
      </c>
      <c r="AL332" s="17">
        <v>0</v>
      </c>
      <c r="AM332" s="27">
        <v>0</v>
      </c>
    </row>
    <row r="333" spans="1:39" x14ac:dyDescent="0.25">
      <c r="A333" s="10">
        <v>332</v>
      </c>
      <c r="B333" s="9" t="s">
        <v>417</v>
      </c>
      <c r="C333" s="9" t="s">
        <v>438</v>
      </c>
      <c r="D333" s="10">
        <v>3</v>
      </c>
      <c r="E333" s="11">
        <v>700</v>
      </c>
      <c r="F333" s="17">
        <v>19.899999999999999</v>
      </c>
      <c r="G333" s="17">
        <v>1.9</v>
      </c>
      <c r="H333" s="17">
        <v>0.6</v>
      </c>
      <c r="I333" s="17">
        <v>0.2</v>
      </c>
      <c r="J333" s="27">
        <v>0</v>
      </c>
      <c r="K333" s="22" t="s">
        <v>100</v>
      </c>
      <c r="L333" s="17">
        <v>77.400000000000006</v>
      </c>
      <c r="M333" s="19">
        <v>25.39</v>
      </c>
      <c r="N333" s="19">
        <v>25.1</v>
      </c>
      <c r="O333" s="19">
        <v>7.14</v>
      </c>
      <c r="P333" s="19">
        <v>0.4</v>
      </c>
      <c r="Q333" s="17">
        <v>85</v>
      </c>
      <c r="R333" s="27">
        <v>785.8</v>
      </c>
      <c r="S333" s="27">
        <v>0.2</v>
      </c>
      <c r="T333" s="27">
        <v>0</v>
      </c>
      <c r="U333" s="27">
        <v>8.6</v>
      </c>
      <c r="V333" s="27">
        <v>89.2</v>
      </c>
      <c r="W333" s="27">
        <v>0</v>
      </c>
      <c r="X333" s="27">
        <v>0</v>
      </c>
      <c r="Y333" s="27">
        <v>0</v>
      </c>
      <c r="Z333" s="27">
        <v>0</v>
      </c>
      <c r="AA333" s="27">
        <v>0</v>
      </c>
      <c r="AB333" s="27">
        <v>0.1</v>
      </c>
      <c r="AC333" s="27">
        <v>1</v>
      </c>
      <c r="AD333" s="17">
        <v>686</v>
      </c>
      <c r="AE333" s="27">
        <v>17.3</v>
      </c>
      <c r="AF333" s="27">
        <v>2.9</v>
      </c>
      <c r="AG333" s="27">
        <v>4.8</v>
      </c>
      <c r="AH333" s="27">
        <v>2.9</v>
      </c>
      <c r="AI333" s="27">
        <v>0.1</v>
      </c>
      <c r="AJ333" s="27">
        <v>0</v>
      </c>
      <c r="AK333" s="27">
        <v>0</v>
      </c>
      <c r="AL333" s="27">
        <v>0</v>
      </c>
      <c r="AM333" s="27">
        <v>0</v>
      </c>
    </row>
    <row r="334" spans="1:39" x14ac:dyDescent="0.25">
      <c r="A334" s="10">
        <v>333</v>
      </c>
      <c r="B334" s="9" t="s">
        <v>417</v>
      </c>
      <c r="C334" s="9" t="s">
        <v>439</v>
      </c>
      <c r="D334" s="10">
        <v>1</v>
      </c>
      <c r="E334" s="11">
        <v>424</v>
      </c>
      <c r="F334" s="17">
        <v>49.7</v>
      </c>
      <c r="G334" s="17">
        <v>1.8</v>
      </c>
      <c r="H334" s="17">
        <v>0.2</v>
      </c>
      <c r="I334" s="17">
        <v>0.9</v>
      </c>
      <c r="J334" s="27">
        <v>0</v>
      </c>
      <c r="K334" s="17">
        <v>0</v>
      </c>
      <c r="L334" s="17">
        <v>47.5</v>
      </c>
      <c r="M334" s="19">
        <v>8.7899999999999991</v>
      </c>
      <c r="N334" s="19">
        <v>16.420000000000002</v>
      </c>
      <c r="O334" s="19">
        <v>20.239999999999998</v>
      </c>
      <c r="P334" s="28">
        <v>10.01</v>
      </c>
      <c r="Q334" s="17">
        <v>1</v>
      </c>
      <c r="R334" s="27">
        <v>653.4</v>
      </c>
      <c r="S334" s="17">
        <v>0</v>
      </c>
      <c r="T334" s="27">
        <v>0</v>
      </c>
      <c r="U334" s="17">
        <v>3.9</v>
      </c>
      <c r="V334" s="17">
        <v>101.3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27">
        <v>0.1</v>
      </c>
      <c r="AC334" s="17">
        <v>2</v>
      </c>
      <c r="AD334" s="17">
        <v>646</v>
      </c>
      <c r="AE334" s="17">
        <v>36</v>
      </c>
      <c r="AF334" s="17">
        <v>4</v>
      </c>
      <c r="AG334" s="17">
        <v>4</v>
      </c>
      <c r="AH334" s="17">
        <v>1</v>
      </c>
      <c r="AI334" s="17">
        <v>0.2</v>
      </c>
      <c r="AJ334" s="17">
        <v>0.1</v>
      </c>
      <c r="AK334" s="17">
        <v>0</v>
      </c>
      <c r="AL334" s="17">
        <v>0</v>
      </c>
      <c r="AM334" s="27">
        <v>0</v>
      </c>
    </row>
    <row r="335" spans="1:39" x14ac:dyDescent="0.25">
      <c r="A335" s="10">
        <v>334</v>
      </c>
      <c r="B335" s="9" t="s">
        <v>417</v>
      </c>
      <c r="C335" s="9" t="s">
        <v>440</v>
      </c>
      <c r="D335" s="10">
        <v>4</v>
      </c>
      <c r="E335" s="11">
        <v>192</v>
      </c>
      <c r="F335" s="27">
        <v>77.400000000000006</v>
      </c>
      <c r="G335" s="27">
        <v>1.3</v>
      </c>
      <c r="H335" s="17">
        <v>0</v>
      </c>
      <c r="I335" s="17">
        <v>0</v>
      </c>
      <c r="J335" s="17">
        <v>0</v>
      </c>
      <c r="K335" s="17">
        <v>0</v>
      </c>
      <c r="L335" s="17">
        <v>21.3</v>
      </c>
      <c r="M335" s="19">
        <v>5.8</v>
      </c>
      <c r="N335" s="19">
        <v>4.5</v>
      </c>
      <c r="O335" s="19">
        <v>11</v>
      </c>
      <c r="P335" s="19">
        <v>0.2</v>
      </c>
      <c r="Q335" s="17">
        <v>0</v>
      </c>
      <c r="R335" s="17">
        <v>1200</v>
      </c>
      <c r="S335" s="27">
        <v>0</v>
      </c>
      <c r="T335" s="17">
        <v>7.2</v>
      </c>
      <c r="U335" s="17">
        <v>29</v>
      </c>
      <c r="V335" s="27">
        <v>70.900000000000006</v>
      </c>
      <c r="W335" s="27">
        <v>0</v>
      </c>
      <c r="X335" s="27">
        <v>0</v>
      </c>
      <c r="Y335" s="27">
        <v>0</v>
      </c>
      <c r="Z335" s="27">
        <v>0</v>
      </c>
      <c r="AA335" s="22" t="s">
        <v>100</v>
      </c>
      <c r="AB335" s="27">
        <v>0</v>
      </c>
      <c r="AC335" s="27">
        <v>0</v>
      </c>
      <c r="AD335" s="17">
        <v>605</v>
      </c>
      <c r="AE335" s="27">
        <v>25</v>
      </c>
      <c r="AF335" s="27">
        <v>0</v>
      </c>
      <c r="AG335" s="27">
        <v>14</v>
      </c>
      <c r="AH335" s="27">
        <v>1</v>
      </c>
      <c r="AI335" s="27">
        <v>0</v>
      </c>
      <c r="AJ335" s="27">
        <v>0</v>
      </c>
      <c r="AK335" s="27">
        <v>0</v>
      </c>
      <c r="AL335" s="27">
        <v>0</v>
      </c>
      <c r="AM335" s="27">
        <v>0</v>
      </c>
    </row>
    <row r="336" spans="1:39" x14ac:dyDescent="0.25">
      <c r="A336" s="10">
        <v>335</v>
      </c>
      <c r="B336" s="9" t="s">
        <v>417</v>
      </c>
      <c r="C336" s="9" t="s">
        <v>441</v>
      </c>
      <c r="D336" s="10">
        <v>1</v>
      </c>
      <c r="E336" s="11">
        <v>717</v>
      </c>
      <c r="F336" s="17">
        <v>15.3</v>
      </c>
      <c r="G336" s="17">
        <v>0</v>
      </c>
      <c r="H336" s="17">
        <v>1.1000000000000001</v>
      </c>
      <c r="I336" s="17">
        <v>2.7</v>
      </c>
      <c r="J336" s="27">
        <v>0.6</v>
      </c>
      <c r="K336" s="17">
        <v>0</v>
      </c>
      <c r="L336" s="17">
        <v>79.7</v>
      </c>
      <c r="M336" s="19">
        <v>11.8</v>
      </c>
      <c r="N336" s="19">
        <v>22.7</v>
      </c>
      <c r="O336" s="19">
        <v>41.3</v>
      </c>
      <c r="P336" s="28">
        <v>0.2</v>
      </c>
      <c r="Q336" s="17">
        <v>59</v>
      </c>
      <c r="R336" s="17">
        <v>84.1</v>
      </c>
      <c r="S336" s="17">
        <v>0</v>
      </c>
      <c r="T336" s="27">
        <v>0.2</v>
      </c>
      <c r="U336" s="17">
        <v>58</v>
      </c>
      <c r="V336" s="27">
        <v>176.2</v>
      </c>
      <c r="W336" s="17">
        <v>0</v>
      </c>
      <c r="X336" s="17">
        <v>0</v>
      </c>
      <c r="Y336" s="17">
        <v>0</v>
      </c>
      <c r="Z336" s="17">
        <v>0.6</v>
      </c>
      <c r="AA336" s="17">
        <v>0.2</v>
      </c>
      <c r="AB336" s="17">
        <v>0.3</v>
      </c>
      <c r="AC336" s="17">
        <v>7.7</v>
      </c>
      <c r="AD336" s="17">
        <v>568</v>
      </c>
      <c r="AE336" s="17">
        <v>34</v>
      </c>
      <c r="AF336" s="17">
        <v>18</v>
      </c>
      <c r="AG336" s="17">
        <v>28</v>
      </c>
      <c r="AH336" s="17">
        <v>1</v>
      </c>
      <c r="AI336" s="17">
        <v>0.5</v>
      </c>
      <c r="AJ336" s="17">
        <v>0.2</v>
      </c>
      <c r="AK336" s="17">
        <v>0.3</v>
      </c>
      <c r="AL336" s="17">
        <v>6</v>
      </c>
      <c r="AM336" s="27">
        <v>0</v>
      </c>
    </row>
    <row r="337" spans="1:39" x14ac:dyDescent="0.25">
      <c r="A337" s="10">
        <v>336</v>
      </c>
      <c r="B337" s="9" t="s">
        <v>417</v>
      </c>
      <c r="C337" s="9" t="s">
        <v>442</v>
      </c>
      <c r="D337" s="10">
        <v>3</v>
      </c>
      <c r="E337" s="11">
        <v>671</v>
      </c>
      <c r="F337" s="17">
        <v>18.2</v>
      </c>
      <c r="G337" s="17">
        <v>2.2000000000000002</v>
      </c>
      <c r="H337" s="17">
        <v>7.2</v>
      </c>
      <c r="I337" s="17">
        <v>1.8</v>
      </c>
      <c r="J337" s="17">
        <v>0.2</v>
      </c>
      <c r="K337" s="22" t="s">
        <v>100</v>
      </c>
      <c r="L337" s="17">
        <v>70.599999999999994</v>
      </c>
      <c r="M337" s="19">
        <v>8.08</v>
      </c>
      <c r="N337" s="19">
        <v>20.98</v>
      </c>
      <c r="O337" s="19">
        <v>37.409999999999997</v>
      </c>
      <c r="P337" s="19">
        <v>0</v>
      </c>
      <c r="Q337" s="17">
        <v>221</v>
      </c>
      <c r="R337" s="27">
        <v>16.7</v>
      </c>
      <c r="S337" s="27">
        <v>0</v>
      </c>
      <c r="T337" s="27">
        <v>0.2</v>
      </c>
      <c r="U337" s="27">
        <v>3.4</v>
      </c>
      <c r="V337" s="27">
        <v>170.2</v>
      </c>
      <c r="W337" s="27">
        <v>0</v>
      </c>
      <c r="X337" s="27">
        <v>0</v>
      </c>
      <c r="Y337" s="27">
        <v>0</v>
      </c>
      <c r="Z337" s="27">
        <v>0</v>
      </c>
      <c r="AA337" s="27">
        <v>0.2</v>
      </c>
      <c r="AB337" s="27">
        <v>0.1</v>
      </c>
      <c r="AC337" s="27">
        <v>5.2</v>
      </c>
      <c r="AD337" s="17">
        <v>827</v>
      </c>
      <c r="AE337" s="27">
        <v>20.9</v>
      </c>
      <c r="AF337" s="27">
        <v>8.4</v>
      </c>
      <c r="AG337" s="27">
        <v>21.9</v>
      </c>
      <c r="AH337" s="27">
        <v>1</v>
      </c>
      <c r="AI337" s="27">
        <v>0.2</v>
      </c>
      <c r="AJ337" s="27">
        <v>0.2</v>
      </c>
      <c r="AK337" s="27">
        <v>0</v>
      </c>
      <c r="AL337" s="27">
        <v>2.4</v>
      </c>
      <c r="AM337" s="27">
        <v>0</v>
      </c>
    </row>
    <row r="338" spans="1:39" x14ac:dyDescent="0.25">
      <c r="A338" s="10">
        <v>337</v>
      </c>
      <c r="B338" s="9" t="s">
        <v>443</v>
      </c>
      <c r="C338" s="9" t="s">
        <v>444</v>
      </c>
      <c r="D338" s="10">
        <v>3</v>
      </c>
      <c r="E338" s="11">
        <v>27</v>
      </c>
      <c r="F338" s="17">
        <v>83.8</v>
      </c>
      <c r="G338" s="17">
        <v>4.5999999999999996</v>
      </c>
      <c r="H338" s="17">
        <v>4.4000000000000004</v>
      </c>
      <c r="I338" s="17">
        <v>2</v>
      </c>
      <c r="J338" s="27">
        <v>2</v>
      </c>
      <c r="K338" s="17">
        <v>5</v>
      </c>
      <c r="L338" s="17">
        <v>0.2</v>
      </c>
      <c r="M338" s="28">
        <v>0.03</v>
      </c>
      <c r="N338" s="28">
        <v>0.04</v>
      </c>
      <c r="O338" s="28">
        <v>7.0000000000000007E-2</v>
      </c>
      <c r="P338" s="28">
        <v>0</v>
      </c>
      <c r="Q338" s="27">
        <v>0</v>
      </c>
      <c r="R338" s="27">
        <v>675.4</v>
      </c>
      <c r="S338" s="27">
        <v>66.2</v>
      </c>
      <c r="T338" s="27">
        <v>0</v>
      </c>
      <c r="U338" s="27">
        <v>4.2</v>
      </c>
      <c r="V338" s="27">
        <v>1831.9</v>
      </c>
      <c r="W338" s="27">
        <v>0.1</v>
      </c>
      <c r="X338" s="27">
        <v>0.2</v>
      </c>
      <c r="Y338" s="27">
        <v>0.9</v>
      </c>
      <c r="Z338" s="27">
        <v>0.2</v>
      </c>
      <c r="AA338" s="27">
        <v>0.4</v>
      </c>
      <c r="AB338" s="27">
        <v>0</v>
      </c>
      <c r="AC338" s="27">
        <v>30.9</v>
      </c>
      <c r="AD338" s="27">
        <v>470.1</v>
      </c>
      <c r="AE338" s="27">
        <v>836.5</v>
      </c>
      <c r="AF338" s="27">
        <v>112.6</v>
      </c>
      <c r="AG338" s="27">
        <v>101.5</v>
      </c>
      <c r="AH338" s="27">
        <v>178.8</v>
      </c>
      <c r="AI338" s="27">
        <v>4</v>
      </c>
      <c r="AJ338" s="27">
        <v>0.8</v>
      </c>
      <c r="AK338" s="27">
        <v>0.4</v>
      </c>
      <c r="AL338" s="27">
        <v>2</v>
      </c>
      <c r="AM338" s="27">
        <v>0</v>
      </c>
    </row>
    <row r="339" spans="1:39" x14ac:dyDescent="0.25">
      <c r="A339" s="10">
        <v>338</v>
      </c>
      <c r="B339" s="9" t="s">
        <v>443</v>
      </c>
      <c r="C339" s="9" t="s">
        <v>445</v>
      </c>
      <c r="D339" s="10">
        <v>1</v>
      </c>
      <c r="E339" s="11">
        <v>20</v>
      </c>
      <c r="F339" s="17">
        <v>92.7</v>
      </c>
      <c r="G339" s="17">
        <v>1.3</v>
      </c>
      <c r="H339" s="17">
        <v>1.9</v>
      </c>
      <c r="I339" s="17">
        <v>2</v>
      </c>
      <c r="J339" s="17">
        <v>1.1000000000000001</v>
      </c>
      <c r="K339" s="17">
        <v>2.1</v>
      </c>
      <c r="L339" s="17">
        <v>0.1</v>
      </c>
      <c r="M339" s="19">
        <v>0.01</v>
      </c>
      <c r="N339" s="19">
        <v>0.02</v>
      </c>
      <c r="O339" s="19">
        <v>0.03</v>
      </c>
      <c r="P339" s="28">
        <v>0</v>
      </c>
      <c r="Q339" s="17">
        <v>0</v>
      </c>
      <c r="R339" s="17">
        <v>306</v>
      </c>
      <c r="S339" s="17">
        <v>18</v>
      </c>
      <c r="T339" s="17">
        <v>0</v>
      </c>
      <c r="U339" s="17">
        <v>1.9</v>
      </c>
      <c r="V339" s="17">
        <v>327.3</v>
      </c>
      <c r="W339" s="17">
        <v>0</v>
      </c>
      <c r="X339" s="17">
        <v>0.1</v>
      </c>
      <c r="Y339" s="17">
        <v>0.4</v>
      </c>
      <c r="Z339" s="17">
        <v>0.1</v>
      </c>
      <c r="AA339" s="17">
        <v>0.2</v>
      </c>
      <c r="AB339" s="17">
        <v>0</v>
      </c>
      <c r="AC339" s="17">
        <v>9</v>
      </c>
      <c r="AD339" s="17">
        <v>179</v>
      </c>
      <c r="AE339" s="17">
        <v>549</v>
      </c>
      <c r="AF339" s="17">
        <v>58</v>
      </c>
      <c r="AG339" s="17">
        <v>33</v>
      </c>
      <c r="AH339" s="17">
        <v>86</v>
      </c>
      <c r="AI339" s="17">
        <v>2.2999999999999998</v>
      </c>
      <c r="AJ339" s="17">
        <v>0.3</v>
      </c>
      <c r="AK339" s="17">
        <v>0.2</v>
      </c>
      <c r="AL339" s="17">
        <v>0.9</v>
      </c>
      <c r="AM339" s="27">
        <v>0</v>
      </c>
    </row>
    <row r="340" spans="1:39" x14ac:dyDescent="0.25">
      <c r="A340" s="10">
        <v>339</v>
      </c>
      <c r="B340" s="9" t="s">
        <v>443</v>
      </c>
      <c r="C340" s="9" t="s">
        <v>446</v>
      </c>
      <c r="D340" s="10">
        <v>1</v>
      </c>
      <c r="E340" s="11">
        <v>19</v>
      </c>
      <c r="F340" s="17">
        <v>92.7</v>
      </c>
      <c r="G340" s="17">
        <v>1.6</v>
      </c>
      <c r="H340" s="17">
        <v>1.8</v>
      </c>
      <c r="I340" s="17">
        <v>2.1</v>
      </c>
      <c r="J340" s="17">
        <v>1.1000000000000001</v>
      </c>
      <c r="K340" s="17">
        <v>1.6</v>
      </c>
      <c r="L340" s="17">
        <v>0.2</v>
      </c>
      <c r="M340" s="19">
        <v>0.03</v>
      </c>
      <c r="N340" s="19">
        <v>0.04</v>
      </c>
      <c r="O340" s="19">
        <v>7.0000000000000007E-2</v>
      </c>
      <c r="P340" s="28">
        <v>0</v>
      </c>
      <c r="Q340" s="17">
        <v>0</v>
      </c>
      <c r="R340" s="17">
        <v>306</v>
      </c>
      <c r="S340" s="17">
        <v>30</v>
      </c>
      <c r="T340" s="17">
        <v>0</v>
      </c>
      <c r="U340" s="17">
        <v>1.9</v>
      </c>
      <c r="V340" s="17">
        <v>830</v>
      </c>
      <c r="W340" s="17">
        <v>0</v>
      </c>
      <c r="X340" s="17">
        <v>0.1</v>
      </c>
      <c r="Y340" s="17">
        <v>0.4</v>
      </c>
      <c r="Z340" s="17">
        <v>0.1</v>
      </c>
      <c r="AA340" s="17">
        <v>0.2</v>
      </c>
      <c r="AB340" s="17">
        <v>0</v>
      </c>
      <c r="AC340" s="17">
        <v>14</v>
      </c>
      <c r="AD340" s="17">
        <v>213</v>
      </c>
      <c r="AE340" s="17">
        <v>379</v>
      </c>
      <c r="AF340" s="17">
        <v>51</v>
      </c>
      <c r="AG340" s="17">
        <v>46</v>
      </c>
      <c r="AH340" s="17">
        <v>81</v>
      </c>
      <c r="AI340" s="17">
        <v>1.8</v>
      </c>
      <c r="AJ340" s="17">
        <v>0.4</v>
      </c>
      <c r="AK340" s="17">
        <v>0.2</v>
      </c>
      <c r="AL340" s="17">
        <v>0.9</v>
      </c>
      <c r="AM340" s="27">
        <v>0</v>
      </c>
    </row>
    <row r="341" spans="1:39" x14ac:dyDescent="0.25">
      <c r="A341" s="10">
        <v>340</v>
      </c>
      <c r="B341" s="9" t="s">
        <v>443</v>
      </c>
      <c r="C341" s="9" t="s">
        <v>447</v>
      </c>
      <c r="D341" s="10">
        <v>1</v>
      </c>
      <c r="E341" s="11">
        <v>23</v>
      </c>
      <c r="F341" s="17">
        <v>92</v>
      </c>
      <c r="G341" s="17">
        <v>1.3</v>
      </c>
      <c r="H341" s="17">
        <v>1.7</v>
      </c>
      <c r="I341" s="17">
        <v>0.7</v>
      </c>
      <c r="J341" s="17">
        <v>0.7</v>
      </c>
      <c r="K341" s="17">
        <v>4</v>
      </c>
      <c r="L341" s="17">
        <v>0.3</v>
      </c>
      <c r="M341" s="19">
        <v>7.0000000000000007E-2</v>
      </c>
      <c r="N341" s="19">
        <v>0.01</v>
      </c>
      <c r="O341" s="19">
        <v>0.13</v>
      </c>
      <c r="P341" s="28">
        <v>0</v>
      </c>
      <c r="Q341" s="17">
        <v>0</v>
      </c>
      <c r="R341" s="17">
        <v>286</v>
      </c>
      <c r="S341" s="17">
        <v>24</v>
      </c>
      <c r="T341" s="17">
        <v>0</v>
      </c>
      <c r="U341" s="17">
        <v>2.2999999999999998</v>
      </c>
      <c r="V341" s="17">
        <v>297.60000000000002</v>
      </c>
      <c r="W341" s="17">
        <v>0.1</v>
      </c>
      <c r="X341" s="17">
        <v>0.1</v>
      </c>
      <c r="Y341" s="17">
        <v>0.5</v>
      </c>
      <c r="Z341" s="17">
        <v>0.1</v>
      </c>
      <c r="AA341" s="17">
        <v>1.2</v>
      </c>
      <c r="AB341" s="17">
        <v>0</v>
      </c>
      <c r="AC341" s="17">
        <v>110</v>
      </c>
      <c r="AD341" s="17">
        <v>45</v>
      </c>
      <c r="AE341" s="17">
        <v>420</v>
      </c>
      <c r="AF341" s="17">
        <v>100</v>
      </c>
      <c r="AG341" s="17">
        <v>47</v>
      </c>
      <c r="AH341" s="17">
        <v>30</v>
      </c>
      <c r="AI341" s="17">
        <v>0.9</v>
      </c>
      <c r="AJ341" s="17">
        <v>0.4</v>
      </c>
      <c r="AK341" s="17">
        <v>0.3</v>
      </c>
      <c r="AL341" s="17">
        <v>0.3</v>
      </c>
      <c r="AM341" s="27">
        <v>0</v>
      </c>
    </row>
    <row r="342" spans="1:39" x14ac:dyDescent="0.25">
      <c r="A342" s="10">
        <v>341</v>
      </c>
      <c r="B342" s="9" t="s">
        <v>443</v>
      </c>
      <c r="C342" s="9" t="s">
        <v>448</v>
      </c>
      <c r="D342" s="10">
        <v>1</v>
      </c>
      <c r="E342" s="11">
        <v>149</v>
      </c>
      <c r="F342" s="17">
        <v>58.6</v>
      </c>
      <c r="G342" s="17">
        <v>1.5</v>
      </c>
      <c r="H342" s="17">
        <v>6.4</v>
      </c>
      <c r="I342" s="17">
        <v>31</v>
      </c>
      <c r="J342" s="17">
        <v>1</v>
      </c>
      <c r="K342" s="17">
        <v>2.1</v>
      </c>
      <c r="L342" s="17">
        <v>0.5</v>
      </c>
      <c r="M342" s="19">
        <v>0.09</v>
      </c>
      <c r="N342" s="19">
        <v>0.01</v>
      </c>
      <c r="O342" s="19">
        <v>0.25</v>
      </c>
      <c r="P342" s="28">
        <v>0</v>
      </c>
      <c r="Q342" s="17">
        <v>0</v>
      </c>
      <c r="R342" s="17">
        <v>0</v>
      </c>
      <c r="S342" s="17">
        <v>31.2</v>
      </c>
      <c r="T342" s="17">
        <v>0</v>
      </c>
      <c r="U342" s="17">
        <v>0.1</v>
      </c>
      <c r="V342" s="17">
        <v>1.7</v>
      </c>
      <c r="W342" s="17">
        <v>0.2</v>
      </c>
      <c r="X342" s="17">
        <v>0.1</v>
      </c>
      <c r="Y342" s="17">
        <v>0.7</v>
      </c>
      <c r="Z342" s="17">
        <v>1.2</v>
      </c>
      <c r="AA342" s="17">
        <v>0.6</v>
      </c>
      <c r="AB342" s="17">
        <v>0</v>
      </c>
      <c r="AC342" s="17">
        <v>3</v>
      </c>
      <c r="AD342" s="17">
        <v>17</v>
      </c>
      <c r="AE342" s="17">
        <v>401</v>
      </c>
      <c r="AF342" s="17">
        <v>181</v>
      </c>
      <c r="AG342" s="17">
        <v>153</v>
      </c>
      <c r="AH342" s="17">
        <v>25</v>
      </c>
      <c r="AI342" s="17">
        <v>1.7</v>
      </c>
      <c r="AJ342" s="17">
        <v>1.2</v>
      </c>
      <c r="AK342" s="17">
        <v>0.3</v>
      </c>
      <c r="AL342" s="17">
        <v>14.2</v>
      </c>
      <c r="AM342" s="27">
        <v>0</v>
      </c>
    </row>
    <row r="343" spans="1:39" x14ac:dyDescent="0.25">
      <c r="A343" s="10">
        <v>342</v>
      </c>
      <c r="B343" s="9" t="s">
        <v>443</v>
      </c>
      <c r="C343" s="9" t="s">
        <v>449</v>
      </c>
      <c r="D343" s="10">
        <v>1</v>
      </c>
      <c r="E343" s="11">
        <v>53</v>
      </c>
      <c r="F343" s="17">
        <v>84.1</v>
      </c>
      <c r="G343" s="17">
        <v>0.7</v>
      </c>
      <c r="H343" s="17">
        <v>2.9</v>
      </c>
      <c r="I343" s="17">
        <v>6.3</v>
      </c>
      <c r="J343" s="17">
        <v>1</v>
      </c>
      <c r="K343" s="17">
        <v>5.7</v>
      </c>
      <c r="L343" s="17">
        <v>0.3</v>
      </c>
      <c r="M343" s="19">
        <v>0.08</v>
      </c>
      <c r="N343" s="19">
        <v>0.01</v>
      </c>
      <c r="O343" s="19">
        <v>0.15</v>
      </c>
      <c r="P343" s="28">
        <v>0</v>
      </c>
      <c r="Q343" s="17">
        <v>0</v>
      </c>
      <c r="R343" s="17">
        <v>1</v>
      </c>
      <c r="S343" s="17">
        <v>7.4</v>
      </c>
      <c r="T343" s="17">
        <v>0</v>
      </c>
      <c r="U343" s="17">
        <v>0.2</v>
      </c>
      <c r="V343" s="17">
        <v>14.8</v>
      </c>
      <c r="W343" s="17">
        <v>0.1</v>
      </c>
      <c r="X343" s="17">
        <v>0.1</v>
      </c>
      <c r="Y343" s="17">
        <v>1.1000000000000001</v>
      </c>
      <c r="Z343" s="17">
        <v>0.1</v>
      </c>
      <c r="AA343" s="17">
        <v>0.2</v>
      </c>
      <c r="AB343" s="17">
        <v>0</v>
      </c>
      <c r="AC343" s="17">
        <v>89</v>
      </c>
      <c r="AD343" s="17">
        <v>60</v>
      </c>
      <c r="AE343" s="17">
        <v>286</v>
      </c>
      <c r="AF343" s="17">
        <v>21</v>
      </c>
      <c r="AG343" s="17">
        <v>73</v>
      </c>
      <c r="AH343" s="17">
        <v>42</v>
      </c>
      <c r="AI343" s="17">
        <v>0.6</v>
      </c>
      <c r="AJ343" s="17">
        <v>0.4</v>
      </c>
      <c r="AK343" s="17">
        <v>0.1</v>
      </c>
      <c r="AL343" s="17">
        <v>0.2</v>
      </c>
      <c r="AM343" s="27">
        <v>0</v>
      </c>
    </row>
    <row r="344" spans="1:39" x14ac:dyDescent="0.25">
      <c r="A344" s="10">
        <v>343</v>
      </c>
      <c r="B344" s="9" t="s">
        <v>443</v>
      </c>
      <c r="C344" s="9" t="s">
        <v>450</v>
      </c>
      <c r="D344" s="10">
        <v>1</v>
      </c>
      <c r="E344" s="11">
        <v>23</v>
      </c>
      <c r="F344" s="17">
        <v>92.8</v>
      </c>
      <c r="G344" s="17">
        <v>0.4</v>
      </c>
      <c r="H344" s="17">
        <v>4</v>
      </c>
      <c r="I344" s="17">
        <v>0.2</v>
      </c>
      <c r="J344" s="17">
        <v>0.2</v>
      </c>
      <c r="K344" s="17">
        <v>1.9</v>
      </c>
      <c r="L344" s="17">
        <v>0.7</v>
      </c>
      <c r="M344" s="19">
        <v>7.0000000000000007E-2</v>
      </c>
      <c r="N344" s="19">
        <v>0.06</v>
      </c>
      <c r="O344" s="19">
        <v>0.41</v>
      </c>
      <c r="P344" s="28">
        <v>0</v>
      </c>
      <c r="Q344" s="17">
        <v>0</v>
      </c>
      <c r="R344" s="17">
        <v>8</v>
      </c>
      <c r="S344" s="17">
        <v>8.1999999999999993</v>
      </c>
      <c r="T344" s="17">
        <v>0</v>
      </c>
      <c r="U344" s="17">
        <v>0</v>
      </c>
      <c r="V344" s="17">
        <v>30.5</v>
      </c>
      <c r="W344" s="17">
        <v>0.1</v>
      </c>
      <c r="X344" s="17">
        <v>0.1</v>
      </c>
      <c r="Y344" s="17">
        <v>0.5</v>
      </c>
      <c r="Z344" s="17">
        <v>0</v>
      </c>
      <c r="AA344" s="17">
        <v>0.6</v>
      </c>
      <c r="AB344" s="17">
        <v>0</v>
      </c>
      <c r="AC344" s="17">
        <v>36</v>
      </c>
      <c r="AD344" s="17">
        <v>6</v>
      </c>
      <c r="AE344" s="17">
        <v>79</v>
      </c>
      <c r="AF344" s="17">
        <v>32</v>
      </c>
      <c r="AG344" s="17">
        <v>70</v>
      </c>
      <c r="AH344" s="17">
        <v>27</v>
      </c>
      <c r="AI344" s="17">
        <v>1</v>
      </c>
      <c r="AJ344" s="17">
        <v>0.9</v>
      </c>
      <c r="AK344" s="17">
        <v>0.2</v>
      </c>
      <c r="AL344" s="17">
        <v>0.6</v>
      </c>
      <c r="AM344" s="27">
        <v>0</v>
      </c>
    </row>
    <row r="345" spans="1:39" x14ac:dyDescent="0.25">
      <c r="A345" s="10">
        <v>344</v>
      </c>
      <c r="B345" s="9" t="s">
        <v>443</v>
      </c>
      <c r="C345" s="9" t="s">
        <v>451</v>
      </c>
      <c r="D345" s="10">
        <v>1</v>
      </c>
      <c r="E345" s="11">
        <v>16</v>
      </c>
      <c r="F345" s="17">
        <v>95.4</v>
      </c>
      <c r="G345" s="17">
        <v>0.8</v>
      </c>
      <c r="H345" s="17">
        <v>0.7</v>
      </c>
      <c r="I345" s="17">
        <v>1.4</v>
      </c>
      <c r="J345" s="17">
        <v>1.3</v>
      </c>
      <c r="K345" s="17">
        <v>1.6</v>
      </c>
      <c r="L345" s="17">
        <v>0.2</v>
      </c>
      <c r="M345" s="19">
        <v>0.04</v>
      </c>
      <c r="N345" s="19">
        <v>0.03</v>
      </c>
      <c r="O345" s="19">
        <v>0.08</v>
      </c>
      <c r="P345" s="28">
        <v>0</v>
      </c>
      <c r="Q345" s="17">
        <v>0</v>
      </c>
      <c r="R345" s="17">
        <v>22</v>
      </c>
      <c r="S345" s="17">
        <v>3.1</v>
      </c>
      <c r="T345" s="17">
        <v>0</v>
      </c>
      <c r="U345" s="17">
        <v>0.3</v>
      </c>
      <c r="V345" s="17">
        <v>29.3</v>
      </c>
      <c r="W345" s="17">
        <v>0</v>
      </c>
      <c r="X345" s="17">
        <v>0.1</v>
      </c>
      <c r="Y345" s="17">
        <v>0.3</v>
      </c>
      <c r="Z345" s="17">
        <v>0.1</v>
      </c>
      <c r="AA345" s="17">
        <v>0.2</v>
      </c>
      <c r="AB345" s="17">
        <v>0</v>
      </c>
      <c r="AC345" s="17">
        <v>36</v>
      </c>
      <c r="AD345" s="17">
        <v>80</v>
      </c>
      <c r="AE345" s="17">
        <v>260</v>
      </c>
      <c r="AF345" s="17">
        <v>40</v>
      </c>
      <c r="AG345" s="17">
        <v>24</v>
      </c>
      <c r="AH345" s="17">
        <v>11</v>
      </c>
      <c r="AI345" s="17">
        <v>0.2</v>
      </c>
      <c r="AJ345" s="17">
        <v>0.1</v>
      </c>
      <c r="AK345" s="17">
        <v>0</v>
      </c>
      <c r="AL345" s="17">
        <v>0.4</v>
      </c>
      <c r="AM345" s="27">
        <v>0</v>
      </c>
    </row>
    <row r="346" spans="1:39" x14ac:dyDescent="0.25">
      <c r="A346" s="10">
        <v>345</v>
      </c>
      <c r="B346" s="9" t="s">
        <v>443</v>
      </c>
      <c r="C346" s="9" t="s">
        <v>452</v>
      </c>
      <c r="D346" s="10">
        <v>1</v>
      </c>
      <c r="E346" s="11">
        <v>35</v>
      </c>
      <c r="F346" s="17">
        <v>89.7</v>
      </c>
      <c r="G346" s="17">
        <v>0.5</v>
      </c>
      <c r="H346" s="17">
        <v>0.8</v>
      </c>
      <c r="I346" s="17">
        <v>6.2</v>
      </c>
      <c r="J346" s="17">
        <v>3.2</v>
      </c>
      <c r="K346" s="17">
        <v>2.5</v>
      </c>
      <c r="L346" s="17">
        <v>0.2</v>
      </c>
      <c r="M346" s="19">
        <v>0.04</v>
      </c>
      <c r="N346" s="19">
        <v>0.02</v>
      </c>
      <c r="O346" s="19">
        <v>0.09</v>
      </c>
      <c r="P346" s="28">
        <v>0</v>
      </c>
      <c r="Q346" s="17">
        <v>0</v>
      </c>
      <c r="R346" s="17">
        <v>2</v>
      </c>
      <c r="S346" s="17">
        <v>1.3</v>
      </c>
      <c r="T346" s="17">
        <v>0</v>
      </c>
      <c r="U346" s="17">
        <v>0.4</v>
      </c>
      <c r="V346" s="17">
        <v>2.9</v>
      </c>
      <c r="W346" s="17">
        <v>0.1</v>
      </c>
      <c r="X346" s="17">
        <v>0</v>
      </c>
      <c r="Y346" s="17">
        <v>0.6</v>
      </c>
      <c r="Z346" s="17">
        <v>0.1</v>
      </c>
      <c r="AA346" s="17">
        <v>0.1</v>
      </c>
      <c r="AB346" s="17">
        <v>0</v>
      </c>
      <c r="AC346" s="17">
        <v>14</v>
      </c>
      <c r="AD346" s="17">
        <v>1</v>
      </c>
      <c r="AE346" s="17">
        <v>123</v>
      </c>
      <c r="AF346" s="17">
        <v>6</v>
      </c>
      <c r="AG346" s="17">
        <v>15</v>
      </c>
      <c r="AH346" s="17">
        <v>11</v>
      </c>
      <c r="AI346" s="17">
        <v>0.3</v>
      </c>
      <c r="AJ346" s="17">
        <v>0.1</v>
      </c>
      <c r="AK346" s="17">
        <v>0.1</v>
      </c>
      <c r="AL346" s="17">
        <v>0.1</v>
      </c>
      <c r="AM346" s="27">
        <v>0</v>
      </c>
    </row>
    <row r="347" spans="1:39" x14ac:dyDescent="0.25">
      <c r="A347" s="10">
        <v>346</v>
      </c>
      <c r="B347" s="9" t="s">
        <v>443</v>
      </c>
      <c r="C347" s="9" t="s">
        <v>453</v>
      </c>
      <c r="D347" s="10">
        <v>1</v>
      </c>
      <c r="E347" s="11">
        <v>11</v>
      </c>
      <c r="F347" s="17">
        <v>95.1</v>
      </c>
      <c r="G347" s="17">
        <v>1.2</v>
      </c>
      <c r="H347" s="17">
        <v>2.2999999999999998</v>
      </c>
      <c r="I347" s="17">
        <v>0.8</v>
      </c>
      <c r="J347" s="17">
        <v>0.2</v>
      </c>
      <c r="K347" s="17">
        <v>0.5</v>
      </c>
      <c r="L347" s="17">
        <v>0.1</v>
      </c>
      <c r="M347" s="19">
        <v>0.03</v>
      </c>
      <c r="N347" s="19">
        <v>0.01</v>
      </c>
      <c r="O347" s="19">
        <v>0.04</v>
      </c>
      <c r="P347" s="28">
        <v>0</v>
      </c>
      <c r="Q347" s="17">
        <v>0</v>
      </c>
      <c r="R347" s="17">
        <v>160</v>
      </c>
      <c r="S347" s="17">
        <v>43</v>
      </c>
      <c r="T347" s="17">
        <v>0</v>
      </c>
      <c r="U347" s="17">
        <v>1</v>
      </c>
      <c r="V347" s="17">
        <v>250</v>
      </c>
      <c r="W347" s="17">
        <v>0.1</v>
      </c>
      <c r="X347" s="17">
        <v>0.1</v>
      </c>
      <c r="Y347" s="17">
        <v>0.2</v>
      </c>
      <c r="Z347" s="17">
        <v>0.1</v>
      </c>
      <c r="AA347" s="17">
        <v>0.3</v>
      </c>
      <c r="AB347" s="17">
        <v>0</v>
      </c>
      <c r="AC347" s="17">
        <v>9</v>
      </c>
      <c r="AD347" s="17">
        <v>41</v>
      </c>
      <c r="AE347" s="17">
        <v>330</v>
      </c>
      <c r="AF347" s="17">
        <v>120</v>
      </c>
      <c r="AG347" s="17">
        <v>60</v>
      </c>
      <c r="AH347" s="17">
        <v>21</v>
      </c>
      <c r="AI347" s="17">
        <v>0.2</v>
      </c>
      <c r="AJ347" s="17">
        <v>0.1</v>
      </c>
      <c r="AK347" s="17">
        <v>0.1</v>
      </c>
      <c r="AL347" s="17">
        <v>0.9</v>
      </c>
      <c r="AM347" s="27">
        <v>0</v>
      </c>
    </row>
    <row r="348" spans="1:39" x14ac:dyDescent="0.25">
      <c r="A348" s="10">
        <v>347</v>
      </c>
      <c r="B348" s="9" t="s">
        <v>443</v>
      </c>
      <c r="C348" s="9" t="s">
        <v>454</v>
      </c>
      <c r="D348" s="10">
        <v>1</v>
      </c>
      <c r="E348" s="11">
        <v>43</v>
      </c>
      <c r="F348" s="17">
        <v>87.6</v>
      </c>
      <c r="G348" s="17">
        <v>1.1000000000000001</v>
      </c>
      <c r="H348" s="17">
        <v>1.6</v>
      </c>
      <c r="I348" s="17">
        <v>6.8</v>
      </c>
      <c r="J348" s="17">
        <v>6.8</v>
      </c>
      <c r="K348" s="17">
        <v>2.8</v>
      </c>
      <c r="L348" s="17">
        <v>0.2</v>
      </c>
      <c r="M348" s="19">
        <v>0.03</v>
      </c>
      <c r="N348" s="19">
        <v>0.03</v>
      </c>
      <c r="O348" s="19">
        <v>0.06</v>
      </c>
      <c r="P348" s="28">
        <v>0</v>
      </c>
      <c r="Q348" s="17">
        <v>0</v>
      </c>
      <c r="R348" s="17">
        <v>2</v>
      </c>
      <c r="S348" s="17">
        <v>4.9000000000000004</v>
      </c>
      <c r="T348" s="17">
        <v>0</v>
      </c>
      <c r="U348" s="17">
        <v>0</v>
      </c>
      <c r="V348" s="17">
        <v>0.2</v>
      </c>
      <c r="W348" s="17">
        <v>0</v>
      </c>
      <c r="X348" s="17">
        <v>0</v>
      </c>
      <c r="Y348" s="17">
        <v>0.3</v>
      </c>
      <c r="Z348" s="17">
        <v>0.1</v>
      </c>
      <c r="AA348" s="17">
        <v>0.2</v>
      </c>
      <c r="AB348" s="17">
        <v>0</v>
      </c>
      <c r="AC348" s="17">
        <v>109</v>
      </c>
      <c r="AD348" s="17">
        <v>78</v>
      </c>
      <c r="AE348" s="17">
        <v>325</v>
      </c>
      <c r="AF348" s="17">
        <v>16</v>
      </c>
      <c r="AG348" s="17">
        <v>40</v>
      </c>
      <c r="AH348" s="17">
        <v>23</v>
      </c>
      <c r="AI348" s="17">
        <v>0.8</v>
      </c>
      <c r="AJ348" s="17">
        <v>0.4</v>
      </c>
      <c r="AK348" s="17">
        <v>0.1</v>
      </c>
      <c r="AL348" s="17">
        <v>0.7</v>
      </c>
      <c r="AM348" s="27">
        <v>0</v>
      </c>
    </row>
    <row r="349" spans="1:39" x14ac:dyDescent="0.25">
      <c r="A349" s="10">
        <v>348</v>
      </c>
      <c r="B349" s="9" t="s">
        <v>443</v>
      </c>
      <c r="C349" s="9" t="s">
        <v>455</v>
      </c>
      <c r="D349" s="10">
        <v>1</v>
      </c>
      <c r="E349" s="11">
        <v>28</v>
      </c>
      <c r="F349" s="17">
        <v>90.7</v>
      </c>
      <c r="G349" s="17">
        <v>0.7</v>
      </c>
      <c r="H349" s="17">
        <v>3.1</v>
      </c>
      <c r="I349" s="17">
        <v>2.4</v>
      </c>
      <c r="J349" s="17">
        <v>1.5</v>
      </c>
      <c r="K349" s="17">
        <v>3</v>
      </c>
      <c r="L349" s="17">
        <v>0.1</v>
      </c>
      <c r="M349" s="19">
        <v>0.02</v>
      </c>
      <c r="N349" s="19">
        <v>0.01</v>
      </c>
      <c r="O349" s="19">
        <v>0.06</v>
      </c>
      <c r="P349" s="28">
        <v>0</v>
      </c>
      <c r="Q349" s="17">
        <v>0</v>
      </c>
      <c r="R349" s="17">
        <v>51</v>
      </c>
      <c r="S349" s="17">
        <v>40.1</v>
      </c>
      <c r="T349" s="17">
        <v>0</v>
      </c>
      <c r="U349" s="17">
        <v>1.3</v>
      </c>
      <c r="V349" s="17">
        <v>88.1</v>
      </c>
      <c r="W349" s="17">
        <v>0.1</v>
      </c>
      <c r="X349" s="17">
        <v>0.1</v>
      </c>
      <c r="Y349" s="17">
        <v>0.5</v>
      </c>
      <c r="Z349" s="17">
        <v>0.1</v>
      </c>
      <c r="AA349" s="17">
        <v>0.3</v>
      </c>
      <c r="AB349" s="17">
        <v>0</v>
      </c>
      <c r="AC349" s="17">
        <v>30</v>
      </c>
      <c r="AD349" s="17">
        <v>24</v>
      </c>
      <c r="AE349" s="17">
        <v>180</v>
      </c>
      <c r="AF349" s="17">
        <v>51</v>
      </c>
      <c r="AG349" s="17">
        <v>55</v>
      </c>
      <c r="AH349" s="17">
        <v>20</v>
      </c>
      <c r="AI349" s="17">
        <v>0.6</v>
      </c>
      <c r="AJ349" s="17">
        <v>0.3</v>
      </c>
      <c r="AK349" s="17">
        <v>0</v>
      </c>
      <c r="AL349" s="17">
        <v>1.9</v>
      </c>
      <c r="AM349" s="27">
        <v>0</v>
      </c>
    </row>
    <row r="350" spans="1:39" x14ac:dyDescent="0.25">
      <c r="A350" s="10">
        <v>349</v>
      </c>
      <c r="B350" s="9" t="s">
        <v>443</v>
      </c>
      <c r="C350" s="9" t="s">
        <v>456</v>
      </c>
      <c r="D350" s="10">
        <v>1</v>
      </c>
      <c r="E350" s="11">
        <v>40</v>
      </c>
      <c r="F350" s="17">
        <v>89.1</v>
      </c>
      <c r="G350" s="17">
        <v>0.4</v>
      </c>
      <c r="H350" s="17">
        <v>1.1000000000000001</v>
      </c>
      <c r="I350" s="17">
        <v>7.6</v>
      </c>
      <c r="J350" s="17">
        <v>4.2</v>
      </c>
      <c r="K350" s="17">
        <v>1.7</v>
      </c>
      <c r="L350" s="17">
        <v>0.1</v>
      </c>
      <c r="M350" s="19">
        <v>0.04</v>
      </c>
      <c r="N350" s="19">
        <v>0.01</v>
      </c>
      <c r="O350" s="19">
        <v>0.02</v>
      </c>
      <c r="P350" s="28">
        <v>0</v>
      </c>
      <c r="Q350" s="17">
        <v>0</v>
      </c>
      <c r="R350" s="17">
        <v>0</v>
      </c>
      <c r="S350" s="17">
        <v>7.4</v>
      </c>
      <c r="T350" s="17">
        <v>0</v>
      </c>
      <c r="U350" s="17">
        <v>0</v>
      </c>
      <c r="V350" s="17">
        <v>0.4</v>
      </c>
      <c r="W350" s="17">
        <v>0</v>
      </c>
      <c r="X350" s="17">
        <v>0</v>
      </c>
      <c r="Y350" s="17">
        <v>0.1</v>
      </c>
      <c r="Z350" s="17">
        <v>0.1</v>
      </c>
      <c r="AA350" s="17">
        <v>0.1</v>
      </c>
      <c r="AB350" s="17">
        <v>0</v>
      </c>
      <c r="AC350" s="17">
        <v>19</v>
      </c>
      <c r="AD350" s="17">
        <v>4</v>
      </c>
      <c r="AE350" s="17">
        <v>146</v>
      </c>
      <c r="AF350" s="17">
        <v>23</v>
      </c>
      <c r="AG350" s="17">
        <v>29</v>
      </c>
      <c r="AH350" s="17">
        <v>10</v>
      </c>
      <c r="AI350" s="17">
        <v>0.2</v>
      </c>
      <c r="AJ350" s="17">
        <v>0.2</v>
      </c>
      <c r="AK350" s="17">
        <v>0</v>
      </c>
      <c r="AL350" s="17">
        <v>0.5</v>
      </c>
      <c r="AM350" s="27">
        <v>0</v>
      </c>
    </row>
    <row r="351" spans="1:39" x14ac:dyDescent="0.25">
      <c r="A351" s="10">
        <v>350</v>
      </c>
      <c r="B351" s="9" t="s">
        <v>443</v>
      </c>
      <c r="C351" s="9" t="s">
        <v>457</v>
      </c>
      <c r="D351" s="10">
        <v>1</v>
      </c>
      <c r="E351" s="11">
        <v>32</v>
      </c>
      <c r="F351" s="17">
        <v>89.8</v>
      </c>
      <c r="G351" s="17">
        <v>0.8</v>
      </c>
      <c r="H351" s="17">
        <v>1.8</v>
      </c>
      <c r="I351" s="17">
        <v>4.7</v>
      </c>
      <c r="J351" s="17">
        <v>2.2999999999999998</v>
      </c>
      <c r="K351" s="17">
        <v>2.6</v>
      </c>
      <c r="L351" s="17">
        <v>0.2</v>
      </c>
      <c r="M351" s="19">
        <v>0.03</v>
      </c>
      <c r="N351" s="19">
        <v>0.03</v>
      </c>
      <c r="O351" s="19">
        <v>7.0000000000000007E-2</v>
      </c>
      <c r="P351" s="28">
        <v>0</v>
      </c>
      <c r="Q351" s="17">
        <v>0</v>
      </c>
      <c r="R351" s="17">
        <v>50</v>
      </c>
      <c r="S351" s="17">
        <v>18.8</v>
      </c>
      <c r="T351" s="17">
        <v>0</v>
      </c>
      <c r="U351" s="17">
        <v>0.6</v>
      </c>
      <c r="V351" s="17">
        <v>207</v>
      </c>
      <c r="W351" s="17">
        <v>0.1</v>
      </c>
      <c r="X351" s="17">
        <v>0.1</v>
      </c>
      <c r="Y351" s="17">
        <v>0.5</v>
      </c>
      <c r="Z351" s="17">
        <v>0.1</v>
      </c>
      <c r="AA351" s="17">
        <v>0.1</v>
      </c>
      <c r="AB351" s="17">
        <v>0</v>
      </c>
      <c r="AC351" s="17">
        <v>64</v>
      </c>
      <c r="AD351" s="17">
        <v>16</v>
      </c>
      <c r="AE351" s="17">
        <v>276</v>
      </c>
      <c r="AF351" s="17">
        <v>72</v>
      </c>
      <c r="AG351" s="17">
        <v>37</v>
      </c>
      <c r="AH351" s="17">
        <v>20</v>
      </c>
      <c r="AI351" s="17">
        <v>1.5</v>
      </c>
      <c r="AJ351" s="17">
        <v>0.4</v>
      </c>
      <c r="AK351" s="17">
        <v>0.1</v>
      </c>
      <c r="AL351" s="17">
        <v>0.6</v>
      </c>
      <c r="AM351" s="27">
        <v>0</v>
      </c>
    </row>
    <row r="352" spans="1:39" x14ac:dyDescent="0.25">
      <c r="A352" s="10">
        <v>351</v>
      </c>
      <c r="B352" s="9" t="s">
        <v>443</v>
      </c>
      <c r="C352" s="9" t="s">
        <v>458</v>
      </c>
      <c r="D352" s="10">
        <v>1</v>
      </c>
      <c r="E352" s="11">
        <v>22</v>
      </c>
      <c r="F352" s="17">
        <v>92.5</v>
      </c>
      <c r="G352" s="17">
        <v>0.9</v>
      </c>
      <c r="H352" s="17">
        <v>3.1</v>
      </c>
      <c r="I352" s="17">
        <v>2.2999999999999998</v>
      </c>
      <c r="J352" s="17">
        <v>2</v>
      </c>
      <c r="K352" s="17">
        <v>1</v>
      </c>
      <c r="L352" s="17">
        <v>0.3</v>
      </c>
      <c r="M352" s="19">
        <v>0.05</v>
      </c>
      <c r="N352" s="19">
        <v>0</v>
      </c>
      <c r="O352" s="19">
        <v>0.16</v>
      </c>
      <c r="P352" s="28">
        <v>0</v>
      </c>
      <c r="Q352" s="17">
        <v>0</v>
      </c>
      <c r="R352" s="17">
        <v>0</v>
      </c>
      <c r="S352" s="17">
        <v>2.1</v>
      </c>
      <c r="T352" s="17">
        <v>0.2</v>
      </c>
      <c r="U352" s="17">
        <v>0</v>
      </c>
      <c r="V352" s="17">
        <v>0</v>
      </c>
      <c r="W352" s="17">
        <v>0.1</v>
      </c>
      <c r="X352" s="17">
        <v>0.4</v>
      </c>
      <c r="Y352" s="17">
        <v>3.6</v>
      </c>
      <c r="Z352" s="17">
        <v>0.1</v>
      </c>
      <c r="AA352" s="17">
        <v>1.5</v>
      </c>
      <c r="AB352" s="17">
        <v>0</v>
      </c>
      <c r="AC352" s="17">
        <v>17</v>
      </c>
      <c r="AD352" s="17">
        <v>5</v>
      </c>
      <c r="AE352" s="17">
        <v>318</v>
      </c>
      <c r="AF352" s="17">
        <v>3</v>
      </c>
      <c r="AG352" s="17">
        <v>86</v>
      </c>
      <c r="AH352" s="17">
        <v>9</v>
      </c>
      <c r="AI352" s="17">
        <v>0.5</v>
      </c>
      <c r="AJ352" s="17">
        <v>0.5</v>
      </c>
      <c r="AK352" s="17">
        <v>0.3</v>
      </c>
      <c r="AL352" s="17">
        <v>9.3000000000000007</v>
      </c>
      <c r="AM352" s="27">
        <v>0</v>
      </c>
    </row>
    <row r="353" spans="1:39" x14ac:dyDescent="0.25">
      <c r="A353" s="10">
        <v>352</v>
      </c>
      <c r="B353" s="9" t="s">
        <v>443</v>
      </c>
      <c r="C353" s="9" t="s">
        <v>459</v>
      </c>
      <c r="D353" s="10">
        <v>1</v>
      </c>
      <c r="E353" s="11">
        <v>28</v>
      </c>
      <c r="F353" s="17">
        <v>91.1</v>
      </c>
      <c r="G353" s="17">
        <v>1</v>
      </c>
      <c r="H353" s="17">
        <v>2.2000000000000002</v>
      </c>
      <c r="I353" s="17">
        <v>3.1</v>
      </c>
      <c r="J353" s="17">
        <v>2.2999999999999998</v>
      </c>
      <c r="K353" s="17">
        <v>2.2000000000000002</v>
      </c>
      <c r="L353" s="17">
        <v>0.5</v>
      </c>
      <c r="M353" s="19">
        <v>0.06</v>
      </c>
      <c r="N353" s="19">
        <v>0.01</v>
      </c>
      <c r="O353" s="19">
        <v>0.18</v>
      </c>
      <c r="P353" s="28">
        <v>0</v>
      </c>
      <c r="Q353" s="17">
        <v>0</v>
      </c>
      <c r="R353" s="17">
        <v>0</v>
      </c>
      <c r="S353" s="17">
        <v>4</v>
      </c>
      <c r="T353" s="17">
        <v>0.2</v>
      </c>
      <c r="U353" s="17">
        <v>0</v>
      </c>
      <c r="V353" s="17">
        <v>0</v>
      </c>
      <c r="W353" s="17">
        <v>0.1</v>
      </c>
      <c r="X353" s="17">
        <v>0.3</v>
      </c>
      <c r="Y353" s="17">
        <v>4.5</v>
      </c>
      <c r="Z353" s="17">
        <v>0.1</v>
      </c>
      <c r="AA353" s="17">
        <v>2.2000000000000002</v>
      </c>
      <c r="AB353" s="17">
        <v>0</v>
      </c>
      <c r="AC353" s="17">
        <v>18</v>
      </c>
      <c r="AD353" s="17">
        <v>238</v>
      </c>
      <c r="AE353" s="17">
        <v>356</v>
      </c>
      <c r="AF353" s="17">
        <v>6</v>
      </c>
      <c r="AG353" s="17">
        <v>87</v>
      </c>
      <c r="AH353" s="17">
        <v>12</v>
      </c>
      <c r="AI353" s="17">
        <v>1.7</v>
      </c>
      <c r="AJ353" s="17">
        <v>0.9</v>
      </c>
      <c r="AK353" s="17">
        <v>0.5</v>
      </c>
      <c r="AL353" s="17">
        <v>13.4</v>
      </c>
      <c r="AM353" s="27">
        <v>0</v>
      </c>
    </row>
    <row r="354" spans="1:39" x14ac:dyDescent="0.25">
      <c r="A354" s="10">
        <v>353</v>
      </c>
      <c r="B354" s="9" t="s">
        <v>443</v>
      </c>
      <c r="C354" s="9" t="s">
        <v>460</v>
      </c>
      <c r="D354" s="10">
        <v>1</v>
      </c>
      <c r="E354" s="11">
        <v>33</v>
      </c>
      <c r="F354" s="17">
        <v>89.2</v>
      </c>
      <c r="G354" s="17">
        <v>1</v>
      </c>
      <c r="H354" s="17">
        <v>3.3</v>
      </c>
      <c r="I354" s="17">
        <v>3.8</v>
      </c>
      <c r="J354" s="17">
        <v>1.1000000000000001</v>
      </c>
      <c r="K354" s="17">
        <v>2.2999999999999998</v>
      </c>
      <c r="L354" s="17">
        <v>0.4</v>
      </c>
      <c r="M354" s="19">
        <v>0.06</v>
      </c>
      <c r="N354" s="19">
        <v>0.03</v>
      </c>
      <c r="O354" s="19">
        <v>0.12</v>
      </c>
      <c r="P354" s="28">
        <v>0</v>
      </c>
      <c r="Q354" s="17">
        <v>0</v>
      </c>
      <c r="R354" s="17">
        <v>2</v>
      </c>
      <c r="S354" s="17">
        <v>0</v>
      </c>
      <c r="T354" s="17">
        <v>0.7</v>
      </c>
      <c r="U354" s="17">
        <v>0</v>
      </c>
      <c r="V354" s="17">
        <v>0</v>
      </c>
      <c r="W354" s="17">
        <v>0.1</v>
      </c>
      <c r="X354" s="17">
        <v>0.3</v>
      </c>
      <c r="Y354" s="17">
        <v>5</v>
      </c>
      <c r="Z354" s="17">
        <v>0.1</v>
      </c>
      <c r="AA354" s="17">
        <v>1.3</v>
      </c>
      <c r="AB354" s="17">
        <v>0</v>
      </c>
      <c r="AC354" s="17">
        <v>38</v>
      </c>
      <c r="AD354" s="17">
        <v>18</v>
      </c>
      <c r="AE354" s="17">
        <v>420</v>
      </c>
      <c r="AF354" s="17">
        <v>3</v>
      </c>
      <c r="AG354" s="17">
        <v>120</v>
      </c>
      <c r="AH354" s="17">
        <v>18</v>
      </c>
      <c r="AI354" s="17">
        <v>1.3</v>
      </c>
      <c r="AJ354" s="17">
        <v>0.8</v>
      </c>
      <c r="AK354" s="17">
        <v>0.2</v>
      </c>
      <c r="AL354" s="17">
        <v>2.6</v>
      </c>
      <c r="AM354" s="27">
        <v>0</v>
      </c>
    </row>
    <row r="355" spans="1:39" x14ac:dyDescent="0.25">
      <c r="A355" s="10">
        <v>354</v>
      </c>
      <c r="B355" s="9" t="s">
        <v>443</v>
      </c>
      <c r="C355" s="9" t="s">
        <v>461</v>
      </c>
      <c r="D355" s="10">
        <v>1</v>
      </c>
      <c r="E355" s="11">
        <v>22</v>
      </c>
      <c r="F355" s="17">
        <v>92.8</v>
      </c>
      <c r="G355" s="17">
        <v>0.9</v>
      </c>
      <c r="H355" s="17">
        <v>2.1</v>
      </c>
      <c r="I355" s="17">
        <v>2.6</v>
      </c>
      <c r="J355" s="17">
        <v>2.5</v>
      </c>
      <c r="K355" s="17">
        <v>1.3</v>
      </c>
      <c r="L355" s="17">
        <v>0.4</v>
      </c>
      <c r="M355" s="19">
        <v>0.06</v>
      </c>
      <c r="N355" s="19">
        <v>0.02</v>
      </c>
      <c r="O355" s="19">
        <v>0.12</v>
      </c>
      <c r="P355" s="28">
        <v>0</v>
      </c>
      <c r="Q355" s="17">
        <v>0</v>
      </c>
      <c r="R355" s="17">
        <v>0</v>
      </c>
      <c r="S355" s="17">
        <v>0</v>
      </c>
      <c r="T355" s="17">
        <v>0.3</v>
      </c>
      <c r="U355" s="17">
        <v>0</v>
      </c>
      <c r="V355" s="17">
        <v>0</v>
      </c>
      <c r="W355" s="17">
        <v>0.1</v>
      </c>
      <c r="X355" s="17">
        <v>0.1</v>
      </c>
      <c r="Y355" s="17">
        <v>4.5</v>
      </c>
      <c r="Z355" s="17">
        <v>0.1</v>
      </c>
      <c r="AA355" s="17">
        <v>1.1000000000000001</v>
      </c>
      <c r="AB355" s="17">
        <v>0.1</v>
      </c>
      <c r="AC355" s="17">
        <v>28</v>
      </c>
      <c r="AD355" s="17">
        <v>9</v>
      </c>
      <c r="AE355" s="17">
        <v>364</v>
      </c>
      <c r="AF355" s="17">
        <v>3</v>
      </c>
      <c r="AG355" s="17">
        <v>108</v>
      </c>
      <c r="AH355" s="22" t="s">
        <v>100</v>
      </c>
      <c r="AI355" s="17">
        <v>0.3</v>
      </c>
      <c r="AJ355" s="17">
        <v>0.5</v>
      </c>
      <c r="AK355" s="17">
        <v>0.3</v>
      </c>
      <c r="AL355" s="17">
        <v>18.600000000000001</v>
      </c>
      <c r="AM355" s="27">
        <v>0</v>
      </c>
    </row>
    <row r="356" spans="1:39" x14ac:dyDescent="0.25">
      <c r="A356" s="10">
        <v>355</v>
      </c>
      <c r="B356" s="9" t="s">
        <v>443</v>
      </c>
      <c r="C356" s="9" t="s">
        <v>462</v>
      </c>
      <c r="D356" s="10">
        <v>1</v>
      </c>
      <c r="E356" s="11">
        <v>34</v>
      </c>
      <c r="F356" s="17">
        <v>89.7</v>
      </c>
      <c r="G356" s="17">
        <v>0.7</v>
      </c>
      <c r="H356" s="17">
        <v>2.2000000000000002</v>
      </c>
      <c r="I356" s="17">
        <v>4.3</v>
      </c>
      <c r="J356" s="17">
        <v>2.4</v>
      </c>
      <c r="K356" s="17">
        <v>2.5</v>
      </c>
      <c r="L356" s="17">
        <v>0.5</v>
      </c>
      <c r="M356" s="22" t="s">
        <v>100</v>
      </c>
      <c r="N356" s="22" t="s">
        <v>100</v>
      </c>
      <c r="O356" s="22" t="s">
        <v>100</v>
      </c>
      <c r="P356" s="28">
        <v>0</v>
      </c>
      <c r="Q356" s="22" t="s">
        <v>100</v>
      </c>
      <c r="R356" s="22" t="s">
        <v>100</v>
      </c>
      <c r="S356" s="22" t="s">
        <v>100</v>
      </c>
      <c r="T356" s="17">
        <v>0.4</v>
      </c>
      <c r="U356" s="22" t="s">
        <v>100</v>
      </c>
      <c r="V356" s="22" t="s">
        <v>100</v>
      </c>
      <c r="W356" s="17">
        <v>0</v>
      </c>
      <c r="X356" s="17">
        <v>0.2</v>
      </c>
      <c r="Y356" s="17">
        <v>3.9</v>
      </c>
      <c r="Z356" s="17">
        <v>0.3</v>
      </c>
      <c r="AA356" s="17">
        <v>1.5</v>
      </c>
      <c r="AB356" s="22" t="s">
        <v>100</v>
      </c>
      <c r="AC356" s="17">
        <v>13</v>
      </c>
      <c r="AD356" s="17">
        <v>9</v>
      </c>
      <c r="AE356" s="17">
        <v>304</v>
      </c>
      <c r="AF356" s="17">
        <v>2</v>
      </c>
      <c r="AG356" s="17">
        <v>112</v>
      </c>
      <c r="AH356" s="17">
        <v>20</v>
      </c>
      <c r="AI356" s="17">
        <v>0.4</v>
      </c>
      <c r="AJ356" s="17">
        <v>1</v>
      </c>
      <c r="AK356" s="17">
        <v>0.1</v>
      </c>
      <c r="AL356" s="17">
        <v>5.7</v>
      </c>
      <c r="AM356" s="27">
        <v>0</v>
      </c>
    </row>
    <row r="357" spans="1:39" x14ac:dyDescent="0.25">
      <c r="A357" s="10">
        <v>356</v>
      </c>
      <c r="B357" s="9" t="s">
        <v>443</v>
      </c>
      <c r="C357" s="9" t="s">
        <v>463</v>
      </c>
      <c r="D357" s="10">
        <v>1</v>
      </c>
      <c r="E357" s="11">
        <v>56</v>
      </c>
      <c r="F357" s="17">
        <v>83.5</v>
      </c>
      <c r="G357" s="17">
        <v>0.4</v>
      </c>
      <c r="H357" s="17">
        <v>1.6</v>
      </c>
      <c r="I357" s="17">
        <v>12.3</v>
      </c>
      <c r="J357" s="17">
        <v>3.8</v>
      </c>
      <c r="K357" s="17">
        <v>2.1</v>
      </c>
      <c r="L357" s="17">
        <v>0.2</v>
      </c>
      <c r="M357" s="19">
        <v>0.05</v>
      </c>
      <c r="N357" s="19">
        <v>7.0000000000000007E-2</v>
      </c>
      <c r="O357" s="19">
        <v>0.03</v>
      </c>
      <c r="P357" s="28">
        <v>0</v>
      </c>
      <c r="Q357" s="17">
        <v>0</v>
      </c>
      <c r="R357" s="17">
        <v>0</v>
      </c>
      <c r="S357" s="17">
        <v>0.3</v>
      </c>
      <c r="T357" s="17">
        <v>0.7</v>
      </c>
      <c r="U357" s="17">
        <v>0</v>
      </c>
      <c r="V357" s="17">
        <v>0</v>
      </c>
      <c r="W357" s="17">
        <v>0</v>
      </c>
      <c r="X357" s="17">
        <v>0.2</v>
      </c>
      <c r="Y357" s="17">
        <v>1.5</v>
      </c>
      <c r="Z357" s="17">
        <v>0.2</v>
      </c>
      <c r="AA357" s="17">
        <v>3.6</v>
      </c>
      <c r="AB357" s="17">
        <v>0</v>
      </c>
      <c r="AC357" s="17">
        <v>21</v>
      </c>
      <c r="AD357" s="17">
        <v>240</v>
      </c>
      <c r="AE357" s="17">
        <v>117</v>
      </c>
      <c r="AF357" s="17">
        <v>3</v>
      </c>
      <c r="AG357" s="17">
        <v>29</v>
      </c>
      <c r="AH357" s="17">
        <v>14</v>
      </c>
      <c r="AI357" s="17">
        <v>0.4</v>
      </c>
      <c r="AJ357" s="17">
        <v>1.3</v>
      </c>
      <c r="AK357" s="17">
        <v>0.9</v>
      </c>
      <c r="AL357" s="17">
        <v>24.8</v>
      </c>
      <c r="AM357" s="27">
        <v>0</v>
      </c>
    </row>
    <row r="358" spans="1:39" x14ac:dyDescent="0.25">
      <c r="A358" s="10">
        <v>357</v>
      </c>
      <c r="B358" s="9" t="s">
        <v>443</v>
      </c>
      <c r="C358" s="9" t="s">
        <v>464</v>
      </c>
      <c r="D358" s="10">
        <v>1</v>
      </c>
      <c r="E358" s="11">
        <v>25</v>
      </c>
      <c r="F358" s="17">
        <v>91.1</v>
      </c>
      <c r="G358" s="17">
        <v>1.7</v>
      </c>
      <c r="H358" s="17">
        <v>1.9</v>
      </c>
      <c r="I358" s="17">
        <v>2.7</v>
      </c>
      <c r="J358" s="17">
        <v>2.2999999999999998</v>
      </c>
      <c r="K358" s="17">
        <v>2.4</v>
      </c>
      <c r="L358" s="17">
        <v>0.3</v>
      </c>
      <c r="M358" s="19">
        <v>0.04</v>
      </c>
      <c r="N358" s="19">
        <v>0.01</v>
      </c>
      <c r="O358" s="19">
        <v>0.11</v>
      </c>
      <c r="P358" s="28">
        <v>0</v>
      </c>
      <c r="Q358" s="17">
        <v>0</v>
      </c>
      <c r="R358" s="17">
        <v>0</v>
      </c>
      <c r="S358" s="17">
        <v>0</v>
      </c>
      <c r="T358" s="17">
        <v>0.2</v>
      </c>
      <c r="U358" s="17">
        <v>0</v>
      </c>
      <c r="V358" s="17">
        <v>0</v>
      </c>
      <c r="W358" s="17">
        <v>0.1</v>
      </c>
      <c r="X358" s="17">
        <v>0</v>
      </c>
      <c r="Y358" s="17">
        <v>1.6</v>
      </c>
      <c r="Z358" s="17">
        <v>0.1</v>
      </c>
      <c r="AA358" s="17">
        <v>0.8</v>
      </c>
      <c r="AB358" s="17">
        <v>0</v>
      </c>
      <c r="AC358" s="17">
        <v>12</v>
      </c>
      <c r="AD358" s="17">
        <v>425</v>
      </c>
      <c r="AE358" s="17">
        <v>129</v>
      </c>
      <c r="AF358" s="17">
        <v>11</v>
      </c>
      <c r="AG358" s="17">
        <v>66</v>
      </c>
      <c r="AH358" s="17">
        <v>15</v>
      </c>
      <c r="AI358" s="17">
        <v>0.8</v>
      </c>
      <c r="AJ358" s="17">
        <v>0.7</v>
      </c>
      <c r="AK358" s="17">
        <v>0.2</v>
      </c>
      <c r="AL358" s="17">
        <v>4.0999999999999996</v>
      </c>
      <c r="AM358" s="27">
        <v>0</v>
      </c>
    </row>
    <row r="359" spans="1:39" x14ac:dyDescent="0.25">
      <c r="A359" s="10">
        <v>358</v>
      </c>
      <c r="B359" s="9" t="s">
        <v>443</v>
      </c>
      <c r="C359" s="9" t="s">
        <v>465</v>
      </c>
      <c r="D359" s="10">
        <v>2</v>
      </c>
      <c r="E359" s="11">
        <v>56</v>
      </c>
      <c r="F359" s="17">
        <v>80.7</v>
      </c>
      <c r="G359" s="17">
        <v>4.3</v>
      </c>
      <c r="H359" s="17">
        <v>1.7</v>
      </c>
      <c r="I359" s="17">
        <v>6.2</v>
      </c>
      <c r="J359" s="27">
        <v>0.6</v>
      </c>
      <c r="K359" s="17">
        <v>6.9</v>
      </c>
      <c r="L359" s="17">
        <v>0.2</v>
      </c>
      <c r="M359" s="28">
        <v>0.09</v>
      </c>
      <c r="N359" s="28">
        <v>0.03</v>
      </c>
      <c r="O359" s="28">
        <v>0.02</v>
      </c>
      <c r="P359" s="28">
        <v>0</v>
      </c>
      <c r="Q359" s="27">
        <v>0</v>
      </c>
      <c r="R359" s="27">
        <v>6.3</v>
      </c>
      <c r="S359" s="27">
        <v>3.1</v>
      </c>
      <c r="T359" s="27">
        <v>0</v>
      </c>
      <c r="U359" s="27">
        <v>0.9</v>
      </c>
      <c r="V359" s="27">
        <v>69.2</v>
      </c>
      <c r="W359" s="27">
        <v>0.1</v>
      </c>
      <c r="X359" s="27">
        <v>0.2</v>
      </c>
      <c r="Y359" s="27">
        <v>0.5</v>
      </c>
      <c r="Z359" s="27">
        <v>0</v>
      </c>
      <c r="AA359" s="27">
        <v>0.7</v>
      </c>
      <c r="AB359" s="27">
        <v>0</v>
      </c>
      <c r="AC359" s="27">
        <v>188.6</v>
      </c>
      <c r="AD359" s="27">
        <v>244.1</v>
      </c>
      <c r="AE359" s="27">
        <v>93.3</v>
      </c>
      <c r="AF359" s="27">
        <v>176</v>
      </c>
      <c r="AG359" s="27">
        <v>44</v>
      </c>
      <c r="AH359" s="27">
        <v>126.8</v>
      </c>
      <c r="AI359" s="27">
        <v>3</v>
      </c>
      <c r="AJ359" s="27">
        <v>1.3</v>
      </c>
      <c r="AK359" s="27">
        <v>0.1</v>
      </c>
      <c r="AL359" s="27">
        <v>0.7</v>
      </c>
      <c r="AM359" s="27">
        <v>0</v>
      </c>
    </row>
    <row r="360" spans="1:39" x14ac:dyDescent="0.25">
      <c r="A360" s="10">
        <v>359</v>
      </c>
      <c r="B360" s="9" t="s">
        <v>443</v>
      </c>
      <c r="C360" s="9" t="s">
        <v>466</v>
      </c>
      <c r="D360" s="10">
        <v>1</v>
      </c>
      <c r="E360" s="11">
        <v>23</v>
      </c>
      <c r="F360" s="17">
        <v>93</v>
      </c>
      <c r="G360" s="17">
        <v>0.6</v>
      </c>
      <c r="H360" s="17">
        <v>1.8</v>
      </c>
      <c r="I360" s="17">
        <v>1.8</v>
      </c>
      <c r="J360" s="17">
        <v>2.1</v>
      </c>
      <c r="K360" s="17">
        <v>2.2999999999999998</v>
      </c>
      <c r="L360" s="17">
        <v>0.5</v>
      </c>
      <c r="M360" s="19">
        <v>7.0000000000000007E-2</v>
      </c>
      <c r="N360" s="19">
        <v>0.03</v>
      </c>
      <c r="O360" s="19">
        <v>0.22</v>
      </c>
      <c r="P360" s="28">
        <v>0</v>
      </c>
      <c r="Q360" s="17">
        <v>0</v>
      </c>
      <c r="R360" s="17">
        <v>1</v>
      </c>
      <c r="S360" s="17">
        <v>44.3</v>
      </c>
      <c r="T360" s="17">
        <v>0</v>
      </c>
      <c r="U360" s="17">
        <v>0.1</v>
      </c>
      <c r="V360" s="17">
        <v>13.8</v>
      </c>
      <c r="W360" s="17">
        <v>0</v>
      </c>
      <c r="X360" s="17">
        <v>0.1</v>
      </c>
      <c r="Y360" s="17">
        <v>0.4</v>
      </c>
      <c r="Z360" s="17">
        <v>0.2</v>
      </c>
      <c r="AA360" s="17">
        <v>0.5</v>
      </c>
      <c r="AB360" s="17">
        <v>0</v>
      </c>
      <c r="AC360" s="17">
        <v>44</v>
      </c>
      <c r="AD360" s="17">
        <v>15</v>
      </c>
      <c r="AE360" s="17">
        <v>142</v>
      </c>
      <c r="AF360" s="17">
        <v>16</v>
      </c>
      <c r="AG360" s="17">
        <v>32</v>
      </c>
      <c r="AH360" s="17">
        <v>9</v>
      </c>
      <c r="AI360" s="17">
        <v>0.3</v>
      </c>
      <c r="AJ360" s="17">
        <v>0.2</v>
      </c>
      <c r="AK360" s="17">
        <v>0</v>
      </c>
      <c r="AL360" s="17">
        <v>0.6</v>
      </c>
      <c r="AM360" s="27">
        <v>0</v>
      </c>
    </row>
    <row r="361" spans="1:39" x14ac:dyDescent="0.25">
      <c r="A361" s="10">
        <v>360</v>
      </c>
      <c r="B361" s="9" t="s">
        <v>443</v>
      </c>
      <c r="C361" s="9" t="s">
        <v>467</v>
      </c>
      <c r="D361" s="10">
        <v>1</v>
      </c>
      <c r="E361" s="11">
        <v>17</v>
      </c>
      <c r="F361" s="17">
        <v>93.8</v>
      </c>
      <c r="G361" s="17">
        <v>1.4</v>
      </c>
      <c r="H361" s="17">
        <v>1.3</v>
      </c>
      <c r="I361" s="17">
        <v>0.3</v>
      </c>
      <c r="J361" s="17">
        <v>0.3</v>
      </c>
      <c r="K361" s="17">
        <v>3.1</v>
      </c>
      <c r="L361" s="17">
        <v>0.2</v>
      </c>
      <c r="M361" s="19">
        <v>0.05</v>
      </c>
      <c r="N361" s="19">
        <v>0</v>
      </c>
      <c r="O361" s="19">
        <v>0.09</v>
      </c>
      <c r="P361" s="28">
        <v>0</v>
      </c>
      <c r="Q361" s="17">
        <v>0</v>
      </c>
      <c r="R361" s="17">
        <v>108</v>
      </c>
      <c r="S361" s="17">
        <v>6.5</v>
      </c>
      <c r="T361" s="17">
        <v>0</v>
      </c>
      <c r="U361" s="17">
        <v>0.4</v>
      </c>
      <c r="V361" s="17">
        <v>231</v>
      </c>
      <c r="W361" s="17">
        <v>0.1</v>
      </c>
      <c r="X361" s="17">
        <v>0.1</v>
      </c>
      <c r="Y361" s="17">
        <v>0.4</v>
      </c>
      <c r="Z361" s="17">
        <v>0</v>
      </c>
      <c r="AA361" s="17">
        <v>0.9</v>
      </c>
      <c r="AB361" s="17">
        <v>0</v>
      </c>
      <c r="AC361" s="17">
        <v>142</v>
      </c>
      <c r="AD361" s="17">
        <v>22</v>
      </c>
      <c r="AE361" s="17">
        <v>314</v>
      </c>
      <c r="AF361" s="17">
        <v>52</v>
      </c>
      <c r="AG361" s="17">
        <v>28</v>
      </c>
      <c r="AH361" s="17">
        <v>15</v>
      </c>
      <c r="AI361" s="17">
        <v>0.8</v>
      </c>
      <c r="AJ361" s="17">
        <v>0.8</v>
      </c>
      <c r="AK361" s="17">
        <v>0.1</v>
      </c>
      <c r="AL361" s="17">
        <v>0.2</v>
      </c>
      <c r="AM361" s="27">
        <v>0</v>
      </c>
    </row>
    <row r="362" spans="1:39" x14ac:dyDescent="0.25">
      <c r="A362" s="10">
        <v>361</v>
      </c>
      <c r="B362" s="9" t="s">
        <v>443</v>
      </c>
      <c r="C362" s="9" t="s">
        <v>468</v>
      </c>
      <c r="D362" s="10">
        <v>1</v>
      </c>
      <c r="E362" s="11">
        <v>22</v>
      </c>
      <c r="F362" s="17">
        <v>92.6</v>
      </c>
      <c r="G362" s="17">
        <v>0.6</v>
      </c>
      <c r="H362" s="17">
        <v>2.4</v>
      </c>
      <c r="I362" s="17">
        <v>2.1</v>
      </c>
      <c r="J362" s="17">
        <v>1.3</v>
      </c>
      <c r="K362" s="17">
        <v>2</v>
      </c>
      <c r="L362" s="17">
        <v>0.2</v>
      </c>
      <c r="M362" s="19">
        <v>0.05</v>
      </c>
      <c r="N362" s="19">
        <v>0</v>
      </c>
      <c r="O362" s="19">
        <v>0.11</v>
      </c>
      <c r="P362" s="28">
        <v>0</v>
      </c>
      <c r="Q362" s="17">
        <v>0</v>
      </c>
      <c r="R362" s="17">
        <v>50</v>
      </c>
      <c r="S362" s="17">
        <v>7.7</v>
      </c>
      <c r="T362" s="17">
        <v>0</v>
      </c>
      <c r="U362" s="17">
        <v>1.5</v>
      </c>
      <c r="V362" s="17">
        <v>50.6</v>
      </c>
      <c r="W362" s="17">
        <v>0.2</v>
      </c>
      <c r="X362" s="17">
        <v>0.1</v>
      </c>
      <c r="Y362" s="17">
        <v>1.1000000000000001</v>
      </c>
      <c r="Z362" s="17">
        <v>0.1</v>
      </c>
      <c r="AA362" s="17">
        <v>0.2</v>
      </c>
      <c r="AB362" s="17">
        <v>0</v>
      </c>
      <c r="AC362" s="17">
        <v>149</v>
      </c>
      <c r="AD362" s="17">
        <v>14</v>
      </c>
      <c r="AE362" s="17">
        <v>224</v>
      </c>
      <c r="AF362" s="17">
        <v>23</v>
      </c>
      <c r="AG362" s="17">
        <v>54</v>
      </c>
      <c r="AH362" s="17">
        <v>14</v>
      </c>
      <c r="AI362" s="17">
        <v>0.9</v>
      </c>
      <c r="AJ362" s="17">
        <v>0.6</v>
      </c>
      <c r="AK362" s="17">
        <v>0.2</v>
      </c>
      <c r="AL362" s="17">
        <v>6.1</v>
      </c>
      <c r="AM362" s="27">
        <v>0</v>
      </c>
    </row>
    <row r="363" spans="1:39" x14ac:dyDescent="0.25">
      <c r="A363" s="10">
        <v>362</v>
      </c>
      <c r="B363" s="9" t="s">
        <v>443</v>
      </c>
      <c r="C363" s="9" t="s">
        <v>469</v>
      </c>
      <c r="D363" s="10">
        <v>1</v>
      </c>
      <c r="E363" s="11">
        <v>23</v>
      </c>
      <c r="F363" s="17">
        <v>91.2</v>
      </c>
      <c r="G363" s="17">
        <v>1.8</v>
      </c>
      <c r="H363" s="17">
        <v>3</v>
      </c>
      <c r="I363" s="17">
        <v>1.3</v>
      </c>
      <c r="J363" s="17">
        <v>0.4</v>
      </c>
      <c r="K363" s="17">
        <v>2.4</v>
      </c>
      <c r="L363" s="17">
        <v>0.3</v>
      </c>
      <c r="M363" s="19">
        <v>0.04</v>
      </c>
      <c r="N363" s="19">
        <v>0.01</v>
      </c>
      <c r="O363" s="19">
        <v>0.11</v>
      </c>
      <c r="P363" s="28">
        <v>0</v>
      </c>
      <c r="Q363" s="17">
        <v>0</v>
      </c>
      <c r="R363" s="17">
        <v>524</v>
      </c>
      <c r="S363" s="17">
        <v>9.8000000000000007</v>
      </c>
      <c r="T363" s="17">
        <v>0</v>
      </c>
      <c r="U363" s="17">
        <v>2.1</v>
      </c>
      <c r="V363" s="17">
        <v>493.6</v>
      </c>
      <c r="W363" s="17">
        <v>0.1</v>
      </c>
      <c r="X363" s="17">
        <v>0.2</v>
      </c>
      <c r="Y363" s="17">
        <v>0.5</v>
      </c>
      <c r="Z363" s="17">
        <v>0.2</v>
      </c>
      <c r="AA363" s="17">
        <v>0.1</v>
      </c>
      <c r="AB363" s="17">
        <v>0</v>
      </c>
      <c r="AC363" s="17">
        <v>146</v>
      </c>
      <c r="AD363" s="17">
        <v>70</v>
      </c>
      <c r="AE363" s="17">
        <v>466</v>
      </c>
      <c r="AF363" s="17">
        <v>136</v>
      </c>
      <c r="AG363" s="17">
        <v>56</v>
      </c>
      <c r="AH363" s="17">
        <v>87</v>
      </c>
      <c r="AI363" s="17">
        <v>3.6</v>
      </c>
      <c r="AJ363" s="17">
        <v>0.8</v>
      </c>
      <c r="AK363" s="17">
        <v>0.2</v>
      </c>
      <c r="AL363" s="17">
        <v>1.5</v>
      </c>
      <c r="AM363" s="27">
        <v>0</v>
      </c>
    </row>
    <row r="364" spans="1:39" x14ac:dyDescent="0.25">
      <c r="A364" s="10">
        <v>363</v>
      </c>
      <c r="B364" s="9" t="s">
        <v>443</v>
      </c>
      <c r="C364" s="9" t="s">
        <v>470</v>
      </c>
      <c r="D364" s="10">
        <v>1</v>
      </c>
      <c r="E364" s="11">
        <v>23</v>
      </c>
      <c r="F364" s="17">
        <v>91.4</v>
      </c>
      <c r="G364" s="17">
        <v>1.7</v>
      </c>
      <c r="H364" s="17">
        <v>2.9</v>
      </c>
      <c r="I364" s="17">
        <v>1.4</v>
      </c>
      <c r="J364" s="17">
        <v>0.4</v>
      </c>
      <c r="K364" s="17">
        <v>2.2000000000000002</v>
      </c>
      <c r="L364" s="17">
        <v>0.4</v>
      </c>
      <c r="M364" s="19">
        <v>0.06</v>
      </c>
      <c r="N364" s="19">
        <v>0.01</v>
      </c>
      <c r="O364" s="19">
        <v>0.17</v>
      </c>
      <c r="P364" s="28">
        <v>0</v>
      </c>
      <c r="Q364" s="17">
        <v>0</v>
      </c>
      <c r="R364" s="17">
        <v>469</v>
      </c>
      <c r="S364" s="17">
        <v>28.1</v>
      </c>
      <c r="T364" s="17">
        <v>0</v>
      </c>
      <c r="U364" s="17">
        <v>2</v>
      </c>
      <c r="V364" s="17">
        <v>482.9</v>
      </c>
      <c r="W364" s="17">
        <v>0.1</v>
      </c>
      <c r="X364" s="17">
        <v>0.2</v>
      </c>
      <c r="Y364" s="17">
        <v>0.7</v>
      </c>
      <c r="Z364" s="17">
        <v>0.2</v>
      </c>
      <c r="AA364" s="17">
        <v>0.1</v>
      </c>
      <c r="AB364" s="17">
        <v>0</v>
      </c>
      <c r="AC364" s="17">
        <v>194</v>
      </c>
      <c r="AD364" s="17">
        <v>79</v>
      </c>
      <c r="AE364" s="17">
        <v>558</v>
      </c>
      <c r="AF364" s="17">
        <v>99</v>
      </c>
      <c r="AG364" s="17">
        <v>49</v>
      </c>
      <c r="AH364" s="17">
        <v>79</v>
      </c>
      <c r="AI364" s="17">
        <v>2.7</v>
      </c>
      <c r="AJ364" s="17">
        <v>0.5</v>
      </c>
      <c r="AK364" s="17">
        <v>0.1</v>
      </c>
      <c r="AL364" s="17">
        <v>1</v>
      </c>
      <c r="AM364" s="27">
        <v>0</v>
      </c>
    </row>
    <row r="365" spans="1:39" x14ac:dyDescent="0.25">
      <c r="A365" s="10">
        <v>364</v>
      </c>
      <c r="B365" s="9" t="s">
        <v>443</v>
      </c>
      <c r="C365" s="9" t="s">
        <v>471</v>
      </c>
      <c r="D365" s="10">
        <v>1</v>
      </c>
      <c r="E365" s="11">
        <v>31</v>
      </c>
      <c r="F365" s="17">
        <v>90.2</v>
      </c>
      <c r="G365" s="17">
        <v>1.1000000000000001</v>
      </c>
      <c r="H365" s="17">
        <v>1.2</v>
      </c>
      <c r="I365" s="17">
        <v>4.2</v>
      </c>
      <c r="J365" s="17">
        <v>3.9</v>
      </c>
      <c r="K365" s="17">
        <v>3.1</v>
      </c>
      <c r="L365" s="17">
        <v>0.2</v>
      </c>
      <c r="M365" s="19">
        <v>0.09</v>
      </c>
      <c r="N365" s="19">
        <v>7.0000000000000007E-2</v>
      </c>
      <c r="O365" s="19">
        <v>0.17</v>
      </c>
      <c r="P365" s="28">
        <v>0</v>
      </c>
      <c r="Q365" s="17">
        <v>0</v>
      </c>
      <c r="R365" s="17">
        <v>48</v>
      </c>
      <c r="S365" s="17">
        <v>12</v>
      </c>
      <c r="T365" s="17">
        <v>0</v>
      </c>
      <c r="U365" s="17">
        <v>0.6</v>
      </c>
      <c r="V365" s="17">
        <v>62.8</v>
      </c>
      <c r="W365" s="17">
        <v>0</v>
      </c>
      <c r="X365" s="17">
        <v>0</v>
      </c>
      <c r="Y365" s="17">
        <v>0.6</v>
      </c>
      <c r="Z365" s="17">
        <v>0</v>
      </c>
      <c r="AA365" s="17">
        <v>0.2</v>
      </c>
      <c r="AB365" s="17">
        <v>0</v>
      </c>
      <c r="AC365" s="17">
        <v>27</v>
      </c>
      <c r="AD365" s="17">
        <v>52</v>
      </c>
      <c r="AE365" s="17">
        <v>414</v>
      </c>
      <c r="AF365" s="17">
        <v>49</v>
      </c>
      <c r="AG365" s="17">
        <v>50</v>
      </c>
      <c r="AH365" s="17">
        <v>17</v>
      </c>
      <c r="AI365" s="17">
        <v>0.7</v>
      </c>
      <c r="AJ365" s="17">
        <v>0.2</v>
      </c>
      <c r="AK365" s="17">
        <v>0.1</v>
      </c>
      <c r="AL365" s="17">
        <v>0.7</v>
      </c>
      <c r="AM365" s="27">
        <v>0</v>
      </c>
    </row>
    <row r="366" spans="1:39" x14ac:dyDescent="0.25">
      <c r="A366" s="10">
        <v>365</v>
      </c>
      <c r="B366" s="9" t="s">
        <v>443</v>
      </c>
      <c r="C366" s="9" t="s">
        <v>472</v>
      </c>
      <c r="D366" s="10">
        <v>1</v>
      </c>
      <c r="E366" s="11">
        <v>13</v>
      </c>
      <c r="F366" s="17">
        <v>95.6</v>
      </c>
      <c r="G366" s="17">
        <v>0.6</v>
      </c>
      <c r="H366" s="17">
        <v>1.4</v>
      </c>
      <c r="I366" s="17">
        <v>1.1000000000000001</v>
      </c>
      <c r="J366" s="17">
        <v>0.9</v>
      </c>
      <c r="K366" s="17">
        <v>1.1000000000000001</v>
      </c>
      <c r="L366" s="17">
        <v>0.2</v>
      </c>
      <c r="M366" s="19">
        <v>0.03</v>
      </c>
      <c r="N366" s="19">
        <v>0.01</v>
      </c>
      <c r="O366" s="19">
        <v>0.12</v>
      </c>
      <c r="P366" s="28">
        <v>0</v>
      </c>
      <c r="Q366" s="17">
        <v>0</v>
      </c>
      <c r="R366" s="17">
        <v>166</v>
      </c>
      <c r="S366" s="17">
        <v>3.7</v>
      </c>
      <c r="T366" s="17">
        <v>0</v>
      </c>
      <c r="U366" s="17">
        <v>0.2</v>
      </c>
      <c r="V366" s="17">
        <v>102.3</v>
      </c>
      <c r="W366" s="17">
        <v>0.1</v>
      </c>
      <c r="X366" s="17">
        <v>0.1</v>
      </c>
      <c r="Y366" s="17">
        <v>0.4</v>
      </c>
      <c r="Z366" s="17">
        <v>0.1</v>
      </c>
      <c r="AA366" s="17">
        <v>0.2</v>
      </c>
      <c r="AB366" s="17">
        <v>0</v>
      </c>
      <c r="AC366" s="17">
        <v>73</v>
      </c>
      <c r="AD366" s="17">
        <v>5</v>
      </c>
      <c r="AE366" s="17">
        <v>238</v>
      </c>
      <c r="AF366" s="17">
        <v>35</v>
      </c>
      <c r="AG366" s="17">
        <v>33</v>
      </c>
      <c r="AH366" s="17">
        <v>13</v>
      </c>
      <c r="AI366" s="17">
        <v>1.2</v>
      </c>
      <c r="AJ366" s="17">
        <v>0.2</v>
      </c>
      <c r="AK366" s="17">
        <v>0</v>
      </c>
      <c r="AL366" s="17">
        <v>0.6</v>
      </c>
      <c r="AM366" s="27">
        <v>0</v>
      </c>
    </row>
    <row r="367" spans="1:39" x14ac:dyDescent="0.25">
      <c r="A367" s="10">
        <v>366</v>
      </c>
      <c r="B367" s="9" t="s">
        <v>443</v>
      </c>
      <c r="C367" s="9" t="s">
        <v>473</v>
      </c>
      <c r="D367" s="10">
        <v>3</v>
      </c>
      <c r="E367" s="11">
        <v>14</v>
      </c>
      <c r="F367" s="17">
        <v>97.1</v>
      </c>
      <c r="G367" s="17">
        <v>0.2</v>
      </c>
      <c r="H367" s="17">
        <v>0.7</v>
      </c>
      <c r="I367" s="17">
        <v>1.3</v>
      </c>
      <c r="J367" s="27">
        <v>0.5</v>
      </c>
      <c r="K367" s="22" t="s">
        <v>100</v>
      </c>
      <c r="L367" s="17">
        <v>0.7</v>
      </c>
      <c r="M367" s="28">
        <v>0.09</v>
      </c>
      <c r="N367" s="28">
        <v>0.03</v>
      </c>
      <c r="O367" s="28">
        <v>0.38</v>
      </c>
      <c r="P367" s="28">
        <v>0</v>
      </c>
      <c r="Q367" s="27">
        <v>0</v>
      </c>
      <c r="R367" s="27">
        <v>213.7</v>
      </c>
      <c r="S367" s="27">
        <v>5.3</v>
      </c>
      <c r="T367" s="27">
        <v>0</v>
      </c>
      <c r="U367" s="27">
        <v>0.1</v>
      </c>
      <c r="V367" s="27">
        <v>73</v>
      </c>
      <c r="W367" s="27">
        <v>0</v>
      </c>
      <c r="X367" s="27">
        <v>0</v>
      </c>
      <c r="Y367" s="27">
        <v>0.2</v>
      </c>
      <c r="Z367" s="27">
        <v>0.1</v>
      </c>
      <c r="AA367" s="27">
        <v>0.1</v>
      </c>
      <c r="AB367" s="27">
        <v>0</v>
      </c>
      <c r="AC367" s="27">
        <v>22</v>
      </c>
      <c r="AD367" s="17">
        <v>22</v>
      </c>
      <c r="AE367" s="27">
        <v>112.1</v>
      </c>
      <c r="AF367" s="27">
        <v>20.8</v>
      </c>
      <c r="AG367" s="27">
        <v>16.8</v>
      </c>
      <c r="AH367" s="27">
        <v>7.5</v>
      </c>
      <c r="AI367" s="27">
        <v>0.5</v>
      </c>
      <c r="AJ367" s="27">
        <v>0.1</v>
      </c>
      <c r="AK367" s="27">
        <v>0</v>
      </c>
      <c r="AL367" s="27">
        <v>0.3</v>
      </c>
      <c r="AM367" s="27">
        <v>0</v>
      </c>
    </row>
    <row r="368" spans="1:39" x14ac:dyDescent="0.25">
      <c r="A368" s="10">
        <v>367</v>
      </c>
      <c r="B368" s="9" t="s">
        <v>443</v>
      </c>
      <c r="C368" s="9" t="s">
        <v>474</v>
      </c>
      <c r="D368" s="10">
        <v>1</v>
      </c>
      <c r="E368" s="11">
        <v>16</v>
      </c>
      <c r="F368" s="17">
        <v>95.6</v>
      </c>
      <c r="G368" s="17">
        <v>0.6</v>
      </c>
      <c r="H368" s="17">
        <v>1.3</v>
      </c>
      <c r="I368" s="17">
        <v>1.4</v>
      </c>
      <c r="J368" s="17">
        <v>0.5</v>
      </c>
      <c r="K368" s="17">
        <v>0.9</v>
      </c>
      <c r="L368" s="17">
        <v>0.2</v>
      </c>
      <c r="M368" s="19">
        <v>0.02</v>
      </c>
      <c r="N368" s="19">
        <v>0.01</v>
      </c>
      <c r="O368" s="19">
        <v>7.0000000000000007E-2</v>
      </c>
      <c r="P368" s="28">
        <v>0</v>
      </c>
      <c r="Q368" s="17">
        <v>0</v>
      </c>
      <c r="R368" s="17">
        <v>375</v>
      </c>
      <c r="S368" s="17">
        <v>3.7</v>
      </c>
      <c r="T368" s="17">
        <v>0</v>
      </c>
      <c r="U368" s="17">
        <v>0.2</v>
      </c>
      <c r="V368" s="17">
        <v>140.30000000000001</v>
      </c>
      <c r="W368" s="17">
        <v>0.1</v>
      </c>
      <c r="X368" s="17">
        <v>0.1</v>
      </c>
      <c r="Y368" s="17">
        <v>0.3</v>
      </c>
      <c r="Z368" s="17">
        <v>0.1</v>
      </c>
      <c r="AA368" s="17">
        <v>0.1</v>
      </c>
      <c r="AB368" s="17">
        <v>0</v>
      </c>
      <c r="AC368" s="17">
        <v>36</v>
      </c>
      <c r="AD368" s="17">
        <v>25</v>
      </c>
      <c r="AE368" s="17">
        <v>187</v>
      </c>
      <c r="AF368" s="17">
        <v>33</v>
      </c>
      <c r="AG368" s="17">
        <v>28</v>
      </c>
      <c r="AH368" s="17">
        <v>12</v>
      </c>
      <c r="AI368" s="17">
        <v>1.2</v>
      </c>
      <c r="AJ368" s="17">
        <v>0.2</v>
      </c>
      <c r="AK368" s="17">
        <v>0</v>
      </c>
      <c r="AL368" s="17">
        <v>1.5</v>
      </c>
      <c r="AM368" s="27">
        <v>0</v>
      </c>
    </row>
    <row r="369" spans="1:39" x14ac:dyDescent="0.25">
      <c r="A369" s="10">
        <v>368</v>
      </c>
      <c r="B369" s="9" t="s">
        <v>443</v>
      </c>
      <c r="C369" s="9" t="s">
        <v>475</v>
      </c>
      <c r="D369" s="10">
        <v>2</v>
      </c>
      <c r="E369" s="11">
        <v>37</v>
      </c>
      <c r="F369" s="17">
        <v>86</v>
      </c>
      <c r="G369" s="17">
        <v>3.4</v>
      </c>
      <c r="H369" s="17">
        <v>3.3</v>
      </c>
      <c r="I369" s="17">
        <v>0</v>
      </c>
      <c r="J369" s="17">
        <v>0</v>
      </c>
      <c r="K369" s="17">
        <v>8.8000000000000007</v>
      </c>
      <c r="L369" s="17">
        <v>0.7</v>
      </c>
      <c r="M369" s="28">
        <v>0.15</v>
      </c>
      <c r="N369" s="28">
        <v>0.06</v>
      </c>
      <c r="O369" s="28">
        <v>0.27</v>
      </c>
      <c r="P369" s="28">
        <v>0</v>
      </c>
      <c r="Q369" s="27">
        <v>0</v>
      </c>
      <c r="R369" s="27">
        <v>243.2</v>
      </c>
      <c r="S369" s="27">
        <v>36.5</v>
      </c>
      <c r="T369" s="27">
        <v>0</v>
      </c>
      <c r="U369" s="27">
        <v>0.9</v>
      </c>
      <c r="V369" s="27">
        <v>3.7</v>
      </c>
      <c r="W369" s="27">
        <v>0.1</v>
      </c>
      <c r="X369" s="27">
        <v>0.4</v>
      </c>
      <c r="Y369" s="27">
        <v>1.4</v>
      </c>
      <c r="Z369" s="27">
        <v>0.1</v>
      </c>
      <c r="AA369" s="27">
        <v>0.5</v>
      </c>
      <c r="AB369" s="27">
        <v>0</v>
      </c>
      <c r="AC369" s="27">
        <v>136.5</v>
      </c>
      <c r="AD369" s="27">
        <v>44.9</v>
      </c>
      <c r="AE369" s="27">
        <v>332.9</v>
      </c>
      <c r="AF369" s="27">
        <v>65.5</v>
      </c>
      <c r="AG369" s="27">
        <v>54.2</v>
      </c>
      <c r="AH369" s="27">
        <v>1.9</v>
      </c>
      <c r="AI369" s="27">
        <v>1.7</v>
      </c>
      <c r="AJ369" s="27">
        <v>1</v>
      </c>
      <c r="AK369" s="27">
        <v>0.2</v>
      </c>
      <c r="AL369" s="27">
        <v>0.7</v>
      </c>
      <c r="AM369" s="27">
        <v>0</v>
      </c>
    </row>
    <row r="370" spans="1:39" x14ac:dyDescent="0.25">
      <c r="A370" s="10">
        <v>369</v>
      </c>
      <c r="B370" s="9" t="s">
        <v>443</v>
      </c>
      <c r="C370" s="9" t="s">
        <v>476</v>
      </c>
      <c r="D370" s="10">
        <v>3</v>
      </c>
      <c r="E370" s="11">
        <v>157</v>
      </c>
      <c r="F370" s="17">
        <v>11.1</v>
      </c>
      <c r="G370" s="17">
        <v>8.1999999999999993</v>
      </c>
      <c r="H370" s="17">
        <v>23.9</v>
      </c>
      <c r="I370" s="17">
        <v>15.1</v>
      </c>
      <c r="J370" s="17">
        <v>0.1</v>
      </c>
      <c r="K370" s="17">
        <v>41.6</v>
      </c>
      <c r="L370" s="17">
        <v>0.1</v>
      </c>
      <c r="M370" s="28">
        <v>0.02</v>
      </c>
      <c r="N370" s="28">
        <v>0.01</v>
      </c>
      <c r="O370" s="28">
        <v>0.04</v>
      </c>
      <c r="P370" s="28">
        <v>0</v>
      </c>
      <c r="Q370" s="27">
        <v>0</v>
      </c>
      <c r="R370" s="27">
        <v>780</v>
      </c>
      <c r="S370" s="27">
        <v>117</v>
      </c>
      <c r="T370" s="27">
        <v>0</v>
      </c>
      <c r="U370" s="17">
        <v>0.7</v>
      </c>
      <c r="V370" s="27">
        <v>12</v>
      </c>
      <c r="W370" s="27">
        <v>0.3</v>
      </c>
      <c r="X370" s="27">
        <v>1.3</v>
      </c>
      <c r="Y370" s="27">
        <v>4.4000000000000004</v>
      </c>
      <c r="Z370" s="27">
        <v>0.5</v>
      </c>
      <c r="AA370" s="27">
        <v>1.6</v>
      </c>
      <c r="AB370" s="27">
        <v>0</v>
      </c>
      <c r="AC370" s="27">
        <v>438</v>
      </c>
      <c r="AD370" s="17">
        <v>357</v>
      </c>
      <c r="AE370" s="27">
        <v>1068</v>
      </c>
      <c r="AF370" s="17">
        <v>154</v>
      </c>
      <c r="AG370" s="17">
        <v>295</v>
      </c>
      <c r="AH370" s="17">
        <v>372</v>
      </c>
      <c r="AI370" s="17">
        <v>36</v>
      </c>
      <c r="AJ370" s="17">
        <v>1.5</v>
      </c>
      <c r="AK370" s="27">
        <v>0.8</v>
      </c>
      <c r="AL370" s="27">
        <v>2.1</v>
      </c>
      <c r="AM370" s="27">
        <v>0</v>
      </c>
    </row>
    <row r="371" spans="1:39" x14ac:dyDescent="0.25">
      <c r="A371" s="10">
        <v>370</v>
      </c>
      <c r="B371" s="9" t="s">
        <v>443</v>
      </c>
      <c r="C371" s="9" t="s">
        <v>477</v>
      </c>
      <c r="D371" s="10">
        <v>1</v>
      </c>
      <c r="E371" s="11">
        <v>28</v>
      </c>
      <c r="F371" s="17">
        <v>91.9</v>
      </c>
      <c r="G371" s="17">
        <v>0.7</v>
      </c>
      <c r="H371" s="17">
        <v>0.9</v>
      </c>
      <c r="I371" s="17">
        <v>4.5999999999999996</v>
      </c>
      <c r="J371" s="17">
        <v>3.8</v>
      </c>
      <c r="K371" s="17">
        <v>1.8</v>
      </c>
      <c r="L371" s="17">
        <v>0.1</v>
      </c>
      <c r="M371" s="19">
        <v>0.01</v>
      </c>
      <c r="N371" s="19">
        <v>0.01</v>
      </c>
      <c r="O371" s="19">
        <v>0.05</v>
      </c>
      <c r="P371" s="28">
        <v>0</v>
      </c>
      <c r="Q371" s="17">
        <v>0</v>
      </c>
      <c r="R371" s="17">
        <v>0</v>
      </c>
      <c r="S371" s="17">
        <v>21</v>
      </c>
      <c r="T371" s="17">
        <v>0</v>
      </c>
      <c r="U371" s="17">
        <v>0</v>
      </c>
      <c r="V371" s="17">
        <v>0.1</v>
      </c>
      <c r="W371" s="17">
        <v>0</v>
      </c>
      <c r="X371" s="17">
        <v>0</v>
      </c>
      <c r="Y371" s="17">
        <v>0.4</v>
      </c>
      <c r="Z371" s="17">
        <v>0.1</v>
      </c>
      <c r="AA371" s="17">
        <v>0.2</v>
      </c>
      <c r="AB371" s="17">
        <v>0</v>
      </c>
      <c r="AC371" s="17">
        <v>15</v>
      </c>
      <c r="AD371" s="17">
        <v>67</v>
      </c>
      <c r="AE371" s="17">
        <v>191</v>
      </c>
      <c r="AF371" s="17">
        <v>30</v>
      </c>
      <c r="AG371" s="17">
        <v>27</v>
      </c>
      <c r="AH371" s="17">
        <v>11</v>
      </c>
      <c r="AI371" s="17">
        <v>0.3</v>
      </c>
      <c r="AJ371" s="17">
        <v>0.3</v>
      </c>
      <c r="AK371" s="17">
        <v>0.1</v>
      </c>
      <c r="AL371" s="17">
        <v>0.7</v>
      </c>
      <c r="AM371" s="27">
        <v>0</v>
      </c>
    </row>
    <row r="372" spans="1:39" x14ac:dyDescent="0.25">
      <c r="A372" s="10">
        <v>371</v>
      </c>
      <c r="B372" s="9" t="s">
        <v>443</v>
      </c>
      <c r="C372" s="9" t="s">
        <v>478</v>
      </c>
      <c r="D372" s="10">
        <v>2</v>
      </c>
      <c r="E372" s="11">
        <v>21</v>
      </c>
      <c r="F372" s="17">
        <v>92.1</v>
      </c>
      <c r="G372" s="17">
        <v>1.4</v>
      </c>
      <c r="H372" s="17">
        <v>0.4</v>
      </c>
      <c r="I372" s="17">
        <v>4.4000000000000004</v>
      </c>
      <c r="J372" s="22" t="s">
        <v>100</v>
      </c>
      <c r="K372" s="27">
        <v>1.5</v>
      </c>
      <c r="L372" s="17">
        <v>0.2</v>
      </c>
      <c r="M372" s="28">
        <v>0.02</v>
      </c>
      <c r="N372" s="28">
        <v>0.04</v>
      </c>
      <c r="O372" s="28">
        <v>0.08</v>
      </c>
      <c r="P372" s="28">
        <v>0</v>
      </c>
      <c r="Q372" s="27">
        <v>0</v>
      </c>
      <c r="R372" s="27">
        <v>0</v>
      </c>
      <c r="S372" s="17">
        <v>0</v>
      </c>
      <c r="T372" s="27">
        <v>0</v>
      </c>
      <c r="U372" s="22" t="s">
        <v>100</v>
      </c>
      <c r="V372" s="22" t="s">
        <v>100</v>
      </c>
      <c r="W372" s="17">
        <v>0</v>
      </c>
      <c r="X372" s="17">
        <v>0</v>
      </c>
      <c r="Y372" s="17">
        <v>0.2</v>
      </c>
      <c r="Z372" s="27">
        <v>0.2</v>
      </c>
      <c r="AA372" s="27">
        <v>0.4</v>
      </c>
      <c r="AB372" s="27">
        <v>0</v>
      </c>
      <c r="AC372" s="27">
        <v>89.5</v>
      </c>
      <c r="AD372" s="27">
        <v>223.8</v>
      </c>
      <c r="AE372" s="27">
        <v>526.70000000000005</v>
      </c>
      <c r="AF372" s="17">
        <v>180</v>
      </c>
      <c r="AG372" s="17">
        <v>10</v>
      </c>
      <c r="AH372" s="27">
        <v>55.3</v>
      </c>
      <c r="AI372" s="17">
        <v>2.1</v>
      </c>
      <c r="AJ372" s="27">
        <v>0.2</v>
      </c>
      <c r="AK372" s="27">
        <v>0.3</v>
      </c>
      <c r="AL372" s="27">
        <v>0.3</v>
      </c>
      <c r="AM372" s="27">
        <v>0</v>
      </c>
    </row>
    <row r="373" spans="1:39" x14ac:dyDescent="0.25">
      <c r="A373" s="10">
        <v>372</v>
      </c>
      <c r="B373" s="9" t="s">
        <v>443</v>
      </c>
      <c r="C373" s="9" t="s">
        <v>479</v>
      </c>
      <c r="D373" s="10">
        <v>1</v>
      </c>
      <c r="E373" s="11">
        <v>12</v>
      </c>
      <c r="F373" s="17">
        <v>96.7</v>
      </c>
      <c r="G373" s="17">
        <v>0.4</v>
      </c>
      <c r="H373" s="17">
        <v>0.6</v>
      </c>
      <c r="I373" s="17">
        <v>1.5</v>
      </c>
      <c r="J373" s="17">
        <v>1.4</v>
      </c>
      <c r="K373" s="17">
        <v>0.7</v>
      </c>
      <c r="L373" s="17">
        <v>0.2</v>
      </c>
      <c r="M373" s="19">
        <v>0.01</v>
      </c>
      <c r="N373" s="19">
        <v>0</v>
      </c>
      <c r="O373" s="19">
        <v>0</v>
      </c>
      <c r="P373" s="28">
        <v>0</v>
      </c>
      <c r="Q373" s="17">
        <v>0</v>
      </c>
      <c r="R373" s="17">
        <v>4</v>
      </c>
      <c r="S373" s="17">
        <v>3.2</v>
      </c>
      <c r="T373" s="17">
        <v>0</v>
      </c>
      <c r="U373" s="17">
        <v>0</v>
      </c>
      <c r="V373" s="17">
        <v>7.2</v>
      </c>
      <c r="W373" s="17">
        <v>0</v>
      </c>
      <c r="X373" s="17">
        <v>0</v>
      </c>
      <c r="Y373" s="17">
        <v>0</v>
      </c>
      <c r="Z373" s="17">
        <v>0.1</v>
      </c>
      <c r="AA373" s="17">
        <v>0.2</v>
      </c>
      <c r="AB373" s="17">
        <v>0</v>
      </c>
      <c r="AC373" s="17">
        <v>14</v>
      </c>
      <c r="AD373" s="17">
        <v>2</v>
      </c>
      <c r="AE373" s="17">
        <v>136</v>
      </c>
      <c r="AF373" s="17">
        <v>14</v>
      </c>
      <c r="AG373" s="17">
        <v>21</v>
      </c>
      <c r="AH373" s="17">
        <v>12</v>
      </c>
      <c r="AI373" s="17">
        <v>0.2</v>
      </c>
      <c r="AJ373" s="17">
        <v>0.2</v>
      </c>
      <c r="AK373" s="17">
        <v>0.1</v>
      </c>
      <c r="AL373" s="17">
        <v>0.1</v>
      </c>
      <c r="AM373" s="27">
        <v>0</v>
      </c>
    </row>
    <row r="374" spans="1:39" x14ac:dyDescent="0.25">
      <c r="A374" s="10">
        <v>373</v>
      </c>
      <c r="B374" s="9" t="s">
        <v>443</v>
      </c>
      <c r="C374" s="9" t="s">
        <v>480</v>
      </c>
      <c r="D374" s="10">
        <v>1</v>
      </c>
      <c r="E374" s="11">
        <v>12</v>
      </c>
      <c r="F374" s="17">
        <v>94.3</v>
      </c>
      <c r="G374" s="17">
        <v>2.5</v>
      </c>
      <c r="H374" s="17">
        <v>0.5</v>
      </c>
      <c r="I374" s="17">
        <v>1.4</v>
      </c>
      <c r="J374" s="17">
        <v>1.1000000000000001</v>
      </c>
      <c r="K374" s="17">
        <v>1</v>
      </c>
      <c r="L374" s="17">
        <v>0.3</v>
      </c>
      <c r="M374" s="19">
        <v>0.08</v>
      </c>
      <c r="N374" s="19">
        <v>0.01</v>
      </c>
      <c r="O374" s="19">
        <v>0.12</v>
      </c>
      <c r="P374" s="28">
        <v>0</v>
      </c>
      <c r="Q374" s="17">
        <v>0</v>
      </c>
      <c r="R374" s="17">
        <v>6</v>
      </c>
      <c r="S374" s="17">
        <v>2.2999999999999998</v>
      </c>
      <c r="T374" s="17">
        <v>0</v>
      </c>
      <c r="U374" s="17">
        <v>0</v>
      </c>
      <c r="V374" s="17">
        <v>17.3</v>
      </c>
      <c r="W374" s="17">
        <v>0</v>
      </c>
      <c r="X374" s="17">
        <v>0.1</v>
      </c>
      <c r="Y374" s="17">
        <v>0.1</v>
      </c>
      <c r="Z374" s="17">
        <v>0</v>
      </c>
      <c r="AA374" s="17">
        <v>0.2</v>
      </c>
      <c r="AB374" s="17">
        <v>0</v>
      </c>
      <c r="AC374" s="17">
        <v>8</v>
      </c>
      <c r="AD374" s="17">
        <v>809</v>
      </c>
      <c r="AE374" s="17">
        <v>117</v>
      </c>
      <c r="AF374" s="17">
        <v>57</v>
      </c>
      <c r="AG374" s="17">
        <v>16</v>
      </c>
      <c r="AH374" s="17">
        <v>7</v>
      </c>
      <c r="AI374" s="17">
        <v>0.3</v>
      </c>
      <c r="AJ374" s="17">
        <v>0.1</v>
      </c>
      <c r="AK374" s="17">
        <v>0</v>
      </c>
      <c r="AL374" s="17">
        <v>0</v>
      </c>
      <c r="AM374" s="27">
        <v>0</v>
      </c>
    </row>
    <row r="375" spans="1:39" x14ac:dyDescent="0.25">
      <c r="A375" s="10">
        <v>374</v>
      </c>
      <c r="B375" s="9" t="s">
        <v>443</v>
      </c>
      <c r="C375" s="9" t="s">
        <v>481</v>
      </c>
      <c r="D375" s="10">
        <v>1</v>
      </c>
      <c r="E375" s="11">
        <v>67</v>
      </c>
      <c r="F375" s="17">
        <v>79</v>
      </c>
      <c r="G375" s="27">
        <v>2.2999999999999998</v>
      </c>
      <c r="H375" s="17">
        <v>0.9</v>
      </c>
      <c r="I375" s="17">
        <v>16.3</v>
      </c>
      <c r="J375" s="27">
        <v>16.100000000000001</v>
      </c>
      <c r="K375" s="17">
        <v>1.3</v>
      </c>
      <c r="L375" s="17">
        <v>0.2</v>
      </c>
      <c r="M375" s="19">
        <v>0.04</v>
      </c>
      <c r="N375" s="19">
        <v>0</v>
      </c>
      <c r="O375" s="19">
        <v>7.0000000000000007E-2</v>
      </c>
      <c r="P375" s="28">
        <v>0</v>
      </c>
      <c r="Q375" s="17">
        <v>0</v>
      </c>
      <c r="R375" s="17">
        <v>14</v>
      </c>
      <c r="S375" s="17">
        <v>6.7</v>
      </c>
      <c r="T375" s="27">
        <v>0</v>
      </c>
      <c r="U375" s="17">
        <v>0</v>
      </c>
      <c r="V375" s="27">
        <v>46.4</v>
      </c>
      <c r="W375" s="17">
        <v>0</v>
      </c>
      <c r="X375" s="17">
        <v>0</v>
      </c>
      <c r="Y375" s="17">
        <v>0</v>
      </c>
      <c r="Z375" s="17">
        <v>0</v>
      </c>
      <c r="AA375" s="17">
        <v>0.1</v>
      </c>
      <c r="AB375" s="17">
        <v>0</v>
      </c>
      <c r="AC375" s="17">
        <v>0</v>
      </c>
      <c r="AD375" s="17">
        <v>670</v>
      </c>
      <c r="AE375" s="17">
        <v>66.7</v>
      </c>
      <c r="AF375" s="17">
        <v>10</v>
      </c>
      <c r="AG375" s="17">
        <v>20</v>
      </c>
      <c r="AH375" s="17">
        <v>6</v>
      </c>
      <c r="AI375" s="17">
        <v>0.7</v>
      </c>
      <c r="AJ375" s="17">
        <v>0</v>
      </c>
      <c r="AK375" s="17">
        <v>0.1</v>
      </c>
      <c r="AL375" s="17">
        <v>1.1000000000000001</v>
      </c>
      <c r="AM375" s="27">
        <v>0</v>
      </c>
    </row>
    <row r="376" spans="1:39" x14ac:dyDescent="0.25">
      <c r="A376" s="10">
        <v>375</v>
      </c>
      <c r="B376" s="9" t="s">
        <v>443</v>
      </c>
      <c r="C376" s="9" t="s">
        <v>482</v>
      </c>
      <c r="D376" s="10">
        <v>1</v>
      </c>
      <c r="E376" s="11">
        <v>31</v>
      </c>
      <c r="F376" s="17">
        <v>92.2</v>
      </c>
      <c r="G376" s="17">
        <v>0.5</v>
      </c>
      <c r="H376" s="17">
        <v>1</v>
      </c>
      <c r="I376" s="17">
        <v>3.9</v>
      </c>
      <c r="J376" s="17">
        <v>4.2</v>
      </c>
      <c r="K376" s="17">
        <v>2.1</v>
      </c>
      <c r="L376" s="17">
        <v>0.3</v>
      </c>
      <c r="M376" s="19">
        <v>0.03</v>
      </c>
      <c r="N376" s="19">
        <v>0</v>
      </c>
      <c r="O376" s="19">
        <v>7.0000000000000007E-2</v>
      </c>
      <c r="P376" s="28">
        <v>0</v>
      </c>
      <c r="Q376" s="17">
        <v>0</v>
      </c>
      <c r="R376" s="17">
        <v>157</v>
      </c>
      <c r="S376" s="17">
        <v>127.7</v>
      </c>
      <c r="T376" s="17">
        <v>0</v>
      </c>
      <c r="U376" s="17">
        <v>1.6</v>
      </c>
      <c r="V376" s="17">
        <v>4.9000000000000004</v>
      </c>
      <c r="W376" s="17">
        <v>0.1</v>
      </c>
      <c r="X376" s="17">
        <v>0.1</v>
      </c>
      <c r="Y376" s="17">
        <v>1</v>
      </c>
      <c r="Z376" s="17">
        <v>0.3</v>
      </c>
      <c r="AA376" s="17">
        <v>0.3</v>
      </c>
      <c r="AB376" s="17">
        <v>0</v>
      </c>
      <c r="AC376" s="17">
        <v>46</v>
      </c>
      <c r="AD376" s="17">
        <v>4</v>
      </c>
      <c r="AE376" s="17">
        <v>211</v>
      </c>
      <c r="AF376" s="17">
        <v>7</v>
      </c>
      <c r="AG376" s="17">
        <v>26</v>
      </c>
      <c r="AH376" s="17">
        <v>12</v>
      </c>
      <c r="AI376" s="17">
        <v>0.4</v>
      </c>
      <c r="AJ376" s="17">
        <v>0.3</v>
      </c>
      <c r="AK376" s="17">
        <v>0</v>
      </c>
      <c r="AL376" s="17">
        <v>0.1</v>
      </c>
      <c r="AM376" s="27">
        <v>0</v>
      </c>
    </row>
    <row r="377" spans="1:39" x14ac:dyDescent="0.25">
      <c r="A377" s="10">
        <v>376</v>
      </c>
      <c r="B377" s="9" t="s">
        <v>443</v>
      </c>
      <c r="C377" s="9" t="s">
        <v>483</v>
      </c>
      <c r="D377" s="10">
        <v>1</v>
      </c>
      <c r="E377" s="11">
        <v>20</v>
      </c>
      <c r="F377" s="17">
        <v>93.9</v>
      </c>
      <c r="G377" s="17">
        <v>0.4</v>
      </c>
      <c r="H377" s="17">
        <v>0.9</v>
      </c>
      <c r="I377" s="17">
        <v>2.9</v>
      </c>
      <c r="J377" s="17">
        <v>2.4</v>
      </c>
      <c r="K377" s="17">
        <v>1.7</v>
      </c>
      <c r="L377" s="17">
        <v>0.2</v>
      </c>
      <c r="M377" s="19">
        <v>0.06</v>
      </c>
      <c r="N377" s="19">
        <v>0.01</v>
      </c>
      <c r="O377" s="19">
        <v>0.06</v>
      </c>
      <c r="P377" s="28">
        <v>0</v>
      </c>
      <c r="Q377" s="17">
        <v>0</v>
      </c>
      <c r="R377" s="17">
        <v>18</v>
      </c>
      <c r="S377" s="17">
        <v>80.400000000000006</v>
      </c>
      <c r="T377" s="17">
        <v>0</v>
      </c>
      <c r="U377" s="17">
        <v>0.4</v>
      </c>
      <c r="V377" s="17">
        <v>7.4</v>
      </c>
      <c r="W377" s="17">
        <v>0.1</v>
      </c>
      <c r="X377" s="17">
        <v>0</v>
      </c>
      <c r="Y377" s="17">
        <v>0.5</v>
      </c>
      <c r="Z377" s="17">
        <v>0.2</v>
      </c>
      <c r="AA377" s="17">
        <v>0.1</v>
      </c>
      <c r="AB377" s="17">
        <v>0</v>
      </c>
      <c r="AC377" s="17">
        <v>10</v>
      </c>
      <c r="AD377" s="17">
        <v>3</v>
      </c>
      <c r="AE377" s="17">
        <v>175</v>
      </c>
      <c r="AF377" s="17">
        <v>10</v>
      </c>
      <c r="AG377" s="17">
        <v>20</v>
      </c>
      <c r="AH377" s="17">
        <v>10</v>
      </c>
      <c r="AI377" s="17">
        <v>0.3</v>
      </c>
      <c r="AJ377" s="17">
        <v>0.1</v>
      </c>
      <c r="AK377" s="17">
        <v>0.1</v>
      </c>
      <c r="AL377" s="17">
        <v>0</v>
      </c>
      <c r="AM377" s="27">
        <v>0</v>
      </c>
    </row>
    <row r="378" spans="1:39" x14ac:dyDescent="0.25">
      <c r="A378" s="10">
        <v>377</v>
      </c>
      <c r="B378" s="9" t="s">
        <v>443</v>
      </c>
      <c r="C378" s="9" t="s">
        <v>484</v>
      </c>
      <c r="D378" s="10">
        <v>1</v>
      </c>
      <c r="E378" s="11">
        <v>21</v>
      </c>
      <c r="F378" s="17">
        <v>93.5</v>
      </c>
      <c r="G378" s="17">
        <v>0.8</v>
      </c>
      <c r="H378" s="17">
        <v>1.1000000000000001</v>
      </c>
      <c r="I378" s="17">
        <v>2.2999999999999998</v>
      </c>
      <c r="J378" s="17">
        <v>1.4</v>
      </c>
      <c r="K378" s="17">
        <v>1.9</v>
      </c>
      <c r="L378" s="17">
        <v>0.4</v>
      </c>
      <c r="M378" s="19">
        <v>0.09</v>
      </c>
      <c r="N378" s="19">
        <v>0.02</v>
      </c>
      <c r="O378" s="19">
        <v>0.21</v>
      </c>
      <c r="P378" s="28">
        <v>0</v>
      </c>
      <c r="Q378" s="17">
        <v>0</v>
      </c>
      <c r="R378" s="17">
        <v>18</v>
      </c>
      <c r="S378" s="17">
        <v>2.8</v>
      </c>
      <c r="T378" s="17">
        <v>0</v>
      </c>
      <c r="U378" s="17">
        <v>0</v>
      </c>
      <c r="V378" s="17">
        <v>38.9</v>
      </c>
      <c r="W378" s="17">
        <v>0</v>
      </c>
      <c r="X378" s="17">
        <v>0</v>
      </c>
      <c r="Y378" s="17">
        <v>0.2</v>
      </c>
      <c r="Z378" s="17">
        <v>0</v>
      </c>
      <c r="AA378" s="17">
        <v>0.2</v>
      </c>
      <c r="AB378" s="17">
        <v>0</v>
      </c>
      <c r="AC378" s="17">
        <v>24</v>
      </c>
      <c r="AD378" s="17">
        <v>268</v>
      </c>
      <c r="AE378" s="17">
        <v>96</v>
      </c>
      <c r="AF378" s="17">
        <v>37</v>
      </c>
      <c r="AG378" s="17">
        <v>22</v>
      </c>
      <c r="AH378" s="17">
        <v>13</v>
      </c>
      <c r="AI378" s="17">
        <v>0.9</v>
      </c>
      <c r="AJ378" s="17">
        <v>0.2</v>
      </c>
      <c r="AK378" s="17">
        <v>0</v>
      </c>
      <c r="AL378" s="17">
        <v>0.4</v>
      </c>
      <c r="AM378" s="27">
        <v>0</v>
      </c>
    </row>
    <row r="379" spans="1:39" x14ac:dyDescent="0.25">
      <c r="A379" s="10">
        <v>378</v>
      </c>
      <c r="B379" s="9" t="s">
        <v>443</v>
      </c>
      <c r="C379" s="9" t="s">
        <v>485</v>
      </c>
      <c r="D379" s="10">
        <v>1</v>
      </c>
      <c r="E379" s="11">
        <v>35</v>
      </c>
      <c r="F379" s="17">
        <v>89.2</v>
      </c>
      <c r="G379" s="17">
        <v>0.7</v>
      </c>
      <c r="H379" s="17">
        <v>1.9</v>
      </c>
      <c r="I379" s="17">
        <v>4.7</v>
      </c>
      <c r="J379" s="17">
        <v>3.6</v>
      </c>
      <c r="K379" s="17">
        <v>3.2</v>
      </c>
      <c r="L379" s="17">
        <v>0.3</v>
      </c>
      <c r="M379" s="19">
        <v>0.06</v>
      </c>
      <c r="N379" s="19">
        <v>0.01</v>
      </c>
      <c r="O379" s="19">
        <v>0.15</v>
      </c>
      <c r="P379" s="28">
        <v>0</v>
      </c>
      <c r="Q379" s="17">
        <v>0</v>
      </c>
      <c r="R379" s="17">
        <v>32</v>
      </c>
      <c r="S379" s="17">
        <v>9.6999999999999993</v>
      </c>
      <c r="T379" s="17">
        <v>0</v>
      </c>
      <c r="U379" s="17">
        <v>0.5</v>
      </c>
      <c r="V379" s="17">
        <v>47.9</v>
      </c>
      <c r="W379" s="17">
        <v>0.1</v>
      </c>
      <c r="X379" s="17">
        <v>0.1</v>
      </c>
      <c r="Y379" s="17">
        <v>0.6</v>
      </c>
      <c r="Z379" s="17">
        <v>0.1</v>
      </c>
      <c r="AA379" s="17">
        <v>0.1</v>
      </c>
      <c r="AB379" s="17">
        <v>0</v>
      </c>
      <c r="AC379" s="17">
        <v>33</v>
      </c>
      <c r="AD379" s="17">
        <v>1</v>
      </c>
      <c r="AE379" s="17">
        <v>146</v>
      </c>
      <c r="AF379" s="17">
        <v>44</v>
      </c>
      <c r="AG379" s="17">
        <v>29</v>
      </c>
      <c r="AH379" s="17">
        <v>18</v>
      </c>
      <c r="AI379" s="17">
        <v>0.7</v>
      </c>
      <c r="AJ379" s="17">
        <v>0.3</v>
      </c>
      <c r="AK379" s="17">
        <v>0.1</v>
      </c>
      <c r="AL379" s="17">
        <v>0.2</v>
      </c>
      <c r="AM379" s="27">
        <v>0</v>
      </c>
    </row>
    <row r="380" spans="1:39" x14ac:dyDescent="0.25">
      <c r="A380" s="10">
        <v>379</v>
      </c>
      <c r="B380" s="9" t="s">
        <v>443</v>
      </c>
      <c r="C380" s="9" t="s">
        <v>486</v>
      </c>
      <c r="D380" s="10">
        <v>1</v>
      </c>
      <c r="E380" s="11">
        <v>61</v>
      </c>
      <c r="F380" s="17">
        <v>83</v>
      </c>
      <c r="G380" s="17">
        <v>1.1000000000000001</v>
      </c>
      <c r="H380" s="17">
        <v>1.5</v>
      </c>
      <c r="I380" s="17">
        <v>12.4</v>
      </c>
      <c r="J380" s="17">
        <v>3.9</v>
      </c>
      <c r="K380" s="17">
        <v>1.8</v>
      </c>
      <c r="L380" s="17">
        <v>0.3</v>
      </c>
      <c r="M380" s="19">
        <v>0.04</v>
      </c>
      <c r="N380" s="19">
        <v>0</v>
      </c>
      <c r="O380" s="19">
        <v>0.17</v>
      </c>
      <c r="P380" s="28">
        <v>0</v>
      </c>
      <c r="Q380" s="17">
        <v>0</v>
      </c>
      <c r="R380" s="17">
        <v>83</v>
      </c>
      <c r="S380" s="17">
        <v>12</v>
      </c>
      <c r="T380" s="17">
        <v>0</v>
      </c>
      <c r="U380" s="17">
        <v>0.9</v>
      </c>
      <c r="V380" s="17">
        <v>47</v>
      </c>
      <c r="W380" s="17">
        <v>0.1</v>
      </c>
      <c r="X380" s="17">
        <v>0</v>
      </c>
      <c r="Y380" s="17">
        <v>0.4</v>
      </c>
      <c r="Z380" s="17">
        <v>0.2</v>
      </c>
      <c r="AA380" s="17">
        <v>0.1</v>
      </c>
      <c r="AB380" s="17">
        <v>0</v>
      </c>
      <c r="AC380" s="17">
        <v>64</v>
      </c>
      <c r="AD380" s="17">
        <v>20</v>
      </c>
      <c r="AE380" s="17">
        <v>180</v>
      </c>
      <c r="AF380" s="17">
        <v>59</v>
      </c>
      <c r="AG380" s="17">
        <v>35</v>
      </c>
      <c r="AH380" s="17">
        <v>28</v>
      </c>
      <c r="AI380" s="17">
        <v>2.1</v>
      </c>
      <c r="AJ380" s="17">
        <v>0.1</v>
      </c>
      <c r="AK380" s="17">
        <v>0.1</v>
      </c>
      <c r="AL380" s="17">
        <v>1</v>
      </c>
      <c r="AM380" s="27">
        <v>0</v>
      </c>
    </row>
    <row r="381" spans="1:39" x14ac:dyDescent="0.25">
      <c r="A381" s="10">
        <v>380</v>
      </c>
      <c r="B381" s="9" t="s">
        <v>443</v>
      </c>
      <c r="C381" s="9" t="s">
        <v>487</v>
      </c>
      <c r="D381" s="10">
        <v>1</v>
      </c>
      <c r="E381" s="11">
        <v>16</v>
      </c>
      <c r="F381" s="17">
        <v>95.3</v>
      </c>
      <c r="G381" s="17">
        <v>0.6</v>
      </c>
      <c r="H381" s="17">
        <v>0.7</v>
      </c>
      <c r="I381" s="17">
        <v>1.8</v>
      </c>
      <c r="J381" s="17">
        <v>1.9</v>
      </c>
      <c r="K381" s="17">
        <v>1.6</v>
      </c>
      <c r="L381" s="17">
        <v>0.1</v>
      </c>
      <c r="M381" s="19">
        <v>0.03</v>
      </c>
      <c r="N381" s="19">
        <v>0.02</v>
      </c>
      <c r="O381" s="19">
        <v>0.05</v>
      </c>
      <c r="P381" s="28">
        <v>0</v>
      </c>
      <c r="Q381" s="17">
        <v>0</v>
      </c>
      <c r="R381" s="17">
        <v>0</v>
      </c>
      <c r="S381" s="17">
        <v>14.8</v>
      </c>
      <c r="T381" s="17">
        <v>0</v>
      </c>
      <c r="U381" s="17">
        <v>0</v>
      </c>
      <c r="V381" s="17">
        <v>1.3</v>
      </c>
      <c r="W381" s="17">
        <v>0</v>
      </c>
      <c r="X381" s="17">
        <v>0</v>
      </c>
      <c r="Y381" s="17">
        <v>0.3</v>
      </c>
      <c r="Z381" s="17">
        <v>0.1</v>
      </c>
      <c r="AA381" s="17">
        <v>0.2</v>
      </c>
      <c r="AB381" s="17">
        <v>0</v>
      </c>
      <c r="AC381" s="17">
        <v>25</v>
      </c>
      <c r="AD381" s="17">
        <v>39</v>
      </c>
      <c r="AE381" s="17">
        <v>233</v>
      </c>
      <c r="AF381" s="17">
        <v>25</v>
      </c>
      <c r="AG381" s="17">
        <v>20</v>
      </c>
      <c r="AH381" s="17">
        <v>10</v>
      </c>
      <c r="AI381" s="17">
        <v>0.3</v>
      </c>
      <c r="AJ381" s="17">
        <v>0.3</v>
      </c>
      <c r="AK381" s="17">
        <v>0.1</v>
      </c>
      <c r="AL381" s="17">
        <v>0.6</v>
      </c>
      <c r="AM381" s="27">
        <v>0</v>
      </c>
    </row>
    <row r="382" spans="1:39" x14ac:dyDescent="0.25">
      <c r="A382" s="10">
        <v>381</v>
      </c>
      <c r="B382" s="9" t="s">
        <v>443</v>
      </c>
      <c r="C382" s="9" t="s">
        <v>488</v>
      </c>
      <c r="D382" s="10">
        <v>1</v>
      </c>
      <c r="E382" s="11">
        <v>36</v>
      </c>
      <c r="F382" s="17">
        <v>88.9</v>
      </c>
      <c r="G382" s="17">
        <v>1</v>
      </c>
      <c r="H382" s="17">
        <v>2.6</v>
      </c>
      <c r="I382" s="17">
        <v>4.5</v>
      </c>
      <c r="J382" s="17">
        <v>1.7</v>
      </c>
      <c r="K382" s="17">
        <v>2.6</v>
      </c>
      <c r="L382" s="17">
        <v>0.5</v>
      </c>
      <c r="M382" s="19">
        <v>0.1</v>
      </c>
      <c r="N382" s="19">
        <v>0.04</v>
      </c>
      <c r="O382" s="19">
        <v>0.26</v>
      </c>
      <c r="P382" s="28">
        <v>0</v>
      </c>
      <c r="Q382" s="17">
        <v>0</v>
      </c>
      <c r="R382" s="17">
        <v>39</v>
      </c>
      <c r="S382" s="17">
        <v>62</v>
      </c>
      <c r="T382" s="17">
        <v>0</v>
      </c>
      <c r="U382" s="17">
        <v>0.4</v>
      </c>
      <c r="V382" s="17">
        <v>140.30000000000001</v>
      </c>
      <c r="W382" s="17">
        <v>0.1</v>
      </c>
      <c r="X382" s="17">
        <v>0.1</v>
      </c>
      <c r="Y382" s="17">
        <v>0.6</v>
      </c>
      <c r="Z382" s="17">
        <v>0.2</v>
      </c>
      <c r="AA382" s="17">
        <v>0.3</v>
      </c>
      <c r="AB382" s="17">
        <v>0</v>
      </c>
      <c r="AC382" s="17">
        <v>60</v>
      </c>
      <c r="AD382" s="17">
        <v>21</v>
      </c>
      <c r="AE382" s="17">
        <v>317</v>
      </c>
      <c r="AF382" s="17">
        <v>36</v>
      </c>
      <c r="AG382" s="17">
        <v>56</v>
      </c>
      <c r="AH382" s="17">
        <v>20</v>
      </c>
      <c r="AI382" s="17">
        <v>1.2</v>
      </c>
      <c r="AJ382" s="17">
        <v>0.3</v>
      </c>
      <c r="AK382" s="17">
        <v>0.1</v>
      </c>
      <c r="AL382" s="17">
        <v>1.5</v>
      </c>
      <c r="AM382" s="27">
        <v>0</v>
      </c>
    </row>
    <row r="383" spans="1:39" x14ac:dyDescent="0.25">
      <c r="A383" s="10">
        <v>382</v>
      </c>
      <c r="B383" s="9" t="s">
        <v>443</v>
      </c>
      <c r="C383" s="9" t="s">
        <v>489</v>
      </c>
      <c r="D383" s="10">
        <v>1</v>
      </c>
      <c r="E383" s="11">
        <v>42</v>
      </c>
      <c r="F383" s="17">
        <v>86.7</v>
      </c>
      <c r="G383" s="17">
        <v>0.9</v>
      </c>
      <c r="H383" s="17">
        <v>3.6</v>
      </c>
      <c r="I383" s="17">
        <v>4.2</v>
      </c>
      <c r="J383" s="17">
        <v>2.1</v>
      </c>
      <c r="K383" s="17">
        <v>4.0999999999999996</v>
      </c>
      <c r="L383" s="17">
        <v>0.4</v>
      </c>
      <c r="M383" s="19">
        <v>0.08</v>
      </c>
      <c r="N383" s="19">
        <v>0.03</v>
      </c>
      <c r="O383" s="19">
        <v>0.2</v>
      </c>
      <c r="P383" s="28">
        <v>0</v>
      </c>
      <c r="Q383" s="17">
        <v>0</v>
      </c>
      <c r="R383" s="17">
        <v>46</v>
      </c>
      <c r="S383" s="17">
        <v>45.7</v>
      </c>
      <c r="T383" s="17">
        <v>0</v>
      </c>
      <c r="U383" s="17">
        <v>0.5</v>
      </c>
      <c r="V383" s="17">
        <v>193.5</v>
      </c>
      <c r="W383" s="17">
        <v>0.1</v>
      </c>
      <c r="X383" s="17">
        <v>0.1</v>
      </c>
      <c r="Y383" s="17">
        <v>0.5</v>
      </c>
      <c r="Z383" s="17">
        <v>0.3</v>
      </c>
      <c r="AA383" s="17">
        <v>0.3</v>
      </c>
      <c r="AB383" s="17">
        <v>0</v>
      </c>
      <c r="AC383" s="17">
        <v>101</v>
      </c>
      <c r="AD383" s="17">
        <v>259</v>
      </c>
      <c r="AE383" s="17">
        <v>290</v>
      </c>
      <c r="AF383" s="17">
        <v>26</v>
      </c>
      <c r="AG383" s="17">
        <v>56</v>
      </c>
      <c r="AH383" s="17">
        <v>18</v>
      </c>
      <c r="AI383" s="17">
        <v>0.5</v>
      </c>
      <c r="AJ383" s="17">
        <v>0.2</v>
      </c>
      <c r="AK383" s="17">
        <v>0</v>
      </c>
      <c r="AL383" s="17">
        <v>0.6</v>
      </c>
      <c r="AM383" s="27">
        <v>0</v>
      </c>
    </row>
    <row r="384" spans="1:39" x14ac:dyDescent="0.25">
      <c r="A384" s="10">
        <v>383</v>
      </c>
      <c r="B384" s="9" t="s">
        <v>443</v>
      </c>
      <c r="C384" s="9" t="s">
        <v>490</v>
      </c>
      <c r="D384" s="10">
        <v>1</v>
      </c>
      <c r="E384" s="11">
        <v>25</v>
      </c>
      <c r="F384" s="17">
        <v>92.2</v>
      </c>
      <c r="G384" s="17">
        <v>0.6</v>
      </c>
      <c r="H384" s="17">
        <v>1.3</v>
      </c>
      <c r="I384" s="17">
        <v>3.3</v>
      </c>
      <c r="J384" s="17">
        <v>3.2</v>
      </c>
      <c r="K384" s="17">
        <v>2.5</v>
      </c>
      <c r="L384" s="17">
        <v>0.1</v>
      </c>
      <c r="M384" s="19">
        <v>0.03</v>
      </c>
      <c r="N384" s="19">
        <v>0.02</v>
      </c>
      <c r="O384" s="19">
        <v>0.02</v>
      </c>
      <c r="P384" s="28">
        <v>0</v>
      </c>
      <c r="Q384" s="17">
        <v>0</v>
      </c>
      <c r="R384" s="17">
        <v>5</v>
      </c>
      <c r="S384" s="17">
        <v>36.6</v>
      </c>
      <c r="T384" s="17">
        <v>0</v>
      </c>
      <c r="U384" s="17">
        <v>0.2</v>
      </c>
      <c r="V384" s="17">
        <v>76</v>
      </c>
      <c r="W384" s="17">
        <v>0.1</v>
      </c>
      <c r="X384" s="17">
        <v>0</v>
      </c>
      <c r="Y384" s="17">
        <v>0.2</v>
      </c>
      <c r="Z384" s="17">
        <v>0.1</v>
      </c>
      <c r="AA384" s="17">
        <v>0.2</v>
      </c>
      <c r="AB384" s="17">
        <v>0</v>
      </c>
      <c r="AC384" s="17">
        <v>43</v>
      </c>
      <c r="AD384" s="17">
        <v>18</v>
      </c>
      <c r="AE384" s="17">
        <v>170</v>
      </c>
      <c r="AF384" s="17">
        <v>40</v>
      </c>
      <c r="AG384" s="17">
        <v>26</v>
      </c>
      <c r="AH384" s="17">
        <v>12</v>
      </c>
      <c r="AI384" s="17">
        <v>0.5</v>
      </c>
      <c r="AJ384" s="17">
        <v>0.2</v>
      </c>
      <c r="AK384" s="17">
        <v>0</v>
      </c>
      <c r="AL384" s="17">
        <v>0.3</v>
      </c>
      <c r="AM384" s="27">
        <v>0</v>
      </c>
    </row>
    <row r="385" spans="1:39" x14ac:dyDescent="0.25">
      <c r="A385" s="10">
        <v>384</v>
      </c>
      <c r="B385" s="9" t="s">
        <v>443</v>
      </c>
      <c r="C385" s="9" t="s">
        <v>491</v>
      </c>
      <c r="D385" s="10">
        <v>1</v>
      </c>
      <c r="E385" s="11">
        <v>31</v>
      </c>
      <c r="F385" s="17">
        <v>90.4</v>
      </c>
      <c r="G385" s="17">
        <v>0.6</v>
      </c>
      <c r="H385" s="17">
        <v>1.4</v>
      </c>
      <c r="I385" s="17">
        <v>5.3</v>
      </c>
      <c r="J385" s="17">
        <v>3.8</v>
      </c>
      <c r="K385" s="17">
        <v>2.1</v>
      </c>
      <c r="L385" s="17">
        <v>0.2</v>
      </c>
      <c r="M385" s="19">
        <v>0.02</v>
      </c>
      <c r="N385" s="19">
        <v>0.01</v>
      </c>
      <c r="O385" s="19">
        <v>0.08</v>
      </c>
      <c r="P385" s="28">
        <v>0</v>
      </c>
      <c r="Q385" s="17">
        <v>0</v>
      </c>
      <c r="R385" s="17">
        <v>56</v>
      </c>
      <c r="S385" s="17">
        <v>57</v>
      </c>
      <c r="T385" s="17">
        <v>0</v>
      </c>
      <c r="U385" s="17">
        <v>0.1</v>
      </c>
      <c r="V385" s="17">
        <v>38.200000000000003</v>
      </c>
      <c r="W385" s="17">
        <v>0.1</v>
      </c>
      <c r="X385" s="17">
        <v>0.1</v>
      </c>
      <c r="Y385" s="17">
        <v>0.4</v>
      </c>
      <c r="Z385" s="17">
        <v>0.2</v>
      </c>
      <c r="AA385" s="17">
        <v>0.1</v>
      </c>
      <c r="AB385" s="17">
        <v>0</v>
      </c>
      <c r="AC385" s="17">
        <v>18</v>
      </c>
      <c r="AD385" s="17">
        <v>27</v>
      </c>
      <c r="AE385" s="17">
        <v>243</v>
      </c>
      <c r="AF385" s="17">
        <v>45</v>
      </c>
      <c r="AG385" s="17">
        <v>30</v>
      </c>
      <c r="AH385" s="17">
        <v>16</v>
      </c>
      <c r="AI385" s="17">
        <v>0.8</v>
      </c>
      <c r="AJ385" s="17">
        <v>0.2</v>
      </c>
      <c r="AK385" s="17">
        <v>0</v>
      </c>
      <c r="AL385" s="17">
        <v>0.6</v>
      </c>
      <c r="AM385" s="27">
        <v>0</v>
      </c>
    </row>
    <row r="386" spans="1:39" x14ac:dyDescent="0.25">
      <c r="A386" s="10">
        <v>385</v>
      </c>
      <c r="B386" s="9" t="s">
        <v>443</v>
      </c>
      <c r="C386" s="9" t="s">
        <v>492</v>
      </c>
      <c r="D386" s="10">
        <v>1</v>
      </c>
      <c r="E386" s="11">
        <v>18</v>
      </c>
      <c r="F386" s="17">
        <v>94.5</v>
      </c>
      <c r="G386" s="17">
        <v>0.5</v>
      </c>
      <c r="H386" s="17">
        <v>0.9</v>
      </c>
      <c r="I386" s="17">
        <v>2.7</v>
      </c>
      <c r="J386" s="17">
        <v>2.6</v>
      </c>
      <c r="K386" s="17">
        <v>1.2</v>
      </c>
      <c r="L386" s="17">
        <v>0.2</v>
      </c>
      <c r="M386" s="19">
        <v>0.03</v>
      </c>
      <c r="N386" s="19">
        <v>0.03</v>
      </c>
      <c r="O386" s="19">
        <v>0.08</v>
      </c>
      <c r="P386" s="28">
        <v>0</v>
      </c>
      <c r="Q386" s="17">
        <v>0</v>
      </c>
      <c r="R386" s="17">
        <v>42</v>
      </c>
      <c r="S386" s="17">
        <v>13.7</v>
      </c>
      <c r="T386" s="17">
        <v>0</v>
      </c>
      <c r="U386" s="17">
        <v>0.5</v>
      </c>
      <c r="V386" s="17">
        <v>7.9</v>
      </c>
      <c r="W386" s="17">
        <v>0</v>
      </c>
      <c r="X386" s="17">
        <v>0</v>
      </c>
      <c r="Y386" s="17">
        <v>0.6</v>
      </c>
      <c r="Z386" s="17">
        <v>0.1</v>
      </c>
      <c r="AA386" s="17">
        <v>0.1</v>
      </c>
      <c r="AB386" s="17">
        <v>0</v>
      </c>
      <c r="AC386" s="17">
        <v>15</v>
      </c>
      <c r="AD386" s="17">
        <v>5</v>
      </c>
      <c r="AE386" s="17">
        <v>237</v>
      </c>
      <c r="AF386" s="17">
        <v>10</v>
      </c>
      <c r="AG386" s="17">
        <v>24</v>
      </c>
      <c r="AH386" s="17">
        <v>11</v>
      </c>
      <c r="AI386" s="17">
        <v>0.3</v>
      </c>
      <c r="AJ386" s="17">
        <v>0.2</v>
      </c>
      <c r="AK386" s="17">
        <v>0.1</v>
      </c>
      <c r="AL386" s="17">
        <v>0</v>
      </c>
      <c r="AM386" s="27">
        <v>0</v>
      </c>
    </row>
    <row r="387" spans="1:39" x14ac:dyDescent="0.25">
      <c r="A387" s="10">
        <v>386</v>
      </c>
      <c r="B387" s="9" t="s">
        <v>443</v>
      </c>
      <c r="C387" s="9" t="s">
        <v>493</v>
      </c>
      <c r="D387" s="10">
        <v>2</v>
      </c>
      <c r="E387" s="11">
        <v>29</v>
      </c>
      <c r="F387" s="17">
        <v>82.7</v>
      </c>
      <c r="G387" s="17">
        <v>4.3</v>
      </c>
      <c r="H387" s="17">
        <v>1.5</v>
      </c>
      <c r="I387" s="17">
        <v>4.7</v>
      </c>
      <c r="J387" s="27">
        <v>0.6</v>
      </c>
      <c r="K387" s="17">
        <v>6.4</v>
      </c>
      <c r="L387" s="17">
        <v>0.4</v>
      </c>
      <c r="M387" s="28">
        <v>0.18</v>
      </c>
      <c r="N387" s="28">
        <v>7.0000000000000007E-2</v>
      </c>
      <c r="O387" s="28">
        <v>0.03</v>
      </c>
      <c r="P387" s="28">
        <v>0</v>
      </c>
      <c r="Q387" s="27">
        <v>0</v>
      </c>
      <c r="R387" s="27">
        <v>5.6</v>
      </c>
      <c r="S387" s="27">
        <v>2.8</v>
      </c>
      <c r="T387" s="27">
        <v>0</v>
      </c>
      <c r="U387" s="27">
        <v>0.8</v>
      </c>
      <c r="V387" s="27">
        <v>62</v>
      </c>
      <c r="W387" s="27">
        <v>0</v>
      </c>
      <c r="X387" s="27">
        <v>0.1</v>
      </c>
      <c r="Y387" s="27">
        <v>0.4</v>
      </c>
      <c r="Z387" s="27">
        <v>0</v>
      </c>
      <c r="AA387" s="27">
        <v>0.6</v>
      </c>
      <c r="AB387" s="27">
        <v>0</v>
      </c>
      <c r="AC387" s="27">
        <v>169.1</v>
      </c>
      <c r="AD387" s="27">
        <v>218.8</v>
      </c>
      <c r="AE387" s="27">
        <v>83.6</v>
      </c>
      <c r="AF387" s="27">
        <v>157.80000000000001</v>
      </c>
      <c r="AG387" s="27">
        <v>39.4</v>
      </c>
      <c r="AH387" s="27">
        <v>113.6</v>
      </c>
      <c r="AI387" s="27">
        <v>2.7</v>
      </c>
      <c r="AJ387" s="27">
        <v>1.2</v>
      </c>
      <c r="AK387" s="27">
        <v>0.1</v>
      </c>
      <c r="AL387" s="27">
        <v>0.7</v>
      </c>
      <c r="AM387" s="27">
        <v>0</v>
      </c>
    </row>
    <row r="388" spans="1:39" x14ac:dyDescent="0.25">
      <c r="A388" s="10">
        <v>387</v>
      </c>
      <c r="B388" s="9" t="s">
        <v>443</v>
      </c>
      <c r="C388" s="9" t="s">
        <v>494</v>
      </c>
      <c r="D388" s="10">
        <v>1</v>
      </c>
      <c r="E388" s="11">
        <v>35</v>
      </c>
      <c r="F388" s="17">
        <v>90.2</v>
      </c>
      <c r="G388" s="17">
        <v>0.7</v>
      </c>
      <c r="H388" s="17">
        <v>0.8</v>
      </c>
      <c r="I388" s="17">
        <v>5.2</v>
      </c>
      <c r="J388" s="17">
        <v>3.5</v>
      </c>
      <c r="K388" s="17">
        <v>3</v>
      </c>
      <c r="L388" s="17">
        <v>0.2</v>
      </c>
      <c r="M388" s="19">
        <v>0.03</v>
      </c>
      <c r="N388" s="19">
        <v>0.01</v>
      </c>
      <c r="O388" s="19">
        <v>0.09</v>
      </c>
      <c r="P388" s="28">
        <v>0</v>
      </c>
      <c r="Q388" s="17">
        <v>0</v>
      </c>
      <c r="R388" s="17">
        <v>852</v>
      </c>
      <c r="S388" s="17">
        <v>3.6</v>
      </c>
      <c r="T388" s="17">
        <v>0</v>
      </c>
      <c r="U388" s="17">
        <v>1</v>
      </c>
      <c r="V388" s="17">
        <v>13.7</v>
      </c>
      <c r="W388" s="17">
        <v>0.1</v>
      </c>
      <c r="X388" s="17">
        <v>0</v>
      </c>
      <c r="Y388" s="17">
        <v>0.6</v>
      </c>
      <c r="Z388" s="17">
        <v>0.2</v>
      </c>
      <c r="AA388" s="17">
        <v>0.2</v>
      </c>
      <c r="AB388" s="17">
        <v>0</v>
      </c>
      <c r="AC388" s="17">
        <v>14</v>
      </c>
      <c r="AD388" s="17">
        <v>58</v>
      </c>
      <c r="AE388" s="17">
        <v>235</v>
      </c>
      <c r="AF388" s="17">
        <v>30</v>
      </c>
      <c r="AG388" s="17">
        <v>30</v>
      </c>
      <c r="AH388" s="17">
        <v>10</v>
      </c>
      <c r="AI388" s="17">
        <v>0.3</v>
      </c>
      <c r="AJ388" s="17">
        <v>0.2</v>
      </c>
      <c r="AK388" s="17">
        <v>0</v>
      </c>
      <c r="AL388" s="17">
        <v>0.7</v>
      </c>
      <c r="AM388" s="27">
        <v>0</v>
      </c>
    </row>
    <row r="389" spans="1:39" x14ac:dyDescent="0.25">
      <c r="A389" s="10">
        <v>388</v>
      </c>
      <c r="B389" s="9" t="s">
        <v>443</v>
      </c>
      <c r="C389" s="9" t="s">
        <v>495</v>
      </c>
      <c r="D389" s="10">
        <v>1</v>
      </c>
      <c r="E389" s="11">
        <v>41</v>
      </c>
      <c r="F389" s="17">
        <v>88.3</v>
      </c>
      <c r="G389" s="17">
        <v>1</v>
      </c>
      <c r="H389" s="17">
        <v>0.9</v>
      </c>
      <c r="I389" s="17">
        <v>6.8</v>
      </c>
      <c r="J389" s="17">
        <v>4.7</v>
      </c>
      <c r="K389" s="17">
        <v>2.8</v>
      </c>
      <c r="L389" s="17">
        <v>0.2</v>
      </c>
      <c r="M389" s="19">
        <v>0.04</v>
      </c>
      <c r="N389" s="19">
        <v>0.01</v>
      </c>
      <c r="O389" s="19">
        <v>0.12</v>
      </c>
      <c r="P389" s="28">
        <v>0</v>
      </c>
      <c r="Q389" s="17">
        <v>0</v>
      </c>
      <c r="R389" s="17">
        <v>835</v>
      </c>
      <c r="S389" s="17">
        <v>5.9</v>
      </c>
      <c r="T389" s="17">
        <v>0</v>
      </c>
      <c r="U389" s="17">
        <v>0.7</v>
      </c>
      <c r="V389" s="17">
        <v>13.2</v>
      </c>
      <c r="W389" s="17">
        <v>0.1</v>
      </c>
      <c r="X389" s="17">
        <v>0.1</v>
      </c>
      <c r="Y389" s="17">
        <v>1</v>
      </c>
      <c r="Z389" s="17">
        <v>0.1</v>
      </c>
      <c r="AA389" s="17">
        <v>0.3</v>
      </c>
      <c r="AB389" s="17">
        <v>0</v>
      </c>
      <c r="AC389" s="17">
        <v>19</v>
      </c>
      <c r="AD389" s="17">
        <v>69</v>
      </c>
      <c r="AE389" s="17">
        <v>320</v>
      </c>
      <c r="AF389" s="17">
        <v>33</v>
      </c>
      <c r="AG389" s="17">
        <v>35</v>
      </c>
      <c r="AH389" s="17">
        <v>12</v>
      </c>
      <c r="AI389" s="17">
        <v>0.3</v>
      </c>
      <c r="AJ389" s="17">
        <v>0.2</v>
      </c>
      <c r="AK389" s="17">
        <v>0</v>
      </c>
      <c r="AL389" s="17">
        <v>0.1</v>
      </c>
      <c r="AM389" s="27">
        <v>0</v>
      </c>
    </row>
    <row r="390" spans="1:39" x14ac:dyDescent="0.25">
      <c r="A390" s="10">
        <v>389</v>
      </c>
      <c r="B390" s="9" t="s">
        <v>443</v>
      </c>
      <c r="C390" s="9" t="s">
        <v>496</v>
      </c>
      <c r="D390" s="10">
        <v>1</v>
      </c>
      <c r="E390" s="11">
        <v>17</v>
      </c>
      <c r="F390" s="17">
        <v>94.8</v>
      </c>
      <c r="G390" s="17">
        <v>0.6</v>
      </c>
      <c r="H390" s="17">
        <v>1.2</v>
      </c>
      <c r="I390" s="17">
        <v>2.1</v>
      </c>
      <c r="J390" s="17">
        <v>2.5</v>
      </c>
      <c r="K390" s="17">
        <v>1</v>
      </c>
      <c r="L390" s="17">
        <v>0.3</v>
      </c>
      <c r="M390" s="19">
        <v>0.08</v>
      </c>
      <c r="N390" s="19">
        <v>0.01</v>
      </c>
      <c r="O390" s="19">
        <v>0.09</v>
      </c>
      <c r="P390" s="28">
        <v>0</v>
      </c>
      <c r="Q390" s="17">
        <v>0</v>
      </c>
      <c r="R390" s="17">
        <v>10</v>
      </c>
      <c r="S390" s="17">
        <v>17.899999999999999</v>
      </c>
      <c r="T390" s="17">
        <v>0</v>
      </c>
      <c r="U390" s="17">
        <v>0.1</v>
      </c>
      <c r="V390" s="17">
        <v>4.3</v>
      </c>
      <c r="W390" s="17">
        <v>0</v>
      </c>
      <c r="X390" s="17">
        <v>0.1</v>
      </c>
      <c r="Y390" s="17">
        <v>0.5</v>
      </c>
      <c r="Z390" s="17">
        <v>0.2</v>
      </c>
      <c r="AA390" s="17">
        <v>0.2</v>
      </c>
      <c r="AB390" s="17">
        <v>0</v>
      </c>
      <c r="AC390" s="17">
        <v>24</v>
      </c>
      <c r="AD390" s="17">
        <v>8</v>
      </c>
      <c r="AE390" s="17">
        <v>261</v>
      </c>
      <c r="AF390" s="17">
        <v>16</v>
      </c>
      <c r="AG390" s="17">
        <v>38</v>
      </c>
      <c r="AH390" s="17">
        <v>18</v>
      </c>
      <c r="AI390" s="17">
        <v>0.4</v>
      </c>
      <c r="AJ390" s="17">
        <v>0.3</v>
      </c>
      <c r="AK390" s="17">
        <v>0.1</v>
      </c>
      <c r="AL390" s="17">
        <v>0.2</v>
      </c>
      <c r="AM390" s="27">
        <v>0</v>
      </c>
    </row>
    <row r="391" spans="1:39" x14ac:dyDescent="0.25">
      <c r="A391" s="10">
        <v>390</v>
      </c>
      <c r="B391" s="9" t="s">
        <v>443</v>
      </c>
      <c r="C391" s="9" t="s">
        <v>497</v>
      </c>
      <c r="D391" s="10">
        <v>1</v>
      </c>
      <c r="E391" s="11">
        <v>15</v>
      </c>
      <c r="F391" s="17">
        <v>95.2</v>
      </c>
      <c r="G391" s="17">
        <v>0.6</v>
      </c>
      <c r="H391" s="17">
        <v>1.1000000000000001</v>
      </c>
      <c r="I391" s="17">
        <v>1.7</v>
      </c>
      <c r="J391" s="17">
        <v>1.7</v>
      </c>
      <c r="K391" s="17">
        <v>1</v>
      </c>
      <c r="L391" s="17">
        <v>0.4</v>
      </c>
      <c r="M391" s="19">
        <v>7.0000000000000007E-2</v>
      </c>
      <c r="N391" s="19">
        <v>0.03</v>
      </c>
      <c r="O391" s="19">
        <v>0.15</v>
      </c>
      <c r="P391" s="28">
        <v>0</v>
      </c>
      <c r="Q391" s="17">
        <v>0</v>
      </c>
      <c r="R391" s="17">
        <v>56</v>
      </c>
      <c r="S391" s="17">
        <v>12.9</v>
      </c>
      <c r="T391" s="17">
        <v>0</v>
      </c>
      <c r="U391" s="17">
        <v>0.1</v>
      </c>
      <c r="V391" s="17">
        <v>4.2</v>
      </c>
      <c r="W391" s="17">
        <v>0</v>
      </c>
      <c r="X391" s="17">
        <v>0</v>
      </c>
      <c r="Y391" s="17">
        <v>0.5</v>
      </c>
      <c r="Z391" s="17">
        <v>0.1</v>
      </c>
      <c r="AA391" s="17">
        <v>0.3</v>
      </c>
      <c r="AB391" s="17">
        <v>0</v>
      </c>
      <c r="AC391" s="17">
        <v>28</v>
      </c>
      <c r="AD391" s="17">
        <v>239</v>
      </c>
      <c r="AE391" s="17">
        <v>264</v>
      </c>
      <c r="AF391" s="17">
        <v>18</v>
      </c>
      <c r="AG391" s="17">
        <v>37</v>
      </c>
      <c r="AH391" s="17">
        <v>19</v>
      </c>
      <c r="AI391" s="17">
        <v>0.4</v>
      </c>
      <c r="AJ391" s="17">
        <v>0.3</v>
      </c>
      <c r="AK391" s="17">
        <v>0.1</v>
      </c>
      <c r="AL391" s="17">
        <v>0.2</v>
      </c>
      <c r="AM391" s="27">
        <v>0</v>
      </c>
    </row>
    <row r="392" spans="1:39" x14ac:dyDescent="0.25">
      <c r="A392" s="10">
        <v>391</v>
      </c>
      <c r="B392" s="9" t="s">
        <v>443</v>
      </c>
      <c r="C392" s="9" t="s">
        <v>498</v>
      </c>
      <c r="D392" s="10">
        <v>1</v>
      </c>
      <c r="E392" s="11">
        <v>20</v>
      </c>
      <c r="F392" s="17">
        <v>93.7</v>
      </c>
      <c r="G392" s="17">
        <v>0.6</v>
      </c>
      <c r="H392" s="17">
        <v>0.7</v>
      </c>
      <c r="I392" s="17">
        <v>3.8</v>
      </c>
      <c r="J392" s="17">
        <v>2.1</v>
      </c>
      <c r="K392" s="17">
        <v>1.1000000000000001</v>
      </c>
      <c r="L392" s="17">
        <v>0.1</v>
      </c>
      <c r="M392" s="19">
        <v>0.04</v>
      </c>
      <c r="N392" s="19">
        <v>0.01</v>
      </c>
      <c r="O392" s="19">
        <v>0</v>
      </c>
      <c r="P392" s="28">
        <v>0</v>
      </c>
      <c r="Q392" s="17">
        <v>0</v>
      </c>
      <c r="R392" s="17">
        <v>288</v>
      </c>
      <c r="S392" s="17">
        <v>4.7</v>
      </c>
      <c r="T392" s="17">
        <v>0</v>
      </c>
      <c r="U392" s="17">
        <v>0.8</v>
      </c>
      <c r="V392" s="17">
        <v>0.8</v>
      </c>
      <c r="W392" s="17">
        <v>0</v>
      </c>
      <c r="X392" s="17">
        <v>0.1</v>
      </c>
      <c r="Y392" s="17">
        <v>0.4</v>
      </c>
      <c r="Z392" s="17">
        <v>0</v>
      </c>
      <c r="AA392" s="17">
        <v>0.2</v>
      </c>
      <c r="AB392" s="17">
        <v>0</v>
      </c>
      <c r="AC392" s="17">
        <v>9</v>
      </c>
      <c r="AD392" s="17">
        <v>1</v>
      </c>
      <c r="AE392" s="17">
        <v>230</v>
      </c>
      <c r="AF392" s="17">
        <v>15</v>
      </c>
      <c r="AG392" s="17">
        <v>30</v>
      </c>
      <c r="AH392" s="17">
        <v>9</v>
      </c>
      <c r="AI392" s="17">
        <v>0.6</v>
      </c>
      <c r="AJ392" s="17">
        <v>0.2</v>
      </c>
      <c r="AK392" s="17">
        <v>0.1</v>
      </c>
      <c r="AL392" s="17">
        <v>0.2</v>
      </c>
      <c r="AM392" s="27">
        <v>0</v>
      </c>
    </row>
    <row r="393" spans="1:39" x14ac:dyDescent="0.25">
      <c r="A393" s="10">
        <v>392</v>
      </c>
      <c r="B393" s="9" t="s">
        <v>499</v>
      </c>
      <c r="C393" s="9" t="s">
        <v>500</v>
      </c>
      <c r="D393" s="10">
        <v>4</v>
      </c>
      <c r="E393" s="11">
        <v>232</v>
      </c>
      <c r="F393" s="27">
        <v>68.599999999999994</v>
      </c>
      <c r="G393" s="27">
        <v>2.2000000000000002</v>
      </c>
      <c r="H393" s="17">
        <v>1.1000000000000001</v>
      </c>
      <c r="I393" s="17">
        <v>2.1</v>
      </c>
      <c r="J393" s="17">
        <v>1.4</v>
      </c>
      <c r="K393" s="27">
        <v>1.6</v>
      </c>
      <c r="L393" s="17">
        <v>24.4</v>
      </c>
      <c r="M393" s="19">
        <v>2.69</v>
      </c>
      <c r="N393" s="19">
        <v>17.68</v>
      </c>
      <c r="O393" s="19">
        <v>1.54</v>
      </c>
      <c r="P393" s="19">
        <v>0</v>
      </c>
      <c r="Q393" s="17">
        <v>0</v>
      </c>
      <c r="R393" s="27">
        <v>17</v>
      </c>
      <c r="S393" s="27">
        <v>0.9</v>
      </c>
      <c r="T393" s="27">
        <v>0</v>
      </c>
      <c r="U393" s="27">
        <v>1.6</v>
      </c>
      <c r="V393" s="27">
        <v>1.4</v>
      </c>
      <c r="W393" s="27">
        <v>0</v>
      </c>
      <c r="X393" s="27">
        <v>0</v>
      </c>
      <c r="Y393" s="27">
        <v>0</v>
      </c>
      <c r="Z393" s="27">
        <v>0</v>
      </c>
      <c r="AA393" s="27">
        <v>0</v>
      </c>
      <c r="AB393" s="27">
        <v>0</v>
      </c>
      <c r="AC393" s="27">
        <v>0</v>
      </c>
      <c r="AD393" s="17">
        <v>1588</v>
      </c>
      <c r="AE393" s="27">
        <v>8</v>
      </c>
      <c r="AF393" s="27">
        <v>88</v>
      </c>
      <c r="AG393" s="27">
        <v>3</v>
      </c>
      <c r="AH393" s="27">
        <v>4</v>
      </c>
      <c r="AI393" s="27">
        <v>6.3</v>
      </c>
      <c r="AJ393" s="27">
        <v>0.2</v>
      </c>
      <c r="AK393" s="27">
        <v>0.3</v>
      </c>
      <c r="AL393" s="27">
        <v>0.9</v>
      </c>
      <c r="AM393" s="27">
        <v>0</v>
      </c>
    </row>
    <row r="394" spans="1:39" x14ac:dyDescent="0.25">
      <c r="A394" s="10">
        <v>393</v>
      </c>
      <c r="B394" s="9" t="s">
        <v>499</v>
      </c>
      <c r="C394" s="9" t="s">
        <v>501</v>
      </c>
      <c r="D394" s="10">
        <v>4</v>
      </c>
      <c r="E394" s="11">
        <v>263</v>
      </c>
      <c r="F394" s="27">
        <v>60.6</v>
      </c>
      <c r="G394" s="27">
        <v>4.5</v>
      </c>
      <c r="H394" s="17">
        <v>1.2</v>
      </c>
      <c r="I394" s="17">
        <v>3.1</v>
      </c>
      <c r="J394" s="17">
        <v>1.4</v>
      </c>
      <c r="K394" s="27">
        <v>3.3</v>
      </c>
      <c r="L394" s="17">
        <v>27.3</v>
      </c>
      <c r="M394" s="19">
        <v>3.61</v>
      </c>
      <c r="N394" s="19">
        <v>20.100000000000001</v>
      </c>
      <c r="O394" s="19">
        <v>2.06</v>
      </c>
      <c r="P394" s="19">
        <v>0</v>
      </c>
      <c r="Q394" s="17">
        <v>0</v>
      </c>
      <c r="R394" s="27">
        <v>20</v>
      </c>
      <c r="S394" s="27">
        <v>0</v>
      </c>
      <c r="T394" s="27">
        <v>0</v>
      </c>
      <c r="U394" s="27">
        <v>3.8</v>
      </c>
      <c r="V394" s="27">
        <v>1.4</v>
      </c>
      <c r="W394" s="27">
        <v>0</v>
      </c>
      <c r="X394" s="27">
        <v>0</v>
      </c>
      <c r="Y394" s="27">
        <v>0.2</v>
      </c>
      <c r="Z394" s="27">
        <v>0</v>
      </c>
      <c r="AA394" s="27">
        <v>0</v>
      </c>
      <c r="AB394" s="27">
        <v>0</v>
      </c>
      <c r="AC394" s="27">
        <v>3</v>
      </c>
      <c r="AD394" s="17">
        <v>1508</v>
      </c>
      <c r="AE394" s="27">
        <v>42</v>
      </c>
      <c r="AF394" s="27">
        <v>52</v>
      </c>
      <c r="AG394" s="27">
        <v>4</v>
      </c>
      <c r="AH394" s="27">
        <v>11</v>
      </c>
      <c r="AI394" s="27">
        <v>0.5</v>
      </c>
      <c r="AJ394" s="27">
        <v>0</v>
      </c>
      <c r="AK394" s="27">
        <v>0.1</v>
      </c>
      <c r="AL394" s="27">
        <v>0.9</v>
      </c>
      <c r="AM394" s="27">
        <v>0</v>
      </c>
    </row>
    <row r="395" spans="1:39" x14ac:dyDescent="0.25">
      <c r="A395" s="10">
        <v>394</v>
      </c>
      <c r="B395" s="9" t="s">
        <v>499</v>
      </c>
      <c r="C395" s="9" t="s">
        <v>502</v>
      </c>
      <c r="D395" s="10">
        <v>1</v>
      </c>
      <c r="E395" s="11">
        <v>57</v>
      </c>
      <c r="F395" s="17">
        <v>84.2</v>
      </c>
      <c r="G395" s="17">
        <v>0.2</v>
      </c>
      <c r="H395" s="17">
        <v>0.7</v>
      </c>
      <c r="I395" s="17">
        <v>12.1</v>
      </c>
      <c r="J395" s="17">
        <v>10</v>
      </c>
      <c r="K395" s="17">
        <v>2.4</v>
      </c>
      <c r="L395" s="17">
        <v>0.3</v>
      </c>
      <c r="M395" s="19">
        <v>0.03</v>
      </c>
      <c r="N395" s="19">
        <v>0.05</v>
      </c>
      <c r="O395" s="19">
        <v>0.15</v>
      </c>
      <c r="P395" s="28">
        <v>0</v>
      </c>
      <c r="Q395" s="17">
        <v>0</v>
      </c>
      <c r="R395" s="17">
        <v>3</v>
      </c>
      <c r="S395" s="17">
        <v>9.6999999999999993</v>
      </c>
      <c r="T395" s="17">
        <v>0</v>
      </c>
      <c r="U395" s="17">
        <v>0.6</v>
      </c>
      <c r="V395" s="17">
        <v>19.3</v>
      </c>
      <c r="W395" s="17">
        <v>0</v>
      </c>
      <c r="X395" s="17">
        <v>0</v>
      </c>
      <c r="Y395" s="17">
        <v>0.4</v>
      </c>
      <c r="Z395" s="17">
        <v>0.1</v>
      </c>
      <c r="AA395" s="17">
        <v>0.1</v>
      </c>
      <c r="AB395" s="17">
        <v>0</v>
      </c>
      <c r="AC395" s="17">
        <v>6</v>
      </c>
      <c r="AD395" s="17">
        <v>1</v>
      </c>
      <c r="AE395" s="17">
        <v>77</v>
      </c>
      <c r="AF395" s="17">
        <v>6</v>
      </c>
      <c r="AG395" s="17">
        <v>12</v>
      </c>
      <c r="AH395" s="17">
        <v>6</v>
      </c>
      <c r="AI395" s="17">
        <v>0.3</v>
      </c>
      <c r="AJ395" s="17">
        <v>0.2</v>
      </c>
      <c r="AK395" s="17">
        <v>0.1</v>
      </c>
      <c r="AL395" s="17">
        <v>0.1</v>
      </c>
      <c r="AM395" s="27">
        <v>0</v>
      </c>
    </row>
    <row r="396" spans="1:39" x14ac:dyDescent="0.25">
      <c r="A396" s="10">
        <v>395</v>
      </c>
      <c r="B396" s="9" t="s">
        <v>499</v>
      </c>
      <c r="C396" s="9" t="s">
        <v>503</v>
      </c>
      <c r="D396" s="10">
        <v>1</v>
      </c>
      <c r="E396" s="11">
        <v>46</v>
      </c>
      <c r="F396" s="17">
        <v>87.3</v>
      </c>
      <c r="G396" s="17">
        <v>0.1</v>
      </c>
      <c r="H396" s="17">
        <v>0.5</v>
      </c>
      <c r="I396" s="17">
        <v>8.4</v>
      </c>
      <c r="J396" s="17">
        <v>4.3</v>
      </c>
      <c r="K396" s="17">
        <v>3.6</v>
      </c>
      <c r="L396" s="17">
        <v>0.1</v>
      </c>
      <c r="M396" s="19">
        <v>0.01</v>
      </c>
      <c r="N396" s="19">
        <v>0.02</v>
      </c>
      <c r="O396" s="19">
        <v>0.06</v>
      </c>
      <c r="P396" s="28">
        <v>0</v>
      </c>
      <c r="Q396" s="17">
        <v>0</v>
      </c>
      <c r="R396" s="17">
        <v>3</v>
      </c>
      <c r="S396" s="17">
        <v>14</v>
      </c>
      <c r="T396" s="17">
        <v>0</v>
      </c>
      <c r="U396" s="17">
        <v>1.3</v>
      </c>
      <c r="V396" s="17">
        <v>5</v>
      </c>
      <c r="W396" s="17">
        <v>0</v>
      </c>
      <c r="X396" s="17">
        <v>0</v>
      </c>
      <c r="Y396" s="17">
        <v>0.1</v>
      </c>
      <c r="Z396" s="17">
        <v>0.1</v>
      </c>
      <c r="AA396" s="17">
        <v>0.3</v>
      </c>
      <c r="AB396" s="17">
        <v>0</v>
      </c>
      <c r="AC396" s="17">
        <v>1</v>
      </c>
      <c r="AD396" s="17">
        <v>2</v>
      </c>
      <c r="AE396" s="17">
        <v>80</v>
      </c>
      <c r="AF396" s="17">
        <v>8</v>
      </c>
      <c r="AG396" s="17">
        <v>11</v>
      </c>
      <c r="AH396" s="17">
        <v>6</v>
      </c>
      <c r="AI396" s="17">
        <v>0.2</v>
      </c>
      <c r="AJ396" s="17">
        <v>0.1</v>
      </c>
      <c r="AK396" s="17">
        <v>0.1</v>
      </c>
      <c r="AL396" s="17">
        <v>0.1</v>
      </c>
      <c r="AM396" s="27">
        <v>0</v>
      </c>
    </row>
    <row r="397" spans="1:39" x14ac:dyDescent="0.25">
      <c r="A397" s="10">
        <v>396</v>
      </c>
      <c r="B397" s="9" t="s">
        <v>499</v>
      </c>
      <c r="C397" s="9" t="s">
        <v>504</v>
      </c>
      <c r="D397" s="10">
        <v>1</v>
      </c>
      <c r="E397" s="11">
        <v>70</v>
      </c>
      <c r="F397" s="17">
        <v>80.3</v>
      </c>
      <c r="G397" s="17">
        <v>0.3</v>
      </c>
      <c r="H397" s="17">
        <v>0.6</v>
      </c>
      <c r="I397" s="17">
        <v>16.8</v>
      </c>
      <c r="J397" s="27">
        <v>12.5</v>
      </c>
      <c r="K397" s="17">
        <v>1.8</v>
      </c>
      <c r="L397" s="17">
        <v>0.2</v>
      </c>
      <c r="M397" s="19">
        <v>0.01</v>
      </c>
      <c r="N397" s="19">
        <v>0.02</v>
      </c>
      <c r="O397" s="19">
        <v>0.1</v>
      </c>
      <c r="P397" s="28">
        <v>0</v>
      </c>
      <c r="Q397" s="17">
        <v>0</v>
      </c>
      <c r="R397" s="17">
        <v>217</v>
      </c>
      <c r="S397" s="17">
        <v>7.5</v>
      </c>
      <c r="T397" s="27">
        <v>0</v>
      </c>
      <c r="U397" s="27">
        <v>0.7</v>
      </c>
      <c r="V397" s="27">
        <v>2.6</v>
      </c>
      <c r="W397" s="17">
        <v>0</v>
      </c>
      <c r="X397" s="17">
        <v>0</v>
      </c>
      <c r="Y397" s="17">
        <v>0.1</v>
      </c>
      <c r="Z397" s="27">
        <v>0.1</v>
      </c>
      <c r="AA397" s="22" t="s">
        <v>100</v>
      </c>
      <c r="AB397" s="17">
        <v>0</v>
      </c>
      <c r="AC397" s="17">
        <v>7.5</v>
      </c>
      <c r="AD397" s="17">
        <v>1</v>
      </c>
      <c r="AE397" s="17">
        <v>161</v>
      </c>
      <c r="AF397" s="17">
        <v>8</v>
      </c>
      <c r="AG397" s="17">
        <v>17</v>
      </c>
      <c r="AH397" s="17">
        <v>9</v>
      </c>
      <c r="AI397" s="17">
        <v>0.2</v>
      </c>
      <c r="AJ397" s="17">
        <v>0.1</v>
      </c>
      <c r="AK397" s="17">
        <v>0.1</v>
      </c>
      <c r="AL397" s="27">
        <v>0.6</v>
      </c>
      <c r="AM397" s="27">
        <v>0</v>
      </c>
    </row>
    <row r="398" spans="1:39" x14ac:dyDescent="0.25">
      <c r="A398" s="10">
        <v>397</v>
      </c>
      <c r="B398" s="9" t="s">
        <v>499</v>
      </c>
      <c r="C398" s="9" t="s">
        <v>505</v>
      </c>
      <c r="D398" s="10">
        <v>1</v>
      </c>
      <c r="E398" s="11">
        <v>50</v>
      </c>
      <c r="F398" s="17">
        <v>86.1</v>
      </c>
      <c r="G398" s="17">
        <v>0.4</v>
      </c>
      <c r="H398" s="17">
        <v>1</v>
      </c>
      <c r="I398" s="17">
        <v>10.6</v>
      </c>
      <c r="J398" s="17">
        <v>8.5</v>
      </c>
      <c r="K398" s="17">
        <v>1.6</v>
      </c>
      <c r="L398" s="17">
        <v>0.3</v>
      </c>
      <c r="M398" s="19">
        <v>7.0000000000000007E-2</v>
      </c>
      <c r="N398" s="19">
        <v>0.08</v>
      </c>
      <c r="O398" s="19">
        <v>0.09</v>
      </c>
      <c r="P398" s="28">
        <v>0</v>
      </c>
      <c r="Q398" s="17">
        <v>0</v>
      </c>
      <c r="R398" s="17">
        <v>64</v>
      </c>
      <c r="S398" s="17">
        <v>10</v>
      </c>
      <c r="T398" s="17">
        <v>0</v>
      </c>
      <c r="U398" s="17">
        <v>0.1</v>
      </c>
      <c r="V398" s="17">
        <v>2.1</v>
      </c>
      <c r="W398" s="17">
        <v>0</v>
      </c>
      <c r="X398" s="17">
        <v>0</v>
      </c>
      <c r="Y398" s="17">
        <v>0.4</v>
      </c>
      <c r="Z398" s="17">
        <v>0</v>
      </c>
      <c r="AA398" s="17">
        <v>0.1</v>
      </c>
      <c r="AB398" s="17">
        <v>0</v>
      </c>
      <c r="AC398" s="17">
        <v>8</v>
      </c>
      <c r="AD398" s="17">
        <v>3</v>
      </c>
      <c r="AE398" s="17">
        <v>173</v>
      </c>
      <c r="AF398" s="17">
        <v>16</v>
      </c>
      <c r="AG398" s="17">
        <v>15</v>
      </c>
      <c r="AH398" s="17">
        <v>9</v>
      </c>
      <c r="AI398" s="17">
        <v>0.3</v>
      </c>
      <c r="AJ398" s="17">
        <v>0.1</v>
      </c>
      <c r="AK398" s="17">
        <v>0.1</v>
      </c>
      <c r="AL398" s="17">
        <v>0</v>
      </c>
      <c r="AM398" s="27">
        <v>0</v>
      </c>
    </row>
    <row r="399" spans="1:39" x14ac:dyDescent="0.25">
      <c r="A399" s="10">
        <v>398</v>
      </c>
      <c r="B399" s="9" t="s">
        <v>499</v>
      </c>
      <c r="C399" s="9" t="s">
        <v>506</v>
      </c>
      <c r="D399" s="10">
        <v>1</v>
      </c>
      <c r="E399" s="11">
        <v>75</v>
      </c>
      <c r="F399" s="17">
        <v>79.400000000000006</v>
      </c>
      <c r="G399" s="17">
        <v>0.7</v>
      </c>
      <c r="H399" s="17">
        <v>1.6</v>
      </c>
      <c r="I399" s="17">
        <v>14.7</v>
      </c>
      <c r="J399" s="17">
        <v>12.9</v>
      </c>
      <c r="K399" s="17">
        <v>3</v>
      </c>
      <c r="L399" s="17">
        <v>0.7</v>
      </c>
      <c r="M399" s="19">
        <v>0.23</v>
      </c>
      <c r="N399" s="19">
        <v>0.06</v>
      </c>
      <c r="O399" s="19">
        <v>0.19</v>
      </c>
      <c r="P399" s="28">
        <v>0</v>
      </c>
      <c r="Q399" s="17">
        <v>0</v>
      </c>
      <c r="R399" s="17">
        <v>0</v>
      </c>
      <c r="S399" s="17">
        <v>12.6</v>
      </c>
      <c r="T399" s="22" t="s">
        <v>100</v>
      </c>
      <c r="U399" s="17">
        <v>0.3</v>
      </c>
      <c r="V399" s="22" t="s">
        <v>100</v>
      </c>
      <c r="W399" s="17">
        <v>0.1</v>
      </c>
      <c r="X399" s="17">
        <v>0.1</v>
      </c>
      <c r="Y399" s="17">
        <v>0.6</v>
      </c>
      <c r="Z399" s="17">
        <v>0.3</v>
      </c>
      <c r="AA399" s="17">
        <v>0.3</v>
      </c>
      <c r="AB399" s="17">
        <v>0</v>
      </c>
      <c r="AC399" s="17">
        <v>23</v>
      </c>
      <c r="AD399" s="17">
        <v>7</v>
      </c>
      <c r="AE399" s="17">
        <v>287</v>
      </c>
      <c r="AF399" s="17">
        <v>10</v>
      </c>
      <c r="AG399" s="17">
        <v>26</v>
      </c>
      <c r="AH399" s="17">
        <v>17</v>
      </c>
      <c r="AI399" s="17">
        <v>0.3</v>
      </c>
      <c r="AJ399" s="17">
        <v>0.2</v>
      </c>
      <c r="AK399" s="17">
        <v>0.1</v>
      </c>
      <c r="AL399" s="22" t="s">
        <v>100</v>
      </c>
      <c r="AM399" s="27">
        <v>0</v>
      </c>
    </row>
    <row r="400" spans="1:39" x14ac:dyDescent="0.25">
      <c r="A400" s="10">
        <v>399</v>
      </c>
      <c r="B400" s="9" t="s">
        <v>499</v>
      </c>
      <c r="C400" s="9" t="s">
        <v>507</v>
      </c>
      <c r="D400" s="10">
        <v>1</v>
      </c>
      <c r="E400" s="11">
        <v>46</v>
      </c>
      <c r="F400" s="17">
        <v>87.2</v>
      </c>
      <c r="G400" s="17">
        <v>0.4</v>
      </c>
      <c r="H400" s="17">
        <v>0.7</v>
      </c>
      <c r="I400" s="17">
        <v>10</v>
      </c>
      <c r="J400" s="17">
        <v>9.9</v>
      </c>
      <c r="K400" s="17">
        <v>1.4</v>
      </c>
      <c r="L400" s="17">
        <v>0.3</v>
      </c>
      <c r="M400" s="19">
        <v>0.02</v>
      </c>
      <c r="N400" s="19">
        <v>0.13</v>
      </c>
      <c r="O400" s="19">
        <v>0.04</v>
      </c>
      <c r="P400" s="28">
        <v>0</v>
      </c>
      <c r="Q400" s="17">
        <v>0</v>
      </c>
      <c r="R400" s="17">
        <v>17</v>
      </c>
      <c r="S400" s="17">
        <v>9.5</v>
      </c>
      <c r="T400" s="17">
        <v>0</v>
      </c>
      <c r="U400" s="17">
        <v>0.3</v>
      </c>
      <c r="V400" s="17">
        <v>6.4</v>
      </c>
      <c r="W400" s="17">
        <v>0</v>
      </c>
      <c r="X400" s="17">
        <v>0</v>
      </c>
      <c r="Y400" s="17">
        <v>0.4</v>
      </c>
      <c r="Z400" s="17">
        <v>0</v>
      </c>
      <c r="AA400" s="17">
        <v>0.1</v>
      </c>
      <c r="AB400" s="17">
        <v>0</v>
      </c>
      <c r="AC400" s="17">
        <v>5</v>
      </c>
      <c r="AD400" s="17">
        <v>0</v>
      </c>
      <c r="AE400" s="17">
        <v>157</v>
      </c>
      <c r="AF400" s="17">
        <v>6</v>
      </c>
      <c r="AG400" s="17">
        <v>16</v>
      </c>
      <c r="AH400" s="17">
        <v>7</v>
      </c>
      <c r="AI400" s="17">
        <v>0.2</v>
      </c>
      <c r="AJ400" s="17">
        <v>0.1</v>
      </c>
      <c r="AK400" s="17">
        <v>0.1</v>
      </c>
      <c r="AL400" s="17">
        <v>0</v>
      </c>
      <c r="AM400" s="27">
        <v>0</v>
      </c>
    </row>
    <row r="401" spans="1:39" x14ac:dyDescent="0.25">
      <c r="A401" s="10">
        <v>400</v>
      </c>
      <c r="B401" s="9" t="s">
        <v>499</v>
      </c>
      <c r="C401" s="9" t="s">
        <v>508</v>
      </c>
      <c r="D401" s="10">
        <v>1</v>
      </c>
      <c r="E401" s="11">
        <v>240</v>
      </c>
      <c r="F401" s="17">
        <v>30.9</v>
      </c>
      <c r="G401" s="17">
        <v>2.6</v>
      </c>
      <c r="H401" s="17">
        <v>2.2000000000000002</v>
      </c>
      <c r="I401" s="17">
        <v>56.8</v>
      </c>
      <c r="J401" s="17">
        <v>38.1</v>
      </c>
      <c r="K401" s="17">
        <v>7.1</v>
      </c>
      <c r="L401" s="17">
        <v>0.4</v>
      </c>
      <c r="M401" s="19">
        <v>0.09</v>
      </c>
      <c r="N401" s="19">
        <v>0.05</v>
      </c>
      <c r="O401" s="19">
        <v>0.06</v>
      </c>
      <c r="P401" s="28">
        <v>0</v>
      </c>
      <c r="Q401" s="17">
        <v>0</v>
      </c>
      <c r="R401" s="17">
        <v>39</v>
      </c>
      <c r="S401" s="17">
        <v>0.6</v>
      </c>
      <c r="T401" s="17">
        <v>0</v>
      </c>
      <c r="U401" s="17">
        <v>0.4</v>
      </c>
      <c r="V401" s="17">
        <v>59.5</v>
      </c>
      <c r="W401" s="17">
        <v>0.1</v>
      </c>
      <c r="X401" s="17">
        <v>0.2</v>
      </c>
      <c r="Y401" s="17">
        <v>1.9</v>
      </c>
      <c r="Z401" s="17">
        <v>0.2</v>
      </c>
      <c r="AA401" s="17">
        <v>0.4</v>
      </c>
      <c r="AB401" s="17">
        <v>0</v>
      </c>
      <c r="AC401" s="17">
        <v>4</v>
      </c>
      <c r="AD401" s="17">
        <v>2</v>
      </c>
      <c r="AE401" s="17">
        <v>732</v>
      </c>
      <c r="AF401" s="17">
        <v>43</v>
      </c>
      <c r="AG401" s="17">
        <v>69</v>
      </c>
      <c r="AH401" s="17">
        <v>41</v>
      </c>
      <c r="AI401" s="17">
        <v>0.9</v>
      </c>
      <c r="AJ401" s="17">
        <v>0.4</v>
      </c>
      <c r="AK401" s="17">
        <v>0.3</v>
      </c>
      <c r="AL401" s="17">
        <v>0.3</v>
      </c>
      <c r="AM401" s="27">
        <v>0</v>
      </c>
    </row>
    <row r="402" spans="1:39" x14ac:dyDescent="0.25">
      <c r="A402" s="10">
        <v>401</v>
      </c>
      <c r="B402" s="9" t="s">
        <v>499</v>
      </c>
      <c r="C402" s="9" t="s">
        <v>509</v>
      </c>
      <c r="D402" s="10">
        <v>1</v>
      </c>
      <c r="E402" s="11">
        <v>47</v>
      </c>
      <c r="F402" s="17">
        <v>86.6</v>
      </c>
      <c r="G402" s="17">
        <v>0.4</v>
      </c>
      <c r="H402" s="17">
        <v>0.9</v>
      </c>
      <c r="I402" s="17">
        <v>10.3</v>
      </c>
      <c r="J402" s="17">
        <v>9.1999999999999993</v>
      </c>
      <c r="K402" s="17">
        <v>1.7</v>
      </c>
      <c r="L402" s="17">
        <v>0.2</v>
      </c>
      <c r="M402" s="22" t="s">
        <v>100</v>
      </c>
      <c r="N402" s="22" t="s">
        <v>100</v>
      </c>
      <c r="O402" s="22" t="s">
        <v>100</v>
      </c>
      <c r="P402" s="28">
        <v>0</v>
      </c>
      <c r="Q402" s="22" t="s">
        <v>100</v>
      </c>
      <c r="R402" s="22" t="s">
        <v>100</v>
      </c>
      <c r="S402" s="17">
        <v>48.8</v>
      </c>
      <c r="T402" s="17">
        <v>0</v>
      </c>
      <c r="U402" s="17">
        <v>0.2</v>
      </c>
      <c r="V402" s="17">
        <v>0</v>
      </c>
      <c r="W402" s="17">
        <v>0.1</v>
      </c>
      <c r="X402" s="17">
        <v>0</v>
      </c>
      <c r="Y402" s="17">
        <v>0.6</v>
      </c>
      <c r="Z402" s="17">
        <v>0.1</v>
      </c>
      <c r="AA402" s="17">
        <v>0.2</v>
      </c>
      <c r="AB402" s="22" t="s">
        <v>100</v>
      </c>
      <c r="AC402" s="17">
        <v>24</v>
      </c>
      <c r="AD402" s="17">
        <v>1</v>
      </c>
      <c r="AE402" s="17">
        <v>177</v>
      </c>
      <c r="AF402" s="17">
        <v>30</v>
      </c>
      <c r="AG402" s="17">
        <v>21</v>
      </c>
      <c r="AH402" s="17">
        <v>10</v>
      </c>
      <c r="AI402" s="17">
        <v>0.1</v>
      </c>
      <c r="AJ402" s="17">
        <v>0.1</v>
      </c>
      <c r="AK402" s="17">
        <v>0</v>
      </c>
      <c r="AL402" s="17">
        <v>0.1</v>
      </c>
      <c r="AM402" s="27">
        <v>0</v>
      </c>
    </row>
    <row r="403" spans="1:39" x14ac:dyDescent="0.25">
      <c r="A403" s="10">
        <v>402</v>
      </c>
      <c r="B403" s="9" t="s">
        <v>499</v>
      </c>
      <c r="C403" s="9" t="s">
        <v>510</v>
      </c>
      <c r="D403" s="10">
        <v>1</v>
      </c>
      <c r="E403" s="11">
        <v>48</v>
      </c>
      <c r="F403" s="17">
        <v>86.4</v>
      </c>
      <c r="G403" s="17">
        <v>0.8</v>
      </c>
      <c r="H403" s="17">
        <v>1.4</v>
      </c>
      <c r="I403" s="17">
        <v>9.1</v>
      </c>
      <c r="J403" s="17">
        <v>9.1999999999999993</v>
      </c>
      <c r="K403" s="17">
        <v>2</v>
      </c>
      <c r="L403" s="17">
        <v>0.4</v>
      </c>
      <c r="M403" s="19">
        <v>0.03</v>
      </c>
      <c r="N403" s="19">
        <v>0.17</v>
      </c>
      <c r="O403" s="19">
        <v>0.08</v>
      </c>
      <c r="P403" s="28">
        <v>0</v>
      </c>
      <c r="Q403" s="17">
        <v>0</v>
      </c>
      <c r="R403" s="17">
        <v>96</v>
      </c>
      <c r="S403" s="17">
        <v>10</v>
      </c>
      <c r="T403" s="17">
        <v>0</v>
      </c>
      <c r="U403" s="17">
        <v>0.9</v>
      </c>
      <c r="V403" s="17">
        <v>3.3</v>
      </c>
      <c r="W403" s="17">
        <v>0</v>
      </c>
      <c r="X403" s="17">
        <v>0</v>
      </c>
      <c r="Y403" s="17">
        <v>0.6</v>
      </c>
      <c r="Z403" s="17">
        <v>0.1</v>
      </c>
      <c r="AA403" s="17">
        <v>0.2</v>
      </c>
      <c r="AB403" s="17">
        <v>0</v>
      </c>
      <c r="AC403" s="17">
        <v>9</v>
      </c>
      <c r="AD403" s="17">
        <v>1</v>
      </c>
      <c r="AE403" s="17">
        <v>259</v>
      </c>
      <c r="AF403" s="17">
        <v>13</v>
      </c>
      <c r="AG403" s="17">
        <v>23</v>
      </c>
      <c r="AH403" s="17">
        <v>10</v>
      </c>
      <c r="AI403" s="17">
        <v>0.4</v>
      </c>
      <c r="AJ403" s="17">
        <v>0.2</v>
      </c>
      <c r="AK403" s="17">
        <v>0.1</v>
      </c>
      <c r="AL403" s="17">
        <v>0.1</v>
      </c>
      <c r="AM403" s="27">
        <v>0</v>
      </c>
    </row>
    <row r="404" spans="1:39" x14ac:dyDescent="0.25">
      <c r="A404" s="10">
        <v>403</v>
      </c>
      <c r="B404" s="9" t="s">
        <v>499</v>
      </c>
      <c r="C404" s="9" t="s">
        <v>511</v>
      </c>
      <c r="D404" s="10">
        <v>3</v>
      </c>
      <c r="E404" s="11">
        <v>244</v>
      </c>
      <c r="F404" s="17">
        <v>24.2</v>
      </c>
      <c r="G404" s="17">
        <v>5.9</v>
      </c>
      <c r="H404" s="17">
        <v>4.5999999999999996</v>
      </c>
      <c r="I404" s="17">
        <v>56.1</v>
      </c>
      <c r="J404" s="17">
        <v>12.8</v>
      </c>
      <c r="K404" s="17">
        <v>9.1</v>
      </c>
      <c r="L404" s="17">
        <v>0.1</v>
      </c>
      <c r="M404" s="28">
        <v>0</v>
      </c>
      <c r="N404" s="28">
        <v>0.01</v>
      </c>
      <c r="O404" s="28">
        <v>0.01</v>
      </c>
      <c r="P404" s="28">
        <v>0</v>
      </c>
      <c r="Q404" s="27">
        <v>0</v>
      </c>
      <c r="R404" s="27">
        <v>197.4</v>
      </c>
      <c r="S404" s="27">
        <v>1.1000000000000001</v>
      </c>
      <c r="T404" s="27">
        <v>0</v>
      </c>
      <c r="U404" s="27">
        <v>4.7</v>
      </c>
      <c r="V404" s="27">
        <v>3.4</v>
      </c>
      <c r="W404" s="27">
        <v>0</v>
      </c>
      <c r="X404" s="27">
        <v>0.1</v>
      </c>
      <c r="Y404" s="27">
        <v>2.8</v>
      </c>
      <c r="Z404" s="27">
        <v>0.2</v>
      </c>
      <c r="AA404" s="27">
        <v>0.6</v>
      </c>
      <c r="AB404" s="27">
        <v>0</v>
      </c>
      <c r="AC404" s="27">
        <v>11</v>
      </c>
      <c r="AD404" s="17">
        <v>347</v>
      </c>
      <c r="AE404" s="27">
        <v>1274.5</v>
      </c>
      <c r="AF404" s="27">
        <v>60.3</v>
      </c>
      <c r="AG404" s="27">
        <v>77.900000000000006</v>
      </c>
      <c r="AH404" s="17">
        <v>63</v>
      </c>
      <c r="AI404" s="27">
        <v>2.9</v>
      </c>
      <c r="AJ404" s="27">
        <v>0.4</v>
      </c>
      <c r="AK404" s="17">
        <v>1</v>
      </c>
      <c r="AL404" s="27">
        <v>2.4</v>
      </c>
      <c r="AM404" s="27">
        <v>0</v>
      </c>
    </row>
    <row r="405" spans="1:39" x14ac:dyDescent="0.25">
      <c r="A405" s="10">
        <v>404</v>
      </c>
      <c r="B405" s="9" t="s">
        <v>499</v>
      </c>
      <c r="C405" s="9" t="s">
        <v>512</v>
      </c>
      <c r="D405" s="10">
        <v>1</v>
      </c>
      <c r="E405" s="11">
        <v>39</v>
      </c>
      <c r="F405" s="17">
        <v>88.9</v>
      </c>
      <c r="G405" s="17">
        <v>0.4</v>
      </c>
      <c r="H405" s="17">
        <v>0.9</v>
      </c>
      <c r="I405" s="17">
        <v>8</v>
      </c>
      <c r="J405" s="17">
        <v>8.4</v>
      </c>
      <c r="K405" s="17">
        <v>1.5</v>
      </c>
      <c r="L405" s="17">
        <v>0.3</v>
      </c>
      <c r="M405" s="19">
        <v>0.02</v>
      </c>
      <c r="N405" s="19">
        <v>7.0000000000000007E-2</v>
      </c>
      <c r="O405" s="19">
        <v>0.09</v>
      </c>
      <c r="P405" s="28">
        <v>0</v>
      </c>
      <c r="Q405" s="17">
        <v>0</v>
      </c>
      <c r="R405" s="17">
        <v>16</v>
      </c>
      <c r="S405" s="17">
        <v>6.6</v>
      </c>
      <c r="T405" s="17">
        <v>0</v>
      </c>
      <c r="U405" s="17">
        <v>0.7</v>
      </c>
      <c r="V405" s="17">
        <v>2.6</v>
      </c>
      <c r="W405" s="17">
        <v>0</v>
      </c>
      <c r="X405" s="17">
        <v>0</v>
      </c>
      <c r="Y405" s="17">
        <v>0.8</v>
      </c>
      <c r="Z405" s="17">
        <v>0</v>
      </c>
      <c r="AA405" s="17">
        <v>0.2</v>
      </c>
      <c r="AB405" s="17">
        <v>0</v>
      </c>
      <c r="AC405" s="17">
        <v>4</v>
      </c>
      <c r="AD405" s="17">
        <v>0</v>
      </c>
      <c r="AE405" s="17">
        <v>190</v>
      </c>
      <c r="AF405" s="17">
        <v>6</v>
      </c>
      <c r="AG405" s="17">
        <v>20</v>
      </c>
      <c r="AH405" s="17">
        <v>9</v>
      </c>
      <c r="AI405" s="17">
        <v>0.3</v>
      </c>
      <c r="AJ405" s="17">
        <v>0.2</v>
      </c>
      <c r="AK405" s="17">
        <v>0.1</v>
      </c>
      <c r="AL405" s="17">
        <v>0.1</v>
      </c>
      <c r="AM405" s="27">
        <v>0</v>
      </c>
    </row>
    <row r="406" spans="1:39" x14ac:dyDescent="0.25">
      <c r="A406" s="10">
        <v>405</v>
      </c>
      <c r="B406" s="9" t="s">
        <v>499</v>
      </c>
      <c r="C406" s="9" t="s">
        <v>513</v>
      </c>
      <c r="D406" s="10">
        <v>4</v>
      </c>
      <c r="E406" s="11">
        <v>45</v>
      </c>
      <c r="F406" s="27">
        <v>87.6</v>
      </c>
      <c r="G406" s="27">
        <v>0.2</v>
      </c>
      <c r="H406" s="17">
        <v>0.6</v>
      </c>
      <c r="I406" s="17">
        <v>10</v>
      </c>
      <c r="J406" s="17">
        <v>10</v>
      </c>
      <c r="K406" s="27">
        <v>1.3</v>
      </c>
      <c r="L406" s="17">
        <v>0.3</v>
      </c>
      <c r="M406" s="28">
        <v>0.03</v>
      </c>
      <c r="N406" s="28">
        <v>0.12</v>
      </c>
      <c r="O406" s="28">
        <v>0.15</v>
      </c>
      <c r="P406" s="28">
        <v>0</v>
      </c>
      <c r="Q406" s="27">
        <v>0</v>
      </c>
      <c r="R406" s="27">
        <v>18</v>
      </c>
      <c r="S406" s="27">
        <v>2.4</v>
      </c>
      <c r="T406" s="27">
        <v>0</v>
      </c>
      <c r="U406" s="27">
        <v>0.5</v>
      </c>
      <c r="V406" s="27">
        <v>1.7</v>
      </c>
      <c r="W406" s="27">
        <v>0</v>
      </c>
      <c r="X406" s="27">
        <v>0</v>
      </c>
      <c r="Y406" s="27">
        <v>0.6</v>
      </c>
      <c r="Z406" s="27">
        <v>0</v>
      </c>
      <c r="AA406" s="27">
        <v>0.1</v>
      </c>
      <c r="AB406" s="27">
        <v>0</v>
      </c>
      <c r="AC406" s="27">
        <v>3</v>
      </c>
      <c r="AD406" s="17">
        <v>10</v>
      </c>
      <c r="AE406" s="27">
        <v>97</v>
      </c>
      <c r="AF406" s="27">
        <v>3</v>
      </c>
      <c r="AG406" s="27">
        <v>11</v>
      </c>
      <c r="AH406" s="27">
        <v>5</v>
      </c>
      <c r="AI406" s="27">
        <v>0.4</v>
      </c>
      <c r="AJ406" s="27">
        <v>0.1</v>
      </c>
      <c r="AK406" s="27">
        <v>0.1</v>
      </c>
      <c r="AL406" s="27">
        <v>0.3</v>
      </c>
      <c r="AM406" s="27">
        <v>0</v>
      </c>
    </row>
    <row r="407" spans="1:39" x14ac:dyDescent="0.25">
      <c r="A407" s="10">
        <v>406</v>
      </c>
      <c r="B407" s="9" t="s">
        <v>499</v>
      </c>
      <c r="C407" s="9" t="s">
        <v>514</v>
      </c>
      <c r="D407" s="10">
        <v>1</v>
      </c>
      <c r="E407" s="11">
        <v>52</v>
      </c>
      <c r="F407" s="17">
        <v>85.8</v>
      </c>
      <c r="G407" s="17">
        <v>0.5</v>
      </c>
      <c r="H407" s="17">
        <v>1.2</v>
      </c>
      <c r="I407" s="17">
        <v>5.4</v>
      </c>
      <c r="J407" s="17">
        <v>4.4000000000000004</v>
      </c>
      <c r="K407" s="17">
        <v>6.5</v>
      </c>
      <c r="L407" s="17">
        <v>0.7</v>
      </c>
      <c r="M407" s="19">
        <v>0.02</v>
      </c>
      <c r="N407" s="19">
        <v>0.06</v>
      </c>
      <c r="O407" s="19">
        <v>0.38</v>
      </c>
      <c r="P407" s="28">
        <v>0</v>
      </c>
      <c r="Q407" s="17">
        <v>0</v>
      </c>
      <c r="R407" s="17">
        <v>2</v>
      </c>
      <c r="S407" s="17">
        <v>26.2</v>
      </c>
      <c r="T407" s="17">
        <v>0</v>
      </c>
      <c r="U407" s="17">
        <v>0.9</v>
      </c>
      <c r="V407" s="17">
        <v>7.8</v>
      </c>
      <c r="W407" s="17">
        <v>0</v>
      </c>
      <c r="X407" s="17">
        <v>0</v>
      </c>
      <c r="Y407" s="17">
        <v>0.6</v>
      </c>
      <c r="Z407" s="17">
        <v>0.1</v>
      </c>
      <c r="AA407" s="17">
        <v>0.3</v>
      </c>
      <c r="AB407" s="17">
        <v>0</v>
      </c>
      <c r="AC407" s="17">
        <v>21</v>
      </c>
      <c r="AD407" s="17">
        <v>1</v>
      </c>
      <c r="AE407" s="17">
        <v>151</v>
      </c>
      <c r="AF407" s="17">
        <v>25</v>
      </c>
      <c r="AG407" s="17">
        <v>29</v>
      </c>
      <c r="AH407" s="17">
        <v>22</v>
      </c>
      <c r="AI407" s="17">
        <v>0.7</v>
      </c>
      <c r="AJ407" s="17">
        <v>0.4</v>
      </c>
      <c r="AK407" s="17">
        <v>0.1</v>
      </c>
      <c r="AL407" s="17">
        <v>0.2</v>
      </c>
      <c r="AM407" s="27">
        <v>0</v>
      </c>
    </row>
    <row r="408" spans="1:39" x14ac:dyDescent="0.25">
      <c r="A408" s="10">
        <v>407</v>
      </c>
      <c r="B408" s="9" t="s">
        <v>499</v>
      </c>
      <c r="C408" s="9" t="s">
        <v>515</v>
      </c>
      <c r="D408" s="10">
        <v>1</v>
      </c>
      <c r="E408" s="11">
        <v>32</v>
      </c>
      <c r="F408" s="17">
        <v>91</v>
      </c>
      <c r="G408" s="17">
        <v>0.4</v>
      </c>
      <c r="H408" s="17">
        <v>0.7</v>
      </c>
      <c r="I408" s="17">
        <v>5.7</v>
      </c>
      <c r="J408" s="17">
        <v>4.9000000000000004</v>
      </c>
      <c r="K408" s="17">
        <v>2</v>
      </c>
      <c r="L408" s="17">
        <v>0.3</v>
      </c>
      <c r="M408" s="19">
        <v>0.02</v>
      </c>
      <c r="N408" s="19">
        <v>0.04</v>
      </c>
      <c r="O408" s="19">
        <v>0.16</v>
      </c>
      <c r="P408" s="28">
        <v>0</v>
      </c>
      <c r="Q408" s="17">
        <v>0</v>
      </c>
      <c r="R408" s="17">
        <v>1</v>
      </c>
      <c r="S408" s="17">
        <v>58.8</v>
      </c>
      <c r="T408" s="17">
        <v>0</v>
      </c>
      <c r="U408" s="17">
        <v>0.3</v>
      </c>
      <c r="V408" s="17">
        <v>2.2000000000000002</v>
      </c>
      <c r="W408" s="17">
        <v>0</v>
      </c>
      <c r="X408" s="17">
        <v>0</v>
      </c>
      <c r="Y408" s="17">
        <v>0.4</v>
      </c>
      <c r="Z408" s="17">
        <v>0</v>
      </c>
      <c r="AA408" s="17">
        <v>0.1</v>
      </c>
      <c r="AB408" s="17">
        <v>0</v>
      </c>
      <c r="AC408" s="17">
        <v>24</v>
      </c>
      <c r="AD408" s="17">
        <v>1</v>
      </c>
      <c r="AE408" s="17">
        <v>153</v>
      </c>
      <c r="AF408" s="17">
        <v>16</v>
      </c>
      <c r="AG408" s="17">
        <v>24</v>
      </c>
      <c r="AH408" s="17">
        <v>13</v>
      </c>
      <c r="AI408" s="17">
        <v>0.4</v>
      </c>
      <c r="AJ408" s="17">
        <v>0.1</v>
      </c>
      <c r="AK408" s="17">
        <v>0</v>
      </c>
      <c r="AL408" s="17">
        <v>0.4</v>
      </c>
      <c r="AM408" s="27">
        <v>0</v>
      </c>
    </row>
    <row r="409" spans="1:39" x14ac:dyDescent="0.25">
      <c r="A409" s="10">
        <v>408</v>
      </c>
      <c r="B409" s="9" t="s">
        <v>499</v>
      </c>
      <c r="C409" s="9" t="s">
        <v>516</v>
      </c>
      <c r="D409" s="10">
        <v>1</v>
      </c>
      <c r="E409" s="11">
        <v>83</v>
      </c>
      <c r="F409" s="17">
        <v>77.900000000000006</v>
      </c>
      <c r="G409" s="17">
        <v>0.5</v>
      </c>
      <c r="H409" s="17">
        <v>1.7</v>
      </c>
      <c r="I409" s="17">
        <v>14.7</v>
      </c>
      <c r="J409" s="17">
        <v>13.7</v>
      </c>
      <c r="K409" s="17">
        <v>4</v>
      </c>
      <c r="L409" s="17">
        <v>1.2</v>
      </c>
      <c r="M409" s="19">
        <v>0.12</v>
      </c>
      <c r="N409" s="19">
        <v>0.09</v>
      </c>
      <c r="O409" s="19">
        <v>0.08</v>
      </c>
      <c r="P409" s="28">
        <v>0</v>
      </c>
      <c r="Q409" s="17">
        <v>0</v>
      </c>
      <c r="R409" s="17">
        <v>0</v>
      </c>
      <c r="S409" s="17">
        <v>10.199999999999999</v>
      </c>
      <c r="T409" s="17">
        <v>0</v>
      </c>
      <c r="U409" s="17">
        <v>0.6</v>
      </c>
      <c r="V409" s="17">
        <v>16.399999999999999</v>
      </c>
      <c r="W409" s="17">
        <v>0.1</v>
      </c>
      <c r="X409" s="17">
        <v>0.1</v>
      </c>
      <c r="Y409" s="17">
        <v>0.3</v>
      </c>
      <c r="Z409" s="17">
        <v>0.1</v>
      </c>
      <c r="AA409" s="17">
        <v>0.4</v>
      </c>
      <c r="AB409" s="17">
        <v>0</v>
      </c>
      <c r="AC409" s="17">
        <v>38</v>
      </c>
      <c r="AD409" s="17">
        <v>3</v>
      </c>
      <c r="AE409" s="17">
        <v>236</v>
      </c>
      <c r="AF409" s="17">
        <v>10</v>
      </c>
      <c r="AG409" s="17">
        <v>36</v>
      </c>
      <c r="AH409" s="17">
        <v>12</v>
      </c>
      <c r="AI409" s="17">
        <v>0.3</v>
      </c>
      <c r="AJ409" s="17">
        <v>0.4</v>
      </c>
      <c r="AK409" s="17">
        <v>0.2</v>
      </c>
      <c r="AL409" s="17">
        <v>0.5</v>
      </c>
      <c r="AM409" s="27">
        <v>0</v>
      </c>
    </row>
    <row r="410" spans="1:39" x14ac:dyDescent="0.25">
      <c r="A410" s="10">
        <v>409</v>
      </c>
      <c r="B410" s="9" t="s">
        <v>499</v>
      </c>
      <c r="C410" s="9" t="s">
        <v>517</v>
      </c>
      <c r="D410" s="10">
        <v>1</v>
      </c>
      <c r="E410" s="11">
        <v>56</v>
      </c>
      <c r="F410" s="17">
        <v>84</v>
      </c>
      <c r="G410" s="17">
        <v>0.7</v>
      </c>
      <c r="H410" s="17">
        <v>1.4</v>
      </c>
      <c r="I410" s="17">
        <v>9.5</v>
      </c>
      <c r="J410" s="17">
        <v>7.4</v>
      </c>
      <c r="K410" s="17">
        <v>4.3</v>
      </c>
      <c r="L410" s="17">
        <v>0.2</v>
      </c>
      <c r="M410" s="19">
        <v>0.02</v>
      </c>
      <c r="N410" s="19">
        <v>0.03</v>
      </c>
      <c r="O410" s="19">
        <v>0.09</v>
      </c>
      <c r="P410" s="28">
        <v>0</v>
      </c>
      <c r="Q410" s="17">
        <v>0</v>
      </c>
      <c r="R410" s="17">
        <v>2</v>
      </c>
      <c r="S410" s="17">
        <v>41</v>
      </c>
      <c r="T410" s="17">
        <v>0</v>
      </c>
      <c r="U410" s="17">
        <v>0.1</v>
      </c>
      <c r="V410" s="17">
        <v>11</v>
      </c>
      <c r="W410" s="17">
        <v>0</v>
      </c>
      <c r="X410" s="17">
        <v>0.1</v>
      </c>
      <c r="Y410" s="17">
        <v>0.1</v>
      </c>
      <c r="Z410" s="17">
        <v>0.1</v>
      </c>
      <c r="AA410" s="17">
        <v>0.1</v>
      </c>
      <c r="AB410" s="17">
        <v>0</v>
      </c>
      <c r="AC410" s="17">
        <v>8</v>
      </c>
      <c r="AD410" s="17">
        <v>1</v>
      </c>
      <c r="AE410" s="17">
        <v>275</v>
      </c>
      <c r="AF410" s="17">
        <v>33</v>
      </c>
      <c r="AG410" s="17">
        <v>44</v>
      </c>
      <c r="AH410" s="17">
        <v>13</v>
      </c>
      <c r="AI410" s="17">
        <v>1</v>
      </c>
      <c r="AJ410" s="17">
        <v>0.2</v>
      </c>
      <c r="AK410" s="17">
        <v>0.1</v>
      </c>
      <c r="AL410" s="17">
        <v>0.6</v>
      </c>
      <c r="AM410" s="27">
        <v>0</v>
      </c>
    </row>
    <row r="411" spans="1:39" x14ac:dyDescent="0.25">
      <c r="A411" s="10">
        <v>410</v>
      </c>
      <c r="B411" s="9" t="s">
        <v>499</v>
      </c>
      <c r="C411" s="9" t="s">
        <v>518</v>
      </c>
      <c r="D411" s="10">
        <v>1</v>
      </c>
      <c r="E411" s="11">
        <v>68</v>
      </c>
      <c r="F411" s="17">
        <v>80.8</v>
      </c>
      <c r="G411" s="17">
        <v>1.4</v>
      </c>
      <c r="H411" s="17">
        <v>2.6</v>
      </c>
      <c r="I411" s="17">
        <v>8.9</v>
      </c>
      <c r="J411" s="17">
        <v>8.9</v>
      </c>
      <c r="K411" s="17">
        <v>5.4</v>
      </c>
      <c r="L411" s="17">
        <v>1</v>
      </c>
      <c r="M411" s="19">
        <v>0.27</v>
      </c>
      <c r="N411" s="19">
        <v>0.09</v>
      </c>
      <c r="O411" s="19">
        <v>0.4</v>
      </c>
      <c r="P411" s="28">
        <v>0</v>
      </c>
      <c r="Q411" s="17">
        <v>0</v>
      </c>
      <c r="R411" s="17">
        <v>31</v>
      </c>
      <c r="S411" s="17">
        <v>228.3</v>
      </c>
      <c r="T411" s="17">
        <v>0</v>
      </c>
      <c r="U411" s="17">
        <v>0.7</v>
      </c>
      <c r="V411" s="17">
        <v>2.6</v>
      </c>
      <c r="W411" s="17">
        <v>0.1</v>
      </c>
      <c r="X411" s="17">
        <v>0</v>
      </c>
      <c r="Y411" s="17">
        <v>1.1000000000000001</v>
      </c>
      <c r="Z411" s="17">
        <v>0.1</v>
      </c>
      <c r="AA411" s="17">
        <v>0.5</v>
      </c>
      <c r="AB411" s="17">
        <v>0</v>
      </c>
      <c r="AC411" s="17">
        <v>49</v>
      </c>
      <c r="AD411" s="17">
        <v>2</v>
      </c>
      <c r="AE411" s="17">
        <v>417</v>
      </c>
      <c r="AF411" s="17">
        <v>18</v>
      </c>
      <c r="AG411" s="17">
        <v>40</v>
      </c>
      <c r="AH411" s="17">
        <v>22</v>
      </c>
      <c r="AI411" s="17">
        <v>0.3</v>
      </c>
      <c r="AJ411" s="17">
        <v>0.2</v>
      </c>
      <c r="AK411" s="17">
        <v>0.2</v>
      </c>
      <c r="AL411" s="17">
        <v>0.6</v>
      </c>
      <c r="AM411" s="27">
        <v>0</v>
      </c>
    </row>
    <row r="412" spans="1:39" x14ac:dyDescent="0.25">
      <c r="A412" s="10">
        <v>411</v>
      </c>
      <c r="B412" s="9" t="s">
        <v>499</v>
      </c>
      <c r="C412" s="9" t="s">
        <v>519</v>
      </c>
      <c r="D412" s="10">
        <v>1</v>
      </c>
      <c r="E412" s="11">
        <v>63</v>
      </c>
      <c r="F412" s="17">
        <v>82.3</v>
      </c>
      <c r="G412" s="17">
        <v>0.5</v>
      </c>
      <c r="H412" s="17">
        <v>1.1000000000000001</v>
      </c>
      <c r="I412" s="17">
        <v>13.9</v>
      </c>
      <c r="J412" s="17">
        <v>12.8</v>
      </c>
      <c r="K412" s="17">
        <v>2.1</v>
      </c>
      <c r="L412" s="17">
        <v>0.2</v>
      </c>
      <c r="M412" s="19">
        <v>0.04</v>
      </c>
      <c r="N412" s="19">
        <v>0.05</v>
      </c>
      <c r="O412" s="19">
        <v>0.05</v>
      </c>
      <c r="P412" s="28">
        <v>0</v>
      </c>
      <c r="Q412" s="17">
        <v>0</v>
      </c>
      <c r="R412" s="17">
        <v>3</v>
      </c>
      <c r="S412" s="17">
        <v>7</v>
      </c>
      <c r="T412" s="17">
        <v>0</v>
      </c>
      <c r="U412" s="17">
        <v>0.1</v>
      </c>
      <c r="V412" s="17">
        <v>2.1</v>
      </c>
      <c r="W412" s="17">
        <v>0</v>
      </c>
      <c r="X412" s="17">
        <v>0</v>
      </c>
      <c r="Y412" s="17">
        <v>0.2</v>
      </c>
      <c r="Z412" s="17">
        <v>0</v>
      </c>
      <c r="AA412" s="17">
        <v>0.2</v>
      </c>
      <c r="AB412" s="17">
        <v>0</v>
      </c>
      <c r="AC412" s="17">
        <v>4</v>
      </c>
      <c r="AD412" s="17">
        <v>0</v>
      </c>
      <c r="AE412" s="17">
        <v>222</v>
      </c>
      <c r="AF412" s="17">
        <v>13</v>
      </c>
      <c r="AG412" s="17">
        <v>21</v>
      </c>
      <c r="AH412" s="17">
        <v>11</v>
      </c>
      <c r="AI412" s="17">
        <v>0.4</v>
      </c>
      <c r="AJ412" s="17">
        <v>0.1</v>
      </c>
      <c r="AK412" s="17">
        <v>0.1</v>
      </c>
      <c r="AL412" s="17">
        <v>0</v>
      </c>
      <c r="AM412" s="27">
        <v>0</v>
      </c>
    </row>
    <row r="413" spans="1:39" x14ac:dyDescent="0.25">
      <c r="A413" s="10">
        <v>412</v>
      </c>
      <c r="B413" s="9" t="s">
        <v>499</v>
      </c>
      <c r="C413" s="9" t="s">
        <v>520</v>
      </c>
      <c r="D413" s="10">
        <v>1</v>
      </c>
      <c r="E413" s="11">
        <v>50</v>
      </c>
      <c r="F413" s="17">
        <v>86.1</v>
      </c>
      <c r="G413" s="17">
        <v>0.4</v>
      </c>
      <c r="H413" s="17">
        <v>1</v>
      </c>
      <c r="I413" s="17">
        <v>10.6</v>
      </c>
      <c r="J413" s="17">
        <v>8.5</v>
      </c>
      <c r="K413" s="17">
        <v>1.6</v>
      </c>
      <c r="L413" s="17">
        <v>0.3</v>
      </c>
      <c r="M413" s="19">
        <v>7.0000000000000007E-2</v>
      </c>
      <c r="N413" s="19">
        <v>0.08</v>
      </c>
      <c r="O413" s="19">
        <v>0.09</v>
      </c>
      <c r="P413" s="28">
        <v>0</v>
      </c>
      <c r="Q413" s="17">
        <v>0</v>
      </c>
      <c r="R413" s="17">
        <v>64</v>
      </c>
      <c r="S413" s="17">
        <v>10</v>
      </c>
      <c r="T413" s="17">
        <v>0</v>
      </c>
      <c r="U413" s="17">
        <v>0.1</v>
      </c>
      <c r="V413" s="17">
        <v>2.1</v>
      </c>
      <c r="W413" s="17">
        <v>0</v>
      </c>
      <c r="X413" s="17">
        <v>0</v>
      </c>
      <c r="Y413" s="17">
        <v>0.4</v>
      </c>
      <c r="Z413" s="17">
        <v>0</v>
      </c>
      <c r="AA413" s="17">
        <v>0.1</v>
      </c>
      <c r="AB413" s="17">
        <v>0</v>
      </c>
      <c r="AC413" s="17">
        <v>8</v>
      </c>
      <c r="AD413" s="17">
        <v>3</v>
      </c>
      <c r="AE413" s="17">
        <v>173</v>
      </c>
      <c r="AF413" s="17">
        <v>16</v>
      </c>
      <c r="AG413" s="17">
        <v>15</v>
      </c>
      <c r="AH413" s="17">
        <v>9</v>
      </c>
      <c r="AI413" s="17">
        <v>0.3</v>
      </c>
      <c r="AJ413" s="17">
        <v>0.1</v>
      </c>
      <c r="AK413" s="17">
        <v>0.1</v>
      </c>
      <c r="AL413" s="17">
        <v>0</v>
      </c>
      <c r="AM413" s="27">
        <v>0</v>
      </c>
    </row>
    <row r="414" spans="1:39" x14ac:dyDescent="0.25">
      <c r="A414" s="10">
        <v>413</v>
      </c>
      <c r="B414" s="9" t="s">
        <v>499</v>
      </c>
      <c r="C414" s="9" t="s">
        <v>521</v>
      </c>
      <c r="D414" s="10">
        <v>1</v>
      </c>
      <c r="E414" s="11">
        <v>74</v>
      </c>
      <c r="F414" s="17">
        <v>79.099999999999994</v>
      </c>
      <c r="G414" s="17">
        <v>0.7</v>
      </c>
      <c r="H414" s="17">
        <v>0.8</v>
      </c>
      <c r="I414" s="17">
        <v>16.3</v>
      </c>
      <c r="J414" s="17">
        <v>16.3</v>
      </c>
      <c r="K414" s="17">
        <v>2.9</v>
      </c>
      <c r="L414" s="17">
        <v>0.3</v>
      </c>
      <c r="M414" s="19">
        <v>0.06</v>
      </c>
      <c r="N414" s="19">
        <v>7.0000000000000007E-2</v>
      </c>
      <c r="O414" s="19">
        <v>0.14000000000000001</v>
      </c>
      <c r="P414" s="28">
        <v>0</v>
      </c>
      <c r="Q414" s="17">
        <v>0</v>
      </c>
      <c r="R414" s="17">
        <v>7</v>
      </c>
      <c r="S414" s="17">
        <v>2</v>
      </c>
      <c r="T414" s="17">
        <v>0</v>
      </c>
      <c r="U414" s="17">
        <v>0.1</v>
      </c>
      <c r="V414" s="17">
        <v>4.7</v>
      </c>
      <c r="W414" s="17">
        <v>0.1</v>
      </c>
      <c r="X414" s="17">
        <v>0.1</v>
      </c>
      <c r="Y414" s="17">
        <v>0.4</v>
      </c>
      <c r="Z414" s="17">
        <v>0.1</v>
      </c>
      <c r="AA414" s="17">
        <v>0.3</v>
      </c>
      <c r="AB414" s="17">
        <v>0</v>
      </c>
      <c r="AC414" s="17">
        <v>6</v>
      </c>
      <c r="AD414" s="17">
        <v>1</v>
      </c>
      <c r="AE414" s="17">
        <v>232</v>
      </c>
      <c r="AF414" s="17">
        <v>35</v>
      </c>
      <c r="AG414" s="17">
        <v>14</v>
      </c>
      <c r="AH414" s="17">
        <v>17</v>
      </c>
      <c r="AI414" s="17">
        <v>0.4</v>
      </c>
      <c r="AJ414" s="17">
        <v>0.2</v>
      </c>
      <c r="AK414" s="17">
        <v>0.1</v>
      </c>
      <c r="AL414" s="17">
        <v>0.2</v>
      </c>
      <c r="AM414" s="27">
        <v>0</v>
      </c>
    </row>
    <row r="415" spans="1:39" x14ac:dyDescent="0.25">
      <c r="A415" s="10">
        <v>414</v>
      </c>
      <c r="B415" s="9" t="s">
        <v>499</v>
      </c>
      <c r="C415" s="9" t="s">
        <v>522</v>
      </c>
      <c r="D415" s="10">
        <v>1</v>
      </c>
      <c r="E415" s="11">
        <v>249</v>
      </c>
      <c r="F415" s="17">
        <v>30.1</v>
      </c>
      <c r="G415" s="17">
        <v>1.9</v>
      </c>
      <c r="H415" s="17">
        <v>3.3</v>
      </c>
      <c r="I415" s="17">
        <v>54.1</v>
      </c>
      <c r="J415" s="17">
        <v>47.9</v>
      </c>
      <c r="K415" s="17">
        <v>9.8000000000000007</v>
      </c>
      <c r="L415" s="17">
        <v>0.9</v>
      </c>
      <c r="M415" s="19">
        <v>0.14000000000000001</v>
      </c>
      <c r="N415" s="19">
        <v>0.16</v>
      </c>
      <c r="O415" s="19">
        <v>0.35</v>
      </c>
      <c r="P415" s="28">
        <v>0</v>
      </c>
      <c r="Q415" s="17">
        <v>0</v>
      </c>
      <c r="R415" s="17">
        <v>0</v>
      </c>
      <c r="S415" s="17">
        <v>1.2</v>
      </c>
      <c r="T415" s="17">
        <v>0</v>
      </c>
      <c r="U415" s="17">
        <v>0.4</v>
      </c>
      <c r="V415" s="17">
        <v>15.6</v>
      </c>
      <c r="W415" s="17">
        <v>0.1</v>
      </c>
      <c r="X415" s="17">
        <v>0.1</v>
      </c>
      <c r="Y415" s="17">
        <v>0.6</v>
      </c>
      <c r="Z415" s="17">
        <v>0.1</v>
      </c>
      <c r="AA415" s="17">
        <v>0.4</v>
      </c>
      <c r="AB415" s="17">
        <v>0</v>
      </c>
      <c r="AC415" s="17">
        <v>9</v>
      </c>
      <c r="AD415" s="17">
        <v>10</v>
      </c>
      <c r="AE415" s="17">
        <v>680</v>
      </c>
      <c r="AF415" s="17">
        <v>162</v>
      </c>
      <c r="AG415" s="17">
        <v>67</v>
      </c>
      <c r="AH415" s="17">
        <v>68</v>
      </c>
      <c r="AI415" s="17">
        <v>2</v>
      </c>
      <c r="AJ415" s="17">
        <v>0.6</v>
      </c>
      <c r="AK415" s="17">
        <v>0.3</v>
      </c>
      <c r="AL415" s="17">
        <v>0.6</v>
      </c>
      <c r="AM415" s="27">
        <v>0</v>
      </c>
    </row>
    <row r="416" spans="1:39" x14ac:dyDescent="0.25">
      <c r="A416" s="10">
        <v>415</v>
      </c>
      <c r="B416" s="9" t="s">
        <v>499</v>
      </c>
      <c r="C416" s="9" t="s">
        <v>523</v>
      </c>
      <c r="D416" s="10">
        <v>1</v>
      </c>
      <c r="E416" s="11">
        <v>239</v>
      </c>
      <c r="F416" s="17">
        <v>31.8</v>
      </c>
      <c r="G416" s="17">
        <v>2.5</v>
      </c>
      <c r="H416" s="17">
        <v>3.6</v>
      </c>
      <c r="I416" s="17">
        <v>53.1</v>
      </c>
      <c r="J416" s="17">
        <v>41.7</v>
      </c>
      <c r="K416" s="17">
        <v>8.1999999999999993</v>
      </c>
      <c r="L416" s="17">
        <v>0.8</v>
      </c>
      <c r="M416" s="19">
        <v>0.08</v>
      </c>
      <c r="N416" s="19">
        <v>0.28000000000000003</v>
      </c>
      <c r="O416" s="19">
        <v>0.37</v>
      </c>
      <c r="P416" s="28">
        <v>0</v>
      </c>
      <c r="Q416" s="17">
        <v>0</v>
      </c>
      <c r="R416" s="17">
        <v>108</v>
      </c>
      <c r="S416" s="17">
        <v>4.8</v>
      </c>
      <c r="T416" s="17">
        <v>0</v>
      </c>
      <c r="U416" s="17">
        <v>0.2</v>
      </c>
      <c r="V416" s="17">
        <v>15.7</v>
      </c>
      <c r="W416" s="17">
        <v>0</v>
      </c>
      <c r="X416" s="17">
        <v>0.2</v>
      </c>
      <c r="Y416" s="17">
        <v>4.4000000000000004</v>
      </c>
      <c r="Z416" s="17">
        <v>0.1</v>
      </c>
      <c r="AA416" s="17">
        <v>0.6</v>
      </c>
      <c r="AB416" s="17">
        <v>0</v>
      </c>
      <c r="AC416" s="17">
        <v>0</v>
      </c>
      <c r="AD416" s="17">
        <v>7</v>
      </c>
      <c r="AE416" s="17">
        <v>996</v>
      </c>
      <c r="AF416" s="17">
        <v>28</v>
      </c>
      <c r="AG416" s="17">
        <v>119</v>
      </c>
      <c r="AH416" s="17">
        <v>42</v>
      </c>
      <c r="AI416" s="17">
        <v>4.0999999999999996</v>
      </c>
      <c r="AJ416" s="17">
        <v>0.6</v>
      </c>
      <c r="AK416" s="17">
        <v>0.4</v>
      </c>
      <c r="AL416" s="17">
        <v>0.5</v>
      </c>
      <c r="AM416" s="27">
        <v>0</v>
      </c>
    </row>
    <row r="417" spans="1:39" x14ac:dyDescent="0.25">
      <c r="A417" s="10">
        <v>416</v>
      </c>
      <c r="B417" s="9" t="s">
        <v>499</v>
      </c>
      <c r="C417" s="9" t="s">
        <v>524</v>
      </c>
      <c r="D417" s="10">
        <v>1</v>
      </c>
      <c r="E417" s="11">
        <v>61</v>
      </c>
      <c r="F417" s="17">
        <v>83.1</v>
      </c>
      <c r="G417" s="17">
        <v>0.6</v>
      </c>
      <c r="H417" s="17">
        <v>1.1000000000000001</v>
      </c>
      <c r="I417" s="17">
        <v>11.7</v>
      </c>
      <c r="J417" s="17">
        <v>9</v>
      </c>
      <c r="K417" s="17">
        <v>3</v>
      </c>
      <c r="L417" s="17">
        <v>0.5</v>
      </c>
      <c r="M417" s="19">
        <v>0.03</v>
      </c>
      <c r="N417" s="19">
        <v>0.05</v>
      </c>
      <c r="O417" s="19">
        <v>0.28999999999999998</v>
      </c>
      <c r="P417" s="28">
        <v>0</v>
      </c>
      <c r="Q417" s="17">
        <v>0</v>
      </c>
      <c r="R417" s="17">
        <v>4</v>
      </c>
      <c r="S417" s="17">
        <v>92.7</v>
      </c>
      <c r="T417" s="17">
        <v>0</v>
      </c>
      <c r="U417" s="17">
        <v>1.5</v>
      </c>
      <c r="V417" s="17">
        <v>40.299999999999997</v>
      </c>
      <c r="W417" s="17">
        <v>0</v>
      </c>
      <c r="X417" s="17">
        <v>0</v>
      </c>
      <c r="Y417" s="17">
        <v>0.3</v>
      </c>
      <c r="Z417" s="17">
        <v>0.1</v>
      </c>
      <c r="AA417" s="17">
        <v>0.2</v>
      </c>
      <c r="AB417" s="17">
        <v>0</v>
      </c>
      <c r="AC417" s="17">
        <v>25</v>
      </c>
      <c r="AD417" s="17">
        <v>3</v>
      </c>
      <c r="AE417" s="17">
        <v>312</v>
      </c>
      <c r="AF417" s="17">
        <v>34</v>
      </c>
      <c r="AG417" s="17">
        <v>34</v>
      </c>
      <c r="AH417" s="17">
        <v>17</v>
      </c>
      <c r="AI417" s="17">
        <v>0.3</v>
      </c>
      <c r="AJ417" s="17">
        <v>0.1</v>
      </c>
      <c r="AK417" s="17">
        <v>0.1</v>
      </c>
      <c r="AL417" s="17">
        <v>0.2</v>
      </c>
      <c r="AM417" s="27">
        <v>0</v>
      </c>
    </row>
    <row r="418" spans="1:39" x14ac:dyDescent="0.25">
      <c r="A418" s="10">
        <v>417</v>
      </c>
      <c r="B418" s="9" t="s">
        <v>499</v>
      </c>
      <c r="C418" s="9" t="s">
        <v>525</v>
      </c>
      <c r="D418" s="10">
        <v>1</v>
      </c>
      <c r="E418" s="11">
        <v>29</v>
      </c>
      <c r="F418" s="17">
        <v>89</v>
      </c>
      <c r="G418" s="17">
        <v>0.3</v>
      </c>
      <c r="H418" s="17">
        <v>1.1000000000000001</v>
      </c>
      <c r="I418" s="17">
        <v>6.5</v>
      </c>
      <c r="J418" s="17">
        <v>2.5</v>
      </c>
      <c r="K418" s="17">
        <v>2.8</v>
      </c>
      <c r="L418" s="17">
        <v>0.3</v>
      </c>
      <c r="M418" s="19">
        <v>0.04</v>
      </c>
      <c r="N418" s="19">
        <v>0.01</v>
      </c>
      <c r="O418" s="19">
        <v>0.09</v>
      </c>
      <c r="P418" s="28">
        <v>0</v>
      </c>
      <c r="Q418" s="17">
        <v>0</v>
      </c>
      <c r="R418" s="17">
        <v>1</v>
      </c>
      <c r="S418" s="17">
        <v>53</v>
      </c>
      <c r="T418" s="17">
        <v>0</v>
      </c>
      <c r="U418" s="17">
        <v>0.2</v>
      </c>
      <c r="V418" s="17">
        <v>0</v>
      </c>
      <c r="W418" s="17">
        <v>0</v>
      </c>
      <c r="X418" s="17">
        <v>0</v>
      </c>
      <c r="Y418" s="17">
        <v>0.1</v>
      </c>
      <c r="Z418" s="17">
        <v>0.1</v>
      </c>
      <c r="AA418" s="17">
        <v>0.2</v>
      </c>
      <c r="AB418" s="17">
        <v>0</v>
      </c>
      <c r="AC418" s="17">
        <v>11</v>
      </c>
      <c r="AD418" s="17">
        <v>2</v>
      </c>
      <c r="AE418" s="17">
        <v>138</v>
      </c>
      <c r="AF418" s="17">
        <v>26</v>
      </c>
      <c r="AG418" s="17">
        <v>16</v>
      </c>
      <c r="AH418" s="17">
        <v>8</v>
      </c>
      <c r="AI418" s="17">
        <v>0.6</v>
      </c>
      <c r="AJ418" s="17">
        <v>0.1</v>
      </c>
      <c r="AK418" s="17">
        <v>0</v>
      </c>
      <c r="AL418" s="17">
        <v>0.4</v>
      </c>
      <c r="AM418" s="27">
        <v>0</v>
      </c>
    </row>
    <row r="419" spans="1:39" x14ac:dyDescent="0.25">
      <c r="A419" s="10">
        <v>418</v>
      </c>
      <c r="B419" s="9" t="s">
        <v>499</v>
      </c>
      <c r="C419" s="9" t="s">
        <v>526</v>
      </c>
      <c r="D419" s="10">
        <v>1</v>
      </c>
      <c r="E419" s="11">
        <v>53</v>
      </c>
      <c r="F419" s="17">
        <v>85.2</v>
      </c>
      <c r="G419" s="17">
        <v>0.4</v>
      </c>
      <c r="H419" s="17">
        <v>0.8</v>
      </c>
      <c r="I419" s="17">
        <v>11.5</v>
      </c>
      <c r="J419" s="17">
        <v>10.6</v>
      </c>
      <c r="K419" s="17">
        <v>1.8</v>
      </c>
      <c r="L419" s="17">
        <v>0.3</v>
      </c>
      <c r="M419" s="19">
        <v>0.04</v>
      </c>
      <c r="N419" s="19">
        <v>0.06</v>
      </c>
      <c r="O419" s="19">
        <v>7.0000000000000007E-2</v>
      </c>
      <c r="P419" s="28">
        <v>0</v>
      </c>
      <c r="Q419" s="17">
        <v>0</v>
      </c>
      <c r="R419" s="17">
        <v>34</v>
      </c>
      <c r="S419" s="17">
        <v>26.7</v>
      </c>
      <c r="T419" s="17">
        <v>0</v>
      </c>
      <c r="U419" s="17">
        <v>0.2</v>
      </c>
      <c r="V419" s="17">
        <v>0</v>
      </c>
      <c r="W419" s="17">
        <v>0.1</v>
      </c>
      <c r="X419" s="17">
        <v>0</v>
      </c>
      <c r="Y419" s="17">
        <v>0.4</v>
      </c>
      <c r="Z419" s="17">
        <v>0.1</v>
      </c>
      <c r="AA419" s="17">
        <v>0.2</v>
      </c>
      <c r="AB419" s="17">
        <v>0</v>
      </c>
      <c r="AC419" s="17">
        <v>16</v>
      </c>
      <c r="AD419" s="17">
        <v>2</v>
      </c>
      <c r="AE419" s="17">
        <v>166</v>
      </c>
      <c r="AF419" s="17">
        <v>37</v>
      </c>
      <c r="AG419" s="17">
        <v>20</v>
      </c>
      <c r="AH419" s="17">
        <v>12</v>
      </c>
      <c r="AI419" s="17">
        <v>0.2</v>
      </c>
      <c r="AJ419" s="17">
        <v>0.1</v>
      </c>
      <c r="AK419" s="17">
        <v>0</v>
      </c>
      <c r="AL419" s="17">
        <v>0.1</v>
      </c>
      <c r="AM419" s="27">
        <v>0</v>
      </c>
    </row>
    <row r="420" spans="1:39" x14ac:dyDescent="0.25">
      <c r="A420" s="10">
        <v>419</v>
      </c>
      <c r="B420" s="9" t="s">
        <v>499</v>
      </c>
      <c r="C420" s="9" t="s">
        <v>527</v>
      </c>
      <c r="D420" s="10">
        <v>1</v>
      </c>
      <c r="E420" s="11">
        <v>60</v>
      </c>
      <c r="F420" s="17">
        <v>83.5</v>
      </c>
      <c r="G420" s="17">
        <v>0.4</v>
      </c>
      <c r="H420" s="17">
        <v>0.8</v>
      </c>
      <c r="I420" s="17">
        <v>13.4</v>
      </c>
      <c r="J420" s="17">
        <v>13.7</v>
      </c>
      <c r="K420" s="17">
        <v>1.6</v>
      </c>
      <c r="L420" s="17">
        <v>0.4</v>
      </c>
      <c r="M420" s="19">
        <v>0.09</v>
      </c>
      <c r="N420" s="19">
        <v>0.14000000000000001</v>
      </c>
      <c r="O420" s="19">
        <v>7.0000000000000007E-2</v>
      </c>
      <c r="P420" s="28">
        <v>0</v>
      </c>
      <c r="Q420" s="17">
        <v>0</v>
      </c>
      <c r="R420" s="17">
        <v>54</v>
      </c>
      <c r="S420" s="17">
        <v>36.4</v>
      </c>
      <c r="T420" s="17">
        <v>0</v>
      </c>
      <c r="U420" s="17">
        <v>0.9</v>
      </c>
      <c r="V420" s="17">
        <v>4.2</v>
      </c>
      <c r="W420" s="17">
        <v>0</v>
      </c>
      <c r="X420" s="17">
        <v>0</v>
      </c>
      <c r="Y420" s="17">
        <v>0.7</v>
      </c>
      <c r="Z420" s="17">
        <v>0.1</v>
      </c>
      <c r="AA420" s="17">
        <v>0.2</v>
      </c>
      <c r="AB420" s="17">
        <v>0</v>
      </c>
      <c r="AC420" s="17">
        <v>43</v>
      </c>
      <c r="AD420" s="17">
        <v>1</v>
      </c>
      <c r="AE420" s="17">
        <v>168</v>
      </c>
      <c r="AF420" s="17">
        <v>11</v>
      </c>
      <c r="AG420" s="17">
        <v>14</v>
      </c>
      <c r="AH420" s="17">
        <v>10</v>
      </c>
      <c r="AI420" s="17">
        <v>0.2</v>
      </c>
      <c r="AJ420" s="17">
        <v>0.1</v>
      </c>
      <c r="AK420" s="17">
        <v>0.1</v>
      </c>
      <c r="AL420" s="17">
        <v>0.6</v>
      </c>
      <c r="AM420" s="27">
        <v>0</v>
      </c>
    </row>
    <row r="421" spans="1:39" x14ac:dyDescent="0.25">
      <c r="A421" s="10">
        <v>420</v>
      </c>
      <c r="B421" s="9" t="s">
        <v>499</v>
      </c>
      <c r="C421" s="9" t="s">
        <v>528</v>
      </c>
      <c r="D421" s="10">
        <v>1</v>
      </c>
      <c r="E421" s="11">
        <v>52</v>
      </c>
      <c r="F421" s="17">
        <v>85.6</v>
      </c>
      <c r="G421" s="17">
        <v>0.2</v>
      </c>
      <c r="H421" s="17">
        <v>0.3</v>
      </c>
      <c r="I421" s="17">
        <v>11.4</v>
      </c>
      <c r="J421" s="17">
        <v>10.4</v>
      </c>
      <c r="K421" s="17">
        <v>2.4</v>
      </c>
      <c r="L421" s="17">
        <v>0.2</v>
      </c>
      <c r="M421" s="19">
        <v>0.03</v>
      </c>
      <c r="N421" s="19">
        <v>0.01</v>
      </c>
      <c r="O421" s="19">
        <v>0.05</v>
      </c>
      <c r="P421" s="28">
        <v>0</v>
      </c>
      <c r="Q421" s="17">
        <v>0</v>
      </c>
      <c r="R421" s="17">
        <v>3</v>
      </c>
      <c r="S421" s="17">
        <v>4.5999999999999996</v>
      </c>
      <c r="T421" s="17">
        <v>0</v>
      </c>
      <c r="U421" s="17">
        <v>0.2</v>
      </c>
      <c r="V421" s="17">
        <v>2.2000000000000002</v>
      </c>
      <c r="W421" s="17">
        <v>0</v>
      </c>
      <c r="X421" s="17">
        <v>0</v>
      </c>
      <c r="Y421" s="17">
        <v>0.1</v>
      </c>
      <c r="Z421" s="17">
        <v>0</v>
      </c>
      <c r="AA421" s="17">
        <v>0.1</v>
      </c>
      <c r="AB421" s="17">
        <v>0</v>
      </c>
      <c r="AC421" s="17">
        <v>3</v>
      </c>
      <c r="AD421" s="17">
        <v>1</v>
      </c>
      <c r="AE421" s="17">
        <v>107</v>
      </c>
      <c r="AF421" s="17">
        <v>6</v>
      </c>
      <c r="AG421" s="17">
        <v>11</v>
      </c>
      <c r="AH421" s="17">
        <v>5</v>
      </c>
      <c r="AI421" s="17">
        <v>0.1</v>
      </c>
      <c r="AJ421" s="17">
        <v>0</v>
      </c>
      <c r="AK421" s="17">
        <v>0</v>
      </c>
      <c r="AL421" s="17">
        <v>0</v>
      </c>
      <c r="AM421" s="27">
        <v>0</v>
      </c>
    </row>
    <row r="422" spans="1:39" x14ac:dyDescent="0.25">
      <c r="A422" s="10">
        <v>421</v>
      </c>
      <c r="B422" s="9" t="s">
        <v>499</v>
      </c>
      <c r="C422" s="9" t="s">
        <v>529</v>
      </c>
      <c r="D422" s="10">
        <v>1</v>
      </c>
      <c r="E422" s="11">
        <v>63</v>
      </c>
      <c r="F422" s="17">
        <v>84.2</v>
      </c>
      <c r="G422" s="17">
        <v>0.2</v>
      </c>
      <c r="H422" s="17">
        <v>0.2</v>
      </c>
      <c r="I422" s="17">
        <v>13.1</v>
      </c>
      <c r="J422" s="17">
        <v>11.7</v>
      </c>
      <c r="K422" s="17">
        <v>2.1</v>
      </c>
      <c r="L422" s="17">
        <v>0.2</v>
      </c>
      <c r="M422" s="22" t="s">
        <v>100</v>
      </c>
      <c r="N422" s="22" t="s">
        <v>100</v>
      </c>
      <c r="O422" s="22" t="s">
        <v>100</v>
      </c>
      <c r="P422" s="28">
        <v>0</v>
      </c>
      <c r="Q422" s="22" t="s">
        <v>100</v>
      </c>
      <c r="R422" s="17">
        <v>2</v>
      </c>
      <c r="S422" s="22" t="s">
        <v>100</v>
      </c>
      <c r="T422" s="22" t="s">
        <v>100</v>
      </c>
      <c r="U422" s="17">
        <v>0.2</v>
      </c>
      <c r="V422" s="17">
        <v>1</v>
      </c>
      <c r="W422" s="17">
        <v>0</v>
      </c>
      <c r="X422" s="17">
        <v>0</v>
      </c>
      <c r="Y422" s="17">
        <v>0.1</v>
      </c>
      <c r="Z422" s="17">
        <v>0</v>
      </c>
      <c r="AA422" s="17">
        <v>0.1</v>
      </c>
      <c r="AB422" s="22" t="s">
        <v>100</v>
      </c>
      <c r="AC422" s="17">
        <v>3</v>
      </c>
      <c r="AD422" s="17">
        <v>1</v>
      </c>
      <c r="AE422" s="17">
        <v>109</v>
      </c>
      <c r="AF422" s="17">
        <v>7</v>
      </c>
      <c r="AG422" s="17">
        <v>13</v>
      </c>
      <c r="AH422" s="17">
        <v>5</v>
      </c>
      <c r="AI422" s="17">
        <v>0.1</v>
      </c>
      <c r="AJ422" s="17">
        <v>0</v>
      </c>
      <c r="AK422" s="17">
        <v>0</v>
      </c>
      <c r="AL422" s="17">
        <v>0</v>
      </c>
      <c r="AM422" s="27">
        <v>0</v>
      </c>
    </row>
    <row r="423" spans="1:39" x14ac:dyDescent="0.25">
      <c r="A423" s="10">
        <v>422</v>
      </c>
      <c r="B423" s="9" t="s">
        <v>499</v>
      </c>
      <c r="C423" s="9" t="s">
        <v>530</v>
      </c>
      <c r="D423" s="10">
        <v>1</v>
      </c>
      <c r="E423" s="11">
        <v>57</v>
      </c>
      <c r="F423" s="17">
        <v>85.8</v>
      </c>
      <c r="G423" s="17">
        <v>0.2</v>
      </c>
      <c r="H423" s="17">
        <v>0.3</v>
      </c>
      <c r="I423" s="17">
        <v>11.2</v>
      </c>
      <c r="J423" s="17">
        <v>10</v>
      </c>
      <c r="K423" s="17">
        <v>2.4</v>
      </c>
      <c r="L423" s="17">
        <v>0.2</v>
      </c>
      <c r="M423" s="22" t="s">
        <v>100</v>
      </c>
      <c r="N423" s="22" t="s">
        <v>100</v>
      </c>
      <c r="O423" s="22" t="s">
        <v>100</v>
      </c>
      <c r="P423" s="28">
        <v>0</v>
      </c>
      <c r="Q423" s="22" t="s">
        <v>100</v>
      </c>
      <c r="R423" s="17">
        <v>3</v>
      </c>
      <c r="S423" s="22" t="s">
        <v>100</v>
      </c>
      <c r="T423" s="22" t="s">
        <v>100</v>
      </c>
      <c r="U423" s="17">
        <v>0.2</v>
      </c>
      <c r="V423" s="17">
        <v>1.8</v>
      </c>
      <c r="W423" s="17">
        <v>0</v>
      </c>
      <c r="X423" s="17">
        <v>0</v>
      </c>
      <c r="Y423" s="17">
        <v>0.1</v>
      </c>
      <c r="Z423" s="17">
        <v>0.1</v>
      </c>
      <c r="AA423" s="17">
        <v>0.1</v>
      </c>
      <c r="AB423" s="22" t="s">
        <v>100</v>
      </c>
      <c r="AC423" s="17">
        <v>3</v>
      </c>
      <c r="AD423" s="17">
        <v>2</v>
      </c>
      <c r="AE423" s="17">
        <v>100</v>
      </c>
      <c r="AF423" s="17">
        <v>6</v>
      </c>
      <c r="AG423" s="17">
        <v>10</v>
      </c>
      <c r="AH423" s="17">
        <v>5</v>
      </c>
      <c r="AI423" s="17">
        <v>0.1</v>
      </c>
      <c r="AJ423" s="17">
        <v>0</v>
      </c>
      <c r="AK423" s="17">
        <v>0</v>
      </c>
      <c r="AL423" s="17">
        <v>0</v>
      </c>
      <c r="AM423" s="27">
        <v>0</v>
      </c>
    </row>
    <row r="424" spans="1:39" x14ac:dyDescent="0.25">
      <c r="A424" s="10">
        <v>423</v>
      </c>
      <c r="B424" s="9" t="s">
        <v>499</v>
      </c>
      <c r="C424" s="9" t="s">
        <v>531</v>
      </c>
      <c r="D424" s="10">
        <v>1</v>
      </c>
      <c r="E424" s="11">
        <v>59</v>
      </c>
      <c r="F424" s="17">
        <v>85.3</v>
      </c>
      <c r="G424" s="17">
        <v>0.1</v>
      </c>
      <c r="H424" s="17">
        <v>0.3</v>
      </c>
      <c r="I424" s="17">
        <v>11.8</v>
      </c>
      <c r="J424" s="17">
        <v>10.5</v>
      </c>
      <c r="K424" s="17">
        <v>2.2999999999999998</v>
      </c>
      <c r="L424" s="17">
        <v>0.2</v>
      </c>
      <c r="M424" s="22" t="s">
        <v>100</v>
      </c>
      <c r="N424" s="22" t="s">
        <v>100</v>
      </c>
      <c r="O424" s="22" t="s">
        <v>100</v>
      </c>
      <c r="P424" s="28">
        <v>0</v>
      </c>
      <c r="Q424" s="22" t="s">
        <v>100</v>
      </c>
      <c r="R424" s="17">
        <v>3</v>
      </c>
      <c r="S424" s="22" t="s">
        <v>100</v>
      </c>
      <c r="T424" s="22" t="s">
        <v>100</v>
      </c>
      <c r="U424" s="17">
        <v>0.2</v>
      </c>
      <c r="V424" s="17">
        <v>2.6</v>
      </c>
      <c r="W424" s="17">
        <v>0</v>
      </c>
      <c r="X424" s="17">
        <v>0</v>
      </c>
      <c r="Y424" s="17">
        <v>0.1</v>
      </c>
      <c r="Z424" s="17">
        <v>0</v>
      </c>
      <c r="AA424" s="17">
        <v>0.1</v>
      </c>
      <c r="AB424" s="22" t="s">
        <v>100</v>
      </c>
      <c r="AC424" s="17">
        <v>3</v>
      </c>
      <c r="AD424" s="17">
        <v>1</v>
      </c>
      <c r="AE424" s="17">
        <v>104</v>
      </c>
      <c r="AF424" s="17">
        <v>6</v>
      </c>
      <c r="AG424" s="17">
        <v>12</v>
      </c>
      <c r="AH424" s="17">
        <v>5</v>
      </c>
      <c r="AI424" s="17">
        <v>0.1</v>
      </c>
      <c r="AJ424" s="17">
        <v>0</v>
      </c>
      <c r="AK424" s="17">
        <v>0</v>
      </c>
      <c r="AL424" s="17">
        <v>0</v>
      </c>
      <c r="AM424" s="27">
        <v>0</v>
      </c>
    </row>
    <row r="425" spans="1:39" x14ac:dyDescent="0.25">
      <c r="A425" s="10">
        <v>424</v>
      </c>
      <c r="B425" s="9" t="s">
        <v>499</v>
      </c>
      <c r="C425" s="9" t="s">
        <v>532</v>
      </c>
      <c r="D425" s="10">
        <v>1</v>
      </c>
      <c r="E425" s="11">
        <v>48</v>
      </c>
      <c r="F425" s="17">
        <v>86.7</v>
      </c>
      <c r="G425" s="17">
        <v>0.2</v>
      </c>
      <c r="H425" s="17">
        <v>0.3</v>
      </c>
      <c r="I425" s="17">
        <v>11.5</v>
      </c>
      <c r="J425" s="17">
        <v>10.1</v>
      </c>
      <c r="K425" s="17">
        <v>1.3</v>
      </c>
      <c r="L425" s="17">
        <v>0.1</v>
      </c>
      <c r="M425" s="19">
        <v>0.02</v>
      </c>
      <c r="N425" s="19">
        <v>0.01</v>
      </c>
      <c r="O425" s="19">
        <v>0.04</v>
      </c>
      <c r="P425" s="28">
        <v>0</v>
      </c>
      <c r="Q425" s="17">
        <v>0</v>
      </c>
      <c r="R425" s="17">
        <v>2</v>
      </c>
      <c r="S425" s="17">
        <v>4</v>
      </c>
      <c r="T425" s="17">
        <v>0</v>
      </c>
      <c r="U425" s="17">
        <v>0.1</v>
      </c>
      <c r="V425" s="17">
        <v>0.6</v>
      </c>
      <c r="W425" s="17">
        <v>0</v>
      </c>
      <c r="X425" s="17">
        <v>0</v>
      </c>
      <c r="Y425" s="17">
        <v>0.1</v>
      </c>
      <c r="Z425" s="17">
        <v>0</v>
      </c>
      <c r="AA425" s="17">
        <v>0.1</v>
      </c>
      <c r="AB425" s="17">
        <v>0</v>
      </c>
      <c r="AC425" s="17">
        <v>0</v>
      </c>
      <c r="AD425" s="17">
        <v>0</v>
      </c>
      <c r="AE425" s="17">
        <v>90</v>
      </c>
      <c r="AF425" s="17">
        <v>5</v>
      </c>
      <c r="AG425" s="17">
        <v>11</v>
      </c>
      <c r="AH425" s="17">
        <v>4</v>
      </c>
      <c r="AI425" s="17">
        <v>0.1</v>
      </c>
      <c r="AJ425" s="17">
        <v>0.1</v>
      </c>
      <c r="AK425" s="17">
        <v>0</v>
      </c>
      <c r="AL425" s="17">
        <v>0</v>
      </c>
      <c r="AM425" s="27">
        <v>0</v>
      </c>
    </row>
    <row r="426" spans="1:39" x14ac:dyDescent="0.25">
      <c r="A426" s="10">
        <v>425</v>
      </c>
      <c r="B426" s="9" t="s">
        <v>499</v>
      </c>
      <c r="C426" s="9" t="s">
        <v>533</v>
      </c>
      <c r="D426" s="10">
        <v>1</v>
      </c>
      <c r="E426" s="11">
        <v>58</v>
      </c>
      <c r="F426" s="17">
        <v>85.5</v>
      </c>
      <c r="G426" s="17">
        <v>0.3</v>
      </c>
      <c r="H426" s="17">
        <v>0.4</v>
      </c>
      <c r="I426" s="17">
        <v>10.8</v>
      </c>
      <c r="J426" s="17">
        <v>9.6</v>
      </c>
      <c r="K426" s="17">
        <v>2.8</v>
      </c>
      <c r="L426" s="17">
        <v>0.2</v>
      </c>
      <c r="M426" s="22" t="s">
        <v>100</v>
      </c>
      <c r="N426" s="22" t="s">
        <v>100</v>
      </c>
      <c r="O426" s="22" t="s">
        <v>100</v>
      </c>
      <c r="P426" s="28">
        <v>0</v>
      </c>
      <c r="Q426" s="22" t="s">
        <v>100</v>
      </c>
      <c r="R426" s="17">
        <v>5</v>
      </c>
      <c r="S426" s="22" t="s">
        <v>100</v>
      </c>
      <c r="T426" s="22" t="s">
        <v>100</v>
      </c>
      <c r="U426" s="17">
        <v>0.2</v>
      </c>
      <c r="V426" s="17">
        <v>3.2</v>
      </c>
      <c r="W426" s="17">
        <v>0</v>
      </c>
      <c r="X426" s="17">
        <v>0</v>
      </c>
      <c r="Y426" s="17">
        <v>0.1</v>
      </c>
      <c r="Z426" s="17">
        <v>0</v>
      </c>
      <c r="AA426" s="17">
        <v>0.1</v>
      </c>
      <c r="AB426" s="22" t="s">
        <v>100</v>
      </c>
      <c r="AC426" s="17">
        <v>3</v>
      </c>
      <c r="AD426" s="17">
        <v>1</v>
      </c>
      <c r="AE426" s="17">
        <v>120</v>
      </c>
      <c r="AF426" s="17">
        <v>5</v>
      </c>
      <c r="AG426" s="17">
        <v>12</v>
      </c>
      <c r="AH426" s="17">
        <v>5</v>
      </c>
      <c r="AI426" s="17">
        <v>0.2</v>
      </c>
      <c r="AJ426" s="17">
        <v>0</v>
      </c>
      <c r="AK426" s="17">
        <v>0</v>
      </c>
      <c r="AL426" s="17">
        <v>0.1</v>
      </c>
      <c r="AM426" s="27">
        <v>0</v>
      </c>
    </row>
    <row r="427" spans="1:39" x14ac:dyDescent="0.25">
      <c r="A427" s="10">
        <v>426</v>
      </c>
      <c r="B427" s="9" t="s">
        <v>499</v>
      </c>
      <c r="C427" s="9" t="s">
        <v>534</v>
      </c>
      <c r="D427" s="10">
        <v>1</v>
      </c>
      <c r="E427" s="11">
        <v>34</v>
      </c>
      <c r="F427" s="17">
        <v>90.2</v>
      </c>
      <c r="G427" s="17">
        <v>0.7</v>
      </c>
      <c r="H427" s="17">
        <v>0.8</v>
      </c>
      <c r="I427" s="17">
        <v>7.3</v>
      </c>
      <c r="J427" s="17">
        <v>7.9</v>
      </c>
      <c r="K427" s="17">
        <v>0.9</v>
      </c>
      <c r="L427" s="17">
        <v>0.2</v>
      </c>
      <c r="M427" s="19">
        <v>0.05</v>
      </c>
      <c r="N427" s="19">
        <v>0</v>
      </c>
      <c r="O427" s="19">
        <v>0.08</v>
      </c>
      <c r="P427" s="28">
        <v>0</v>
      </c>
      <c r="Q427" s="17">
        <v>0</v>
      </c>
      <c r="R427" s="17">
        <v>169</v>
      </c>
      <c r="S427" s="17">
        <v>36.700000000000003</v>
      </c>
      <c r="T427" s="17">
        <v>0</v>
      </c>
      <c r="U427" s="17">
        <v>0.1</v>
      </c>
      <c r="V427" s="17">
        <v>2.5</v>
      </c>
      <c r="W427" s="17">
        <v>0</v>
      </c>
      <c r="X427" s="17">
        <v>0</v>
      </c>
      <c r="Y427" s="17">
        <v>0.7</v>
      </c>
      <c r="Z427" s="17">
        <v>0.1</v>
      </c>
      <c r="AA427" s="17">
        <v>0.1</v>
      </c>
      <c r="AB427" s="17">
        <v>0</v>
      </c>
      <c r="AC427" s="17">
        <v>21</v>
      </c>
      <c r="AD427" s="17">
        <v>16</v>
      </c>
      <c r="AE427" s="17">
        <v>267</v>
      </c>
      <c r="AF427" s="17">
        <v>9</v>
      </c>
      <c r="AG427" s="17">
        <v>15</v>
      </c>
      <c r="AH427" s="17">
        <v>12</v>
      </c>
      <c r="AI427" s="17">
        <v>0.2</v>
      </c>
      <c r="AJ427" s="17">
        <v>0.2</v>
      </c>
      <c r="AK427" s="17">
        <v>0</v>
      </c>
      <c r="AL427" s="17">
        <v>0.4</v>
      </c>
      <c r="AM427" s="27">
        <v>0</v>
      </c>
    </row>
    <row r="428" spans="1:39" x14ac:dyDescent="0.25">
      <c r="A428" s="10">
        <v>427</v>
      </c>
      <c r="B428" s="9" t="s">
        <v>499</v>
      </c>
      <c r="C428" s="9" t="s">
        <v>535</v>
      </c>
      <c r="D428" s="10">
        <v>1</v>
      </c>
      <c r="E428" s="11">
        <v>57</v>
      </c>
      <c r="F428" s="17">
        <v>83.8</v>
      </c>
      <c r="G428" s="17">
        <v>0.4</v>
      </c>
      <c r="H428" s="17">
        <v>0.4</v>
      </c>
      <c r="I428" s="17">
        <v>13.4</v>
      </c>
      <c r="J428" s="22" t="s">
        <v>100</v>
      </c>
      <c r="K428" s="17">
        <v>1.9</v>
      </c>
      <c r="L428" s="17">
        <v>0.1</v>
      </c>
      <c r="M428" s="19">
        <v>0.01</v>
      </c>
      <c r="N428" s="19">
        <v>0.04</v>
      </c>
      <c r="O428" s="19">
        <v>0.05</v>
      </c>
      <c r="P428" s="28">
        <v>0</v>
      </c>
      <c r="Q428" s="17">
        <v>0</v>
      </c>
      <c r="R428" s="17">
        <v>2</v>
      </c>
      <c r="S428" s="17">
        <v>15</v>
      </c>
      <c r="T428" s="22" t="s">
        <v>100</v>
      </c>
      <c r="U428" s="22" t="s">
        <v>100</v>
      </c>
      <c r="V428" s="22" t="s">
        <v>100</v>
      </c>
      <c r="W428" s="17">
        <v>0</v>
      </c>
      <c r="X428" s="17">
        <v>0</v>
      </c>
      <c r="Y428" s="17">
        <v>0.2</v>
      </c>
      <c r="Z428" s="17">
        <v>0</v>
      </c>
      <c r="AA428" s="17">
        <v>0.1</v>
      </c>
      <c r="AB428" s="17">
        <v>0</v>
      </c>
      <c r="AC428" s="17">
        <v>3</v>
      </c>
      <c r="AD428" s="17">
        <v>4</v>
      </c>
      <c r="AE428" s="17">
        <v>197</v>
      </c>
      <c r="AF428" s="17">
        <v>11</v>
      </c>
      <c r="AG428" s="17">
        <v>17</v>
      </c>
      <c r="AH428" s="17">
        <v>8</v>
      </c>
      <c r="AI428" s="17">
        <v>0.7</v>
      </c>
      <c r="AJ428" s="17">
        <v>0</v>
      </c>
      <c r="AK428" s="17">
        <v>0.1</v>
      </c>
      <c r="AL428" s="17">
        <v>0.6</v>
      </c>
      <c r="AM428" s="27">
        <v>0</v>
      </c>
    </row>
    <row r="429" spans="1:39" x14ac:dyDescent="0.25">
      <c r="A429" s="10">
        <v>428</v>
      </c>
      <c r="B429" s="9" t="s">
        <v>499</v>
      </c>
      <c r="C429" s="9" t="s">
        <v>536</v>
      </c>
      <c r="D429" s="10">
        <v>1</v>
      </c>
      <c r="E429" s="11">
        <v>43</v>
      </c>
      <c r="F429" s="17">
        <v>88.2</v>
      </c>
      <c r="G429" s="17">
        <v>0.4</v>
      </c>
      <c r="H429" s="17">
        <v>1.4</v>
      </c>
      <c r="I429" s="17">
        <v>4.3</v>
      </c>
      <c r="J429" s="17">
        <v>4.9000000000000004</v>
      </c>
      <c r="K429" s="17">
        <v>5.3</v>
      </c>
      <c r="L429" s="17">
        <v>0.5</v>
      </c>
      <c r="M429" s="19">
        <v>0.01</v>
      </c>
      <c r="N429" s="19">
        <v>0.05</v>
      </c>
      <c r="O429" s="19">
        <v>0.28000000000000003</v>
      </c>
      <c r="P429" s="28">
        <v>0</v>
      </c>
      <c r="Q429" s="17">
        <v>0</v>
      </c>
      <c r="R429" s="17">
        <v>11</v>
      </c>
      <c r="S429" s="17">
        <v>21</v>
      </c>
      <c r="T429" s="17">
        <v>0</v>
      </c>
      <c r="U429" s="17">
        <v>1.2</v>
      </c>
      <c r="V429" s="17">
        <v>19.8</v>
      </c>
      <c r="W429" s="17">
        <v>0</v>
      </c>
      <c r="X429" s="17">
        <v>0</v>
      </c>
      <c r="Y429" s="17">
        <v>0.6</v>
      </c>
      <c r="Z429" s="17">
        <v>0</v>
      </c>
      <c r="AA429" s="17">
        <v>0.3</v>
      </c>
      <c r="AB429" s="17">
        <v>0</v>
      </c>
      <c r="AC429" s="17">
        <v>25</v>
      </c>
      <c r="AD429" s="17">
        <v>1</v>
      </c>
      <c r="AE429" s="17">
        <v>162</v>
      </c>
      <c r="AF429" s="17">
        <v>29</v>
      </c>
      <c r="AG429" s="17">
        <v>22</v>
      </c>
      <c r="AH429" s="17">
        <v>20</v>
      </c>
      <c r="AI429" s="17">
        <v>0.6</v>
      </c>
      <c r="AJ429" s="17">
        <v>0.5</v>
      </c>
      <c r="AK429" s="17">
        <v>0.2</v>
      </c>
      <c r="AL429" s="17">
        <v>0.4</v>
      </c>
      <c r="AM429" s="27">
        <v>0</v>
      </c>
    </row>
    <row r="430" spans="1:39" x14ac:dyDescent="0.25">
      <c r="A430" s="10">
        <v>429</v>
      </c>
      <c r="B430" s="9" t="s">
        <v>499</v>
      </c>
      <c r="C430" s="9" t="s">
        <v>537</v>
      </c>
      <c r="D430" s="10">
        <v>1</v>
      </c>
      <c r="E430" s="11">
        <v>47</v>
      </c>
      <c r="F430" s="17">
        <v>86.8</v>
      </c>
      <c r="G430" s="17">
        <v>0.4</v>
      </c>
      <c r="H430" s="17">
        <v>0.9</v>
      </c>
      <c r="I430" s="17">
        <v>9.3000000000000007</v>
      </c>
      <c r="J430" s="17">
        <v>9.4</v>
      </c>
      <c r="K430" s="17">
        <v>2.4</v>
      </c>
      <c r="L430" s="17">
        <v>0.1</v>
      </c>
      <c r="M430" s="19">
        <v>0.02</v>
      </c>
      <c r="N430" s="19">
        <v>0.02</v>
      </c>
      <c r="O430" s="19">
        <v>0.03</v>
      </c>
      <c r="P430" s="28">
        <v>0</v>
      </c>
      <c r="Q430" s="17">
        <v>0</v>
      </c>
      <c r="R430" s="17">
        <v>11</v>
      </c>
      <c r="S430" s="17">
        <v>53.2</v>
      </c>
      <c r="T430" s="17">
        <v>0</v>
      </c>
      <c r="U430" s="17">
        <v>0.2</v>
      </c>
      <c r="V430" s="17">
        <v>0</v>
      </c>
      <c r="W430" s="17">
        <v>0.1</v>
      </c>
      <c r="X430" s="17">
        <v>0</v>
      </c>
      <c r="Y430" s="17">
        <v>0.3</v>
      </c>
      <c r="Z430" s="17">
        <v>0.1</v>
      </c>
      <c r="AA430" s="17">
        <v>0.3</v>
      </c>
      <c r="AB430" s="17">
        <v>0</v>
      </c>
      <c r="AC430" s="17">
        <v>30</v>
      </c>
      <c r="AD430" s="17">
        <v>0</v>
      </c>
      <c r="AE430" s="17">
        <v>181</v>
      </c>
      <c r="AF430" s="17">
        <v>40</v>
      </c>
      <c r="AG430" s="17">
        <v>14</v>
      </c>
      <c r="AH430" s="17">
        <v>10</v>
      </c>
      <c r="AI430" s="17">
        <v>0.1</v>
      </c>
      <c r="AJ430" s="17">
        <v>0.1</v>
      </c>
      <c r="AK430" s="17">
        <v>0</v>
      </c>
      <c r="AL430" s="17">
        <v>0.5</v>
      </c>
      <c r="AM430" s="27">
        <v>0</v>
      </c>
    </row>
    <row r="431" spans="1:39" x14ac:dyDescent="0.25">
      <c r="A431" s="10">
        <v>430</v>
      </c>
      <c r="B431" s="9" t="s">
        <v>499</v>
      </c>
      <c r="C431" s="9" t="s">
        <v>538</v>
      </c>
      <c r="D431" s="10">
        <v>1</v>
      </c>
      <c r="E431" s="11">
        <v>47</v>
      </c>
      <c r="F431" s="17">
        <v>86.7</v>
      </c>
      <c r="G431" s="17">
        <v>0.5</v>
      </c>
      <c r="H431" s="17">
        <v>0.4</v>
      </c>
      <c r="I431" s="17">
        <v>8.9</v>
      </c>
      <c r="J431" s="22" t="s">
        <v>100</v>
      </c>
      <c r="K431" s="17">
        <v>3.2</v>
      </c>
      <c r="L431" s="17">
        <v>0.2</v>
      </c>
      <c r="M431" s="19">
        <v>0.04</v>
      </c>
      <c r="N431" s="19">
        <v>0.01</v>
      </c>
      <c r="O431" s="19">
        <v>0.09</v>
      </c>
      <c r="P431" s="28">
        <v>0</v>
      </c>
      <c r="Q431" s="17">
        <v>0</v>
      </c>
      <c r="R431" s="17">
        <v>153</v>
      </c>
      <c r="S431" s="17">
        <v>1</v>
      </c>
      <c r="T431" s="22" t="s">
        <v>100</v>
      </c>
      <c r="U431" s="17">
        <v>0</v>
      </c>
      <c r="V431" s="22" t="s">
        <v>100</v>
      </c>
      <c r="W431" s="17">
        <v>0</v>
      </c>
      <c r="X431" s="17">
        <v>0</v>
      </c>
      <c r="Y431" s="17">
        <v>0.2</v>
      </c>
      <c r="Z431" s="27">
        <v>0.1</v>
      </c>
      <c r="AA431" s="17">
        <v>0</v>
      </c>
      <c r="AB431" s="17">
        <v>0</v>
      </c>
      <c r="AC431" s="17">
        <v>0</v>
      </c>
      <c r="AD431" s="17">
        <v>1</v>
      </c>
      <c r="AE431" s="17">
        <v>266</v>
      </c>
      <c r="AF431" s="17">
        <v>16</v>
      </c>
      <c r="AG431" s="17">
        <v>27</v>
      </c>
      <c r="AH431" s="17">
        <v>13</v>
      </c>
      <c r="AI431" s="17">
        <v>0.3</v>
      </c>
      <c r="AJ431" s="17">
        <v>0.1</v>
      </c>
      <c r="AK431" s="17">
        <v>0</v>
      </c>
      <c r="AL431" s="17">
        <v>0.5</v>
      </c>
      <c r="AM431" s="27">
        <v>0</v>
      </c>
    </row>
    <row r="432" spans="1:39" x14ac:dyDescent="0.25">
      <c r="A432" s="10">
        <v>431</v>
      </c>
      <c r="B432" s="9" t="s">
        <v>499</v>
      </c>
      <c r="C432" s="9" t="s">
        <v>1195</v>
      </c>
      <c r="D432" s="10">
        <v>1</v>
      </c>
      <c r="E432" s="11">
        <v>89</v>
      </c>
      <c r="F432" s="17">
        <v>74.900000000000006</v>
      </c>
      <c r="G432" s="17">
        <v>0.82</v>
      </c>
      <c r="H432" s="17">
        <v>1.1000000000000001</v>
      </c>
      <c r="I432" s="17">
        <v>22.8</v>
      </c>
      <c r="J432" s="22">
        <v>12.2</v>
      </c>
      <c r="K432" s="17">
        <v>2.6</v>
      </c>
      <c r="L432" s="17">
        <v>0.3</v>
      </c>
      <c r="M432" s="19">
        <v>0.11</v>
      </c>
      <c r="N432" s="19">
        <v>0.03</v>
      </c>
      <c r="O432" s="19">
        <v>7.0000000000000007E-2</v>
      </c>
      <c r="P432" s="28">
        <v>0</v>
      </c>
      <c r="Q432" s="17">
        <v>0</v>
      </c>
      <c r="R432" s="17">
        <v>3</v>
      </c>
      <c r="S432" s="17">
        <v>8.6999999999999993</v>
      </c>
      <c r="T432" s="22">
        <v>0</v>
      </c>
      <c r="U432" s="17">
        <v>0.1</v>
      </c>
      <c r="V432" s="22">
        <v>0.5</v>
      </c>
      <c r="W432" s="17">
        <v>0.03</v>
      </c>
      <c r="X432" s="17">
        <v>7.0000000000000007E-2</v>
      </c>
      <c r="Y432" s="17">
        <v>0.66</v>
      </c>
      <c r="Z432" s="27">
        <v>0.37</v>
      </c>
      <c r="AA432" s="17">
        <v>0.33</v>
      </c>
      <c r="AB432" s="17">
        <v>0</v>
      </c>
      <c r="AC432" s="17">
        <v>20</v>
      </c>
      <c r="AD432" s="17">
        <v>1</v>
      </c>
      <c r="AE432" s="17">
        <v>358</v>
      </c>
      <c r="AF432" s="17">
        <v>5</v>
      </c>
      <c r="AG432" s="17">
        <v>22</v>
      </c>
      <c r="AH432" s="17">
        <v>27</v>
      </c>
      <c r="AI432" s="17">
        <v>0.26</v>
      </c>
      <c r="AJ432" s="17">
        <v>0.15</v>
      </c>
      <c r="AK432" s="17">
        <v>0.08</v>
      </c>
      <c r="AL432" s="17">
        <v>1</v>
      </c>
      <c r="AM432" s="27">
        <v>0</v>
      </c>
    </row>
    <row r="433" spans="1:39" x14ac:dyDescent="0.25">
      <c r="A433" s="10">
        <v>432</v>
      </c>
      <c r="B433" s="9" t="s">
        <v>499</v>
      </c>
      <c r="C433" s="9" t="s">
        <v>539</v>
      </c>
      <c r="D433" s="10">
        <v>1</v>
      </c>
      <c r="E433" s="11">
        <v>160</v>
      </c>
      <c r="F433" s="17">
        <v>73.2</v>
      </c>
      <c r="G433" s="17">
        <v>1.6</v>
      </c>
      <c r="H433" s="17">
        <v>2</v>
      </c>
      <c r="I433" s="17">
        <v>1.8</v>
      </c>
      <c r="J433" s="17">
        <v>0.7</v>
      </c>
      <c r="K433" s="17">
        <v>6.7</v>
      </c>
      <c r="L433" s="17">
        <v>14.7</v>
      </c>
      <c r="M433" s="19">
        <v>2.13</v>
      </c>
      <c r="N433" s="19">
        <v>9.8000000000000007</v>
      </c>
      <c r="O433" s="19">
        <v>1.82</v>
      </c>
      <c r="P433" s="28">
        <v>0</v>
      </c>
      <c r="Q433" s="17">
        <v>0</v>
      </c>
      <c r="R433" s="17">
        <v>7</v>
      </c>
      <c r="S433" s="17">
        <v>10</v>
      </c>
      <c r="T433" s="17">
        <v>0</v>
      </c>
      <c r="U433" s="17">
        <v>2.1</v>
      </c>
      <c r="V433" s="17">
        <v>21</v>
      </c>
      <c r="W433" s="17">
        <v>0.1</v>
      </c>
      <c r="X433" s="17">
        <v>0.1</v>
      </c>
      <c r="Y433" s="17">
        <v>1.7</v>
      </c>
      <c r="Z433" s="17">
        <v>0.3</v>
      </c>
      <c r="AA433" s="17">
        <v>1.4</v>
      </c>
      <c r="AB433" s="17">
        <v>0</v>
      </c>
      <c r="AC433" s="17">
        <v>81</v>
      </c>
      <c r="AD433" s="17">
        <v>7</v>
      </c>
      <c r="AE433" s="17">
        <v>485</v>
      </c>
      <c r="AF433" s="17">
        <v>12</v>
      </c>
      <c r="AG433" s="17">
        <v>52</v>
      </c>
      <c r="AH433" s="17">
        <v>29</v>
      </c>
      <c r="AI433" s="17">
        <v>0.6</v>
      </c>
      <c r="AJ433" s="17">
        <v>0.6</v>
      </c>
      <c r="AK433" s="17">
        <v>0.2</v>
      </c>
      <c r="AL433" s="17">
        <v>0.4</v>
      </c>
      <c r="AM433" s="27">
        <v>0</v>
      </c>
    </row>
    <row r="434" spans="1:39" x14ac:dyDescent="0.25">
      <c r="A434" s="10">
        <v>433</v>
      </c>
      <c r="B434" s="9" t="s">
        <v>499</v>
      </c>
      <c r="C434" s="9" t="s">
        <v>540</v>
      </c>
      <c r="D434" s="10">
        <v>4</v>
      </c>
      <c r="E434" s="11">
        <v>160</v>
      </c>
      <c r="F434" s="27">
        <v>65.8</v>
      </c>
      <c r="G434" s="27">
        <v>1.7</v>
      </c>
      <c r="H434" s="17">
        <v>1.7</v>
      </c>
      <c r="I434" s="27">
        <v>8.6</v>
      </c>
      <c r="J434" s="17">
        <v>0.3</v>
      </c>
      <c r="K434" s="27">
        <v>6.8</v>
      </c>
      <c r="L434" s="17">
        <v>15.4</v>
      </c>
      <c r="M434" s="19">
        <v>2.64</v>
      </c>
      <c r="N434" s="19">
        <v>10.7</v>
      </c>
      <c r="O434" s="19">
        <v>2.04</v>
      </c>
      <c r="P434" s="19">
        <v>0</v>
      </c>
      <c r="Q434" s="17">
        <v>0</v>
      </c>
      <c r="R434" s="27">
        <v>7</v>
      </c>
      <c r="S434" s="27">
        <v>8.8000000000000007</v>
      </c>
      <c r="T434" s="27">
        <v>0</v>
      </c>
      <c r="U434" s="27">
        <v>2</v>
      </c>
      <c r="V434" s="27">
        <v>21</v>
      </c>
      <c r="W434" s="27">
        <v>0.1</v>
      </c>
      <c r="X434" s="27">
        <v>0.1</v>
      </c>
      <c r="Y434" s="27">
        <v>1.9</v>
      </c>
      <c r="Z434" s="27">
        <v>0.3</v>
      </c>
      <c r="AA434" s="27">
        <v>1.5</v>
      </c>
      <c r="AB434" s="27">
        <v>0</v>
      </c>
      <c r="AC434" s="27">
        <v>89</v>
      </c>
      <c r="AD434" s="17">
        <v>4</v>
      </c>
      <c r="AE434" s="27">
        <v>507</v>
      </c>
      <c r="AF434" s="27">
        <v>13</v>
      </c>
      <c r="AG434" s="27">
        <v>54</v>
      </c>
      <c r="AH434" s="27">
        <v>29</v>
      </c>
      <c r="AI434" s="27">
        <v>0.6</v>
      </c>
      <c r="AJ434" s="27">
        <v>0.7</v>
      </c>
      <c r="AK434" s="27">
        <v>0.2</v>
      </c>
      <c r="AL434" s="27">
        <v>0.4</v>
      </c>
      <c r="AM434" s="27">
        <v>0</v>
      </c>
    </row>
    <row r="435" spans="1:39" x14ac:dyDescent="0.25">
      <c r="A435" s="10">
        <v>434</v>
      </c>
      <c r="B435" s="9" t="s">
        <v>499</v>
      </c>
      <c r="C435" s="9" t="s">
        <v>541</v>
      </c>
      <c r="D435" s="10">
        <v>1</v>
      </c>
      <c r="E435" s="11">
        <v>43</v>
      </c>
      <c r="F435" s="17">
        <v>88.1</v>
      </c>
      <c r="G435" s="17">
        <v>0.4</v>
      </c>
      <c r="H435" s="17">
        <v>0.5</v>
      </c>
      <c r="I435" s="17">
        <v>9.1</v>
      </c>
      <c r="J435" s="17">
        <v>7.8</v>
      </c>
      <c r="K435" s="17">
        <v>1.7</v>
      </c>
      <c r="L435" s="17">
        <v>0.3</v>
      </c>
      <c r="M435" s="19">
        <v>0.08</v>
      </c>
      <c r="N435" s="19">
        <v>7.0000000000000007E-2</v>
      </c>
      <c r="O435" s="19">
        <v>0.06</v>
      </c>
      <c r="P435" s="28">
        <v>0</v>
      </c>
      <c r="Q435" s="17">
        <v>0</v>
      </c>
      <c r="R435" s="17">
        <v>47</v>
      </c>
      <c r="S435" s="17">
        <v>60.9</v>
      </c>
      <c r="T435" s="17">
        <v>0</v>
      </c>
      <c r="U435" s="17">
        <v>0.3</v>
      </c>
      <c r="V435" s="17">
        <v>2.6</v>
      </c>
      <c r="W435" s="17">
        <v>0</v>
      </c>
      <c r="X435" s="17">
        <v>0</v>
      </c>
      <c r="Y435" s="17">
        <v>0.4</v>
      </c>
      <c r="Z435" s="17">
        <v>0</v>
      </c>
      <c r="AA435" s="17">
        <v>0.2</v>
      </c>
      <c r="AB435" s="17">
        <v>0</v>
      </c>
      <c r="AC435" s="17">
        <v>37</v>
      </c>
      <c r="AD435" s="17">
        <v>8</v>
      </c>
      <c r="AE435" s="17">
        <v>182</v>
      </c>
      <c r="AF435" s="17">
        <v>20</v>
      </c>
      <c r="AG435" s="17">
        <v>10</v>
      </c>
      <c r="AH435" s="17">
        <v>21</v>
      </c>
      <c r="AI435" s="17">
        <v>0.3</v>
      </c>
      <c r="AJ435" s="17">
        <v>0.1</v>
      </c>
      <c r="AK435" s="17">
        <v>0</v>
      </c>
      <c r="AL435" s="17">
        <v>0.6</v>
      </c>
      <c r="AM435" s="27">
        <v>0</v>
      </c>
    </row>
    <row r="436" spans="1:39" x14ac:dyDescent="0.25">
      <c r="A436" s="10">
        <v>435</v>
      </c>
      <c r="B436" s="9" t="s">
        <v>499</v>
      </c>
      <c r="C436" s="9" t="s">
        <v>542</v>
      </c>
      <c r="D436" s="10">
        <v>1</v>
      </c>
      <c r="E436" s="11">
        <v>299</v>
      </c>
      <c r="F436" s="17">
        <v>15.4</v>
      </c>
      <c r="G436" s="17">
        <v>1.9</v>
      </c>
      <c r="H436" s="17">
        <v>3.1</v>
      </c>
      <c r="I436" s="17">
        <v>75.5</v>
      </c>
      <c r="J436" s="17">
        <v>59.2</v>
      </c>
      <c r="K436" s="17">
        <v>3.7</v>
      </c>
      <c r="L436" s="17">
        <v>0.5</v>
      </c>
      <c r="M436" s="19">
        <v>0.06</v>
      </c>
      <c r="N436" s="19">
        <v>0.05</v>
      </c>
      <c r="O436" s="19">
        <v>0.04</v>
      </c>
      <c r="P436" s="28">
        <v>0</v>
      </c>
      <c r="Q436" s="17">
        <v>0</v>
      </c>
      <c r="R436" s="17">
        <v>0</v>
      </c>
      <c r="S436" s="17">
        <v>2.2999999999999998</v>
      </c>
      <c r="T436" s="17">
        <v>0</v>
      </c>
      <c r="U436" s="17">
        <v>0.1</v>
      </c>
      <c r="V436" s="17">
        <v>3.5</v>
      </c>
      <c r="W436" s="17">
        <v>0.1</v>
      </c>
      <c r="X436" s="17">
        <v>0.1</v>
      </c>
      <c r="Y436" s="17">
        <v>0.8</v>
      </c>
      <c r="Z436" s="17">
        <v>0.2</v>
      </c>
      <c r="AA436" s="17">
        <v>0.1</v>
      </c>
      <c r="AB436" s="17">
        <v>0</v>
      </c>
      <c r="AC436" s="17">
        <v>5</v>
      </c>
      <c r="AD436" s="17">
        <v>11</v>
      </c>
      <c r="AE436" s="17">
        <v>749</v>
      </c>
      <c r="AF436" s="17">
        <v>50</v>
      </c>
      <c r="AG436" s="17">
        <v>101</v>
      </c>
      <c r="AH436" s="17">
        <v>32</v>
      </c>
      <c r="AI436" s="17">
        <v>1.9</v>
      </c>
      <c r="AJ436" s="17">
        <v>0.2</v>
      </c>
      <c r="AK436" s="17">
        <v>0.3</v>
      </c>
      <c r="AL436" s="17">
        <v>0.6</v>
      </c>
      <c r="AM436" s="27">
        <v>0</v>
      </c>
    </row>
    <row r="437" spans="1:39" x14ac:dyDescent="0.25">
      <c r="A437" s="10">
        <v>436</v>
      </c>
      <c r="B437" s="9" t="s">
        <v>499</v>
      </c>
      <c r="C437" s="9" t="s">
        <v>543</v>
      </c>
      <c r="D437" s="10">
        <v>2</v>
      </c>
      <c r="E437" s="11">
        <v>25</v>
      </c>
      <c r="F437" s="17">
        <v>92.4</v>
      </c>
      <c r="G437" s="17">
        <v>0.3</v>
      </c>
      <c r="H437" s="17">
        <v>0.4</v>
      </c>
      <c r="I437" s="17">
        <v>6.3</v>
      </c>
      <c r="J437" s="22" t="s">
        <v>100</v>
      </c>
      <c r="K437" s="17">
        <v>0.5</v>
      </c>
      <c r="L437" s="17">
        <v>0.1</v>
      </c>
      <c r="M437" s="22" t="s">
        <v>100</v>
      </c>
      <c r="N437" s="22" t="s">
        <v>100</v>
      </c>
      <c r="O437" s="22" t="s">
        <v>100</v>
      </c>
      <c r="P437" s="28">
        <v>0</v>
      </c>
      <c r="Q437" s="17">
        <v>0</v>
      </c>
      <c r="R437" s="22" t="s">
        <v>100</v>
      </c>
      <c r="S437" s="17">
        <v>26</v>
      </c>
      <c r="T437" s="22" t="s">
        <v>100</v>
      </c>
      <c r="U437" s="22" t="s">
        <v>100</v>
      </c>
      <c r="V437" s="22" t="s">
        <v>100</v>
      </c>
      <c r="W437" s="17">
        <v>0.1</v>
      </c>
      <c r="X437" s="17">
        <v>0</v>
      </c>
      <c r="Y437" s="17">
        <v>0.6</v>
      </c>
      <c r="Z437" s="22" t="s">
        <v>100</v>
      </c>
      <c r="AA437" s="22" t="s">
        <v>100</v>
      </c>
      <c r="AB437" s="22" t="s">
        <v>100</v>
      </c>
      <c r="AC437" s="22" t="s">
        <v>100</v>
      </c>
      <c r="AD437" s="17">
        <v>3</v>
      </c>
      <c r="AE437" s="17">
        <v>117</v>
      </c>
      <c r="AF437" s="17">
        <v>21</v>
      </c>
      <c r="AG437" s="17">
        <v>13</v>
      </c>
      <c r="AH437" s="22" t="s">
        <v>100</v>
      </c>
      <c r="AI437" s="17">
        <v>1</v>
      </c>
      <c r="AJ437" s="22" t="s">
        <v>100</v>
      </c>
      <c r="AK437" s="22" t="s">
        <v>100</v>
      </c>
      <c r="AL437" s="22" t="s">
        <v>100</v>
      </c>
      <c r="AM437" s="27">
        <v>0</v>
      </c>
    </row>
    <row r="438" spans="1:39" x14ac:dyDescent="0.25">
      <c r="A438" s="10">
        <v>437</v>
      </c>
      <c r="B438" s="9" t="s">
        <v>544</v>
      </c>
      <c r="C438" s="9" t="s">
        <v>545</v>
      </c>
      <c r="D438" s="10">
        <v>1</v>
      </c>
      <c r="E438" s="11">
        <v>387</v>
      </c>
      <c r="F438" s="17">
        <v>0</v>
      </c>
      <c r="G438" s="17">
        <v>0</v>
      </c>
      <c r="H438" s="17">
        <v>0</v>
      </c>
      <c r="I438" s="17">
        <v>100</v>
      </c>
      <c r="J438" s="17">
        <v>99.8</v>
      </c>
      <c r="K438" s="17">
        <v>0</v>
      </c>
      <c r="L438" s="17">
        <v>0</v>
      </c>
      <c r="M438" s="19">
        <v>0</v>
      </c>
      <c r="N438" s="19">
        <v>0</v>
      </c>
      <c r="O438" s="19">
        <v>0</v>
      </c>
      <c r="P438" s="28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1</v>
      </c>
      <c r="AE438" s="17">
        <v>2</v>
      </c>
      <c r="AF438" s="17">
        <v>1</v>
      </c>
      <c r="AG438" s="17">
        <v>0</v>
      </c>
      <c r="AH438" s="17">
        <v>0</v>
      </c>
      <c r="AI438" s="17">
        <v>0.1</v>
      </c>
      <c r="AJ438" s="17">
        <v>0</v>
      </c>
      <c r="AK438" s="17">
        <v>0</v>
      </c>
      <c r="AL438" s="17">
        <v>0.6</v>
      </c>
      <c r="AM438" s="27">
        <v>0</v>
      </c>
    </row>
    <row r="439" spans="1:39" x14ac:dyDescent="0.25">
      <c r="A439" s="10">
        <v>438</v>
      </c>
      <c r="B439" s="9" t="s">
        <v>544</v>
      </c>
      <c r="C439" s="9" t="s">
        <v>546</v>
      </c>
      <c r="D439" s="10">
        <v>3</v>
      </c>
      <c r="E439" s="11">
        <v>399</v>
      </c>
      <c r="F439" s="17">
        <v>0.1</v>
      </c>
      <c r="G439" s="17">
        <v>0.1</v>
      </c>
      <c r="H439" s="17">
        <v>0.1</v>
      </c>
      <c r="I439" s="17">
        <v>99.6</v>
      </c>
      <c r="J439" s="27">
        <v>99.6</v>
      </c>
      <c r="K439" s="17">
        <v>0.1</v>
      </c>
      <c r="L439" s="27">
        <v>0</v>
      </c>
      <c r="M439" s="28">
        <v>0</v>
      </c>
      <c r="N439" s="28">
        <v>0</v>
      </c>
      <c r="O439" s="28">
        <v>0</v>
      </c>
      <c r="P439" s="28">
        <v>0</v>
      </c>
      <c r="Q439" s="27">
        <v>0</v>
      </c>
      <c r="R439" s="27">
        <v>0</v>
      </c>
      <c r="S439" s="27">
        <v>0</v>
      </c>
      <c r="T439" s="27">
        <v>0</v>
      </c>
      <c r="U439" s="27">
        <v>0</v>
      </c>
      <c r="V439" s="27">
        <v>0</v>
      </c>
      <c r="W439" s="27">
        <v>0</v>
      </c>
      <c r="X439" s="27">
        <v>0</v>
      </c>
      <c r="Y439" s="27">
        <v>0</v>
      </c>
      <c r="Z439" s="27">
        <v>0</v>
      </c>
      <c r="AA439" s="27">
        <v>0</v>
      </c>
      <c r="AB439" s="27">
        <v>0</v>
      </c>
      <c r="AC439" s="27">
        <v>0</v>
      </c>
      <c r="AD439" s="27">
        <v>1</v>
      </c>
      <c r="AE439" s="27">
        <v>2</v>
      </c>
      <c r="AF439" s="27">
        <v>1</v>
      </c>
      <c r="AG439" s="27">
        <v>0</v>
      </c>
      <c r="AH439" s="27">
        <v>0</v>
      </c>
      <c r="AI439" s="27">
        <v>0</v>
      </c>
      <c r="AJ439" s="27">
        <v>0</v>
      </c>
      <c r="AK439" s="27">
        <v>0</v>
      </c>
      <c r="AL439" s="27">
        <v>0.6</v>
      </c>
      <c r="AM439" s="27">
        <v>0</v>
      </c>
    </row>
    <row r="440" spans="1:39" x14ac:dyDescent="0.25">
      <c r="A440" s="10">
        <v>439</v>
      </c>
      <c r="B440" s="9" t="s">
        <v>544</v>
      </c>
      <c r="C440" s="9" t="s">
        <v>547</v>
      </c>
      <c r="D440" s="10">
        <v>1</v>
      </c>
      <c r="E440" s="11">
        <v>389</v>
      </c>
      <c r="F440" s="17">
        <v>0.2</v>
      </c>
      <c r="G440" s="17">
        <v>0</v>
      </c>
      <c r="H440" s="17">
        <v>0</v>
      </c>
      <c r="I440" s="17">
        <v>99.8</v>
      </c>
      <c r="J440" s="17">
        <v>97.8</v>
      </c>
      <c r="K440" s="17">
        <v>0</v>
      </c>
      <c r="L440" s="17">
        <v>0</v>
      </c>
      <c r="M440" s="19">
        <v>0</v>
      </c>
      <c r="N440" s="19">
        <v>0</v>
      </c>
      <c r="O440" s="19">
        <v>0</v>
      </c>
      <c r="P440" s="28">
        <v>0</v>
      </c>
      <c r="Q440" s="17">
        <v>0</v>
      </c>
      <c r="R440" s="17">
        <v>0</v>
      </c>
      <c r="S440" s="17">
        <v>0</v>
      </c>
      <c r="T440" s="17">
        <v>0</v>
      </c>
      <c r="U440" s="17">
        <v>0</v>
      </c>
      <c r="V440" s="17">
        <v>0</v>
      </c>
      <c r="W440" s="17">
        <v>0</v>
      </c>
      <c r="X440" s="17">
        <v>0</v>
      </c>
      <c r="Y440" s="17">
        <v>0</v>
      </c>
      <c r="Z440" s="17">
        <v>0</v>
      </c>
      <c r="AA440" s="17">
        <v>0</v>
      </c>
      <c r="AB440" s="17">
        <v>0</v>
      </c>
      <c r="AC440" s="17">
        <v>0</v>
      </c>
      <c r="AD440" s="17">
        <v>2</v>
      </c>
      <c r="AE440" s="17">
        <v>2</v>
      </c>
      <c r="AF440" s="17">
        <v>1</v>
      </c>
      <c r="AG440" s="17">
        <v>0</v>
      </c>
      <c r="AH440" s="17">
        <v>0</v>
      </c>
      <c r="AI440" s="17">
        <v>0.1</v>
      </c>
      <c r="AJ440" s="17">
        <v>0</v>
      </c>
      <c r="AK440" s="17">
        <v>0</v>
      </c>
      <c r="AL440" s="17">
        <v>0.6</v>
      </c>
      <c r="AM440" s="27">
        <v>0</v>
      </c>
    </row>
    <row r="441" spans="1:39" x14ac:dyDescent="0.25">
      <c r="A441" s="10">
        <v>440</v>
      </c>
      <c r="B441" s="9" t="s">
        <v>544</v>
      </c>
      <c r="C441" s="9" t="s">
        <v>548</v>
      </c>
      <c r="D441" s="10">
        <v>3</v>
      </c>
      <c r="E441" s="11">
        <v>400</v>
      </c>
      <c r="F441" s="17">
        <v>0.1</v>
      </c>
      <c r="G441" s="17">
        <v>0</v>
      </c>
      <c r="H441" s="17">
        <v>0</v>
      </c>
      <c r="I441" s="17">
        <v>99.9</v>
      </c>
      <c r="J441" s="27">
        <v>99.7</v>
      </c>
      <c r="K441" s="22" t="s">
        <v>100</v>
      </c>
      <c r="L441" s="17">
        <v>0</v>
      </c>
      <c r="M441" s="28">
        <v>0</v>
      </c>
      <c r="N441" s="28">
        <v>0</v>
      </c>
      <c r="O441" s="28">
        <v>0</v>
      </c>
      <c r="P441" s="28">
        <v>0</v>
      </c>
      <c r="Q441" s="27">
        <v>0</v>
      </c>
      <c r="R441" s="27">
        <v>0</v>
      </c>
      <c r="S441" s="27">
        <v>0</v>
      </c>
      <c r="T441" s="27">
        <v>0</v>
      </c>
      <c r="U441" s="27">
        <v>0</v>
      </c>
      <c r="V441" s="27">
        <v>0</v>
      </c>
      <c r="W441" s="27">
        <v>0</v>
      </c>
      <c r="X441" s="27">
        <v>0</v>
      </c>
      <c r="Y441" s="27">
        <v>0</v>
      </c>
      <c r="Z441" s="27">
        <v>0</v>
      </c>
      <c r="AA441" s="27">
        <v>0</v>
      </c>
      <c r="AB441" s="27">
        <v>0</v>
      </c>
      <c r="AC441" s="27">
        <v>0</v>
      </c>
      <c r="AD441" s="27">
        <v>1</v>
      </c>
      <c r="AE441" s="27">
        <v>2</v>
      </c>
      <c r="AF441" s="27">
        <v>1</v>
      </c>
      <c r="AG441" s="27">
        <v>0</v>
      </c>
      <c r="AH441" s="27">
        <v>0</v>
      </c>
      <c r="AI441" s="27">
        <v>0</v>
      </c>
      <c r="AJ441" s="27">
        <v>0</v>
      </c>
      <c r="AK441" s="27">
        <v>0</v>
      </c>
      <c r="AL441" s="27">
        <v>0.6</v>
      </c>
      <c r="AM441" s="27">
        <v>0</v>
      </c>
    </row>
    <row r="442" spans="1:39" x14ac:dyDescent="0.25">
      <c r="A442" s="10">
        <v>441</v>
      </c>
      <c r="B442" s="9" t="s">
        <v>544</v>
      </c>
      <c r="C442" s="9" t="s">
        <v>549</v>
      </c>
      <c r="D442" s="10">
        <v>3</v>
      </c>
      <c r="E442" s="11">
        <v>400</v>
      </c>
      <c r="F442" s="17">
        <v>0.1</v>
      </c>
      <c r="G442" s="17">
        <v>0</v>
      </c>
      <c r="H442" s="17">
        <v>0</v>
      </c>
      <c r="I442" s="17">
        <v>99.9</v>
      </c>
      <c r="J442" s="27">
        <v>99.7</v>
      </c>
      <c r="K442" s="22" t="s">
        <v>100</v>
      </c>
      <c r="L442" s="17">
        <v>0</v>
      </c>
      <c r="M442" s="28">
        <v>0</v>
      </c>
      <c r="N442" s="28">
        <v>0</v>
      </c>
      <c r="O442" s="28">
        <v>0</v>
      </c>
      <c r="P442" s="28">
        <v>0</v>
      </c>
      <c r="Q442" s="27">
        <v>0</v>
      </c>
      <c r="R442" s="27">
        <v>0</v>
      </c>
      <c r="S442" s="27">
        <v>0</v>
      </c>
      <c r="T442" s="27">
        <v>0</v>
      </c>
      <c r="U442" s="27">
        <v>0</v>
      </c>
      <c r="V442" s="27">
        <v>0</v>
      </c>
      <c r="W442" s="27">
        <v>0</v>
      </c>
      <c r="X442" s="27">
        <v>0</v>
      </c>
      <c r="Y442" s="27">
        <v>0</v>
      </c>
      <c r="Z442" s="27">
        <v>0</v>
      </c>
      <c r="AA442" s="27">
        <v>0</v>
      </c>
      <c r="AB442" s="27">
        <v>0</v>
      </c>
      <c r="AC442" s="27">
        <v>0</v>
      </c>
      <c r="AD442" s="27">
        <v>1</v>
      </c>
      <c r="AE442" s="27">
        <v>2</v>
      </c>
      <c r="AF442" s="27">
        <v>1</v>
      </c>
      <c r="AG442" s="27">
        <v>0</v>
      </c>
      <c r="AH442" s="27">
        <v>0</v>
      </c>
      <c r="AI442" s="27">
        <v>0</v>
      </c>
      <c r="AJ442" s="27">
        <v>0</v>
      </c>
      <c r="AK442" s="27">
        <v>0</v>
      </c>
      <c r="AL442" s="27">
        <v>0.6</v>
      </c>
      <c r="AM442" s="27">
        <v>0</v>
      </c>
    </row>
    <row r="443" spans="1:39" x14ac:dyDescent="0.25">
      <c r="A443" s="10">
        <v>442</v>
      </c>
      <c r="B443" s="9" t="s">
        <v>544</v>
      </c>
      <c r="C443" s="9" t="s">
        <v>550</v>
      </c>
      <c r="D443" s="10">
        <v>3</v>
      </c>
      <c r="E443" s="11">
        <v>334</v>
      </c>
      <c r="F443" s="17">
        <v>16.5</v>
      </c>
      <c r="G443" s="17">
        <v>0.1</v>
      </c>
      <c r="H443" s="17">
        <v>0.6</v>
      </c>
      <c r="I443" s="17">
        <v>82.7</v>
      </c>
      <c r="J443" s="17">
        <v>82.7</v>
      </c>
      <c r="K443" s="17">
        <v>0</v>
      </c>
      <c r="L443" s="17">
        <v>0.1</v>
      </c>
      <c r="M443" s="19">
        <v>0</v>
      </c>
      <c r="N443" s="19">
        <v>0</v>
      </c>
      <c r="O443" s="19">
        <v>0</v>
      </c>
      <c r="P443" s="19">
        <v>0</v>
      </c>
      <c r="Q443" s="17">
        <v>0</v>
      </c>
      <c r="R443" s="27">
        <v>0</v>
      </c>
      <c r="S443" s="27">
        <v>0.5</v>
      </c>
      <c r="T443" s="27">
        <v>0</v>
      </c>
      <c r="U443" s="27">
        <v>0</v>
      </c>
      <c r="V443" s="27">
        <v>0</v>
      </c>
      <c r="W443" s="27">
        <v>0</v>
      </c>
      <c r="X443" s="27">
        <v>0</v>
      </c>
      <c r="Y443" s="27">
        <v>0.1</v>
      </c>
      <c r="Z443" s="27">
        <v>0</v>
      </c>
      <c r="AA443" s="27">
        <v>0.1</v>
      </c>
      <c r="AB443" s="27">
        <v>0</v>
      </c>
      <c r="AC443" s="27">
        <v>2</v>
      </c>
      <c r="AD443" s="17">
        <v>7.8</v>
      </c>
      <c r="AE443" s="27">
        <v>52.4</v>
      </c>
      <c r="AF443" s="27">
        <v>6</v>
      </c>
      <c r="AG443" s="27">
        <v>4</v>
      </c>
      <c r="AH443" s="27">
        <v>2</v>
      </c>
      <c r="AI443" s="27">
        <v>0.4</v>
      </c>
      <c r="AJ443" s="27">
        <v>0.2</v>
      </c>
      <c r="AK443" s="27">
        <v>0</v>
      </c>
      <c r="AL443" s="27">
        <v>0.8</v>
      </c>
      <c r="AM443" s="27">
        <v>0</v>
      </c>
    </row>
    <row r="444" spans="1:39" x14ac:dyDescent="0.25">
      <c r="A444" s="10">
        <v>443</v>
      </c>
      <c r="B444" s="9" t="s">
        <v>544</v>
      </c>
      <c r="C444" s="9" t="s">
        <v>551</v>
      </c>
      <c r="D444" s="10">
        <v>2</v>
      </c>
      <c r="E444" s="11">
        <v>318</v>
      </c>
      <c r="F444" s="17">
        <v>20.6</v>
      </c>
      <c r="G444" s="17">
        <v>0.3</v>
      </c>
      <c r="H444" s="17">
        <v>0.3</v>
      </c>
      <c r="I444" s="17">
        <v>78.8</v>
      </c>
      <c r="J444" s="17">
        <v>78.8</v>
      </c>
      <c r="K444" s="17">
        <v>0</v>
      </c>
      <c r="L444" s="17">
        <v>0</v>
      </c>
      <c r="M444" s="19">
        <v>0</v>
      </c>
      <c r="N444" s="19">
        <v>0</v>
      </c>
      <c r="O444" s="19">
        <v>0</v>
      </c>
      <c r="P444" s="28">
        <v>0</v>
      </c>
      <c r="Q444" s="17">
        <v>0</v>
      </c>
      <c r="R444" s="17">
        <v>0</v>
      </c>
      <c r="S444" s="17">
        <v>3.3</v>
      </c>
      <c r="T444" s="27">
        <v>0</v>
      </c>
      <c r="U444" s="17">
        <v>0</v>
      </c>
      <c r="V444" s="27">
        <v>0</v>
      </c>
      <c r="W444" s="17">
        <v>0</v>
      </c>
      <c r="X444" s="17">
        <v>0.1</v>
      </c>
      <c r="Y444" s="17">
        <v>0.2</v>
      </c>
      <c r="Z444" s="17">
        <v>0</v>
      </c>
      <c r="AA444" s="17">
        <v>0.2</v>
      </c>
      <c r="AB444" s="17">
        <v>0</v>
      </c>
      <c r="AC444" s="17">
        <v>9.4</v>
      </c>
      <c r="AD444" s="17">
        <v>5</v>
      </c>
      <c r="AE444" s="17">
        <v>50.7</v>
      </c>
      <c r="AF444" s="17">
        <v>29</v>
      </c>
      <c r="AG444" s="17">
        <v>19</v>
      </c>
      <c r="AH444" s="17">
        <v>2.1</v>
      </c>
      <c r="AI444" s="17">
        <v>0.9</v>
      </c>
      <c r="AJ444" s="17">
        <v>0.1</v>
      </c>
      <c r="AK444" s="17">
        <v>0</v>
      </c>
      <c r="AL444" s="17">
        <v>0.8</v>
      </c>
      <c r="AM444" s="27">
        <v>0</v>
      </c>
    </row>
    <row r="445" spans="1:39" x14ac:dyDescent="0.25">
      <c r="A445" s="10">
        <v>444</v>
      </c>
      <c r="B445" s="9" t="s">
        <v>544</v>
      </c>
      <c r="C445" s="9" t="s">
        <v>552</v>
      </c>
      <c r="D445" s="10">
        <v>2</v>
      </c>
      <c r="E445" s="11">
        <v>254</v>
      </c>
      <c r="F445" s="17">
        <v>35.9</v>
      </c>
      <c r="G445" s="17">
        <v>0.5</v>
      </c>
      <c r="H445" s="17">
        <v>0</v>
      </c>
      <c r="I445" s="17">
        <v>63.6</v>
      </c>
      <c r="J445" s="17">
        <v>63.6</v>
      </c>
      <c r="K445" s="17">
        <v>0</v>
      </c>
      <c r="L445" s="17">
        <v>0</v>
      </c>
      <c r="M445" s="19">
        <v>0</v>
      </c>
      <c r="N445" s="19">
        <v>0</v>
      </c>
      <c r="O445" s="19">
        <v>0</v>
      </c>
      <c r="P445" s="28">
        <v>0</v>
      </c>
      <c r="Q445" s="17">
        <v>0</v>
      </c>
      <c r="R445" s="17">
        <v>0</v>
      </c>
      <c r="S445" s="17">
        <v>0</v>
      </c>
      <c r="T445" s="27">
        <v>0</v>
      </c>
      <c r="U445" s="17">
        <v>0</v>
      </c>
      <c r="V445" s="2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  <c r="AG445" s="17">
        <v>0</v>
      </c>
      <c r="AH445" s="17">
        <v>0</v>
      </c>
      <c r="AI445" s="17">
        <v>0</v>
      </c>
      <c r="AJ445" s="17">
        <v>0</v>
      </c>
      <c r="AK445" s="17">
        <v>0</v>
      </c>
      <c r="AL445" s="17">
        <v>0</v>
      </c>
      <c r="AM445" s="27">
        <v>0</v>
      </c>
    </row>
    <row r="446" spans="1:39" x14ac:dyDescent="0.25">
      <c r="A446" s="10">
        <v>445</v>
      </c>
      <c r="B446" s="9" t="s">
        <v>553</v>
      </c>
      <c r="C446" s="9" t="s">
        <v>554</v>
      </c>
      <c r="D446" s="10">
        <v>3</v>
      </c>
      <c r="E446" s="11">
        <v>407</v>
      </c>
      <c r="F446" s="17">
        <v>10.9</v>
      </c>
      <c r="G446" s="17">
        <v>1.5</v>
      </c>
      <c r="H446" s="17">
        <v>2.2999999999999998</v>
      </c>
      <c r="I446" s="17">
        <v>69</v>
      </c>
      <c r="J446" s="27">
        <v>44.4</v>
      </c>
      <c r="K446" s="17">
        <v>1.8</v>
      </c>
      <c r="L446" s="17">
        <v>13.2</v>
      </c>
      <c r="M446" s="19">
        <v>9.48</v>
      </c>
      <c r="N446" s="19">
        <v>2.17</v>
      </c>
      <c r="O446" s="19">
        <v>0.76</v>
      </c>
      <c r="P446" s="19">
        <v>0</v>
      </c>
      <c r="Q446" s="17">
        <v>7.3</v>
      </c>
      <c r="R446" s="27">
        <v>1</v>
      </c>
      <c r="S446" s="27">
        <v>0.1</v>
      </c>
      <c r="T446" s="27">
        <v>0</v>
      </c>
      <c r="U446" s="27">
        <v>0.1</v>
      </c>
      <c r="V446" s="27">
        <v>6.9</v>
      </c>
      <c r="W446" s="27">
        <v>0.1</v>
      </c>
      <c r="X446" s="27">
        <v>0.2</v>
      </c>
      <c r="Y446" s="27">
        <v>0.8</v>
      </c>
      <c r="Z446" s="27">
        <v>0.1</v>
      </c>
      <c r="AA446" s="27">
        <v>0.5</v>
      </c>
      <c r="AB446" s="27">
        <v>0.2</v>
      </c>
      <c r="AC446" s="27">
        <v>36.700000000000003</v>
      </c>
      <c r="AD446" s="17">
        <v>212</v>
      </c>
      <c r="AE446" s="27">
        <v>180.4</v>
      </c>
      <c r="AF446" s="27">
        <v>45.6</v>
      </c>
      <c r="AG446" s="27">
        <v>96.1</v>
      </c>
      <c r="AH446" s="27">
        <v>35.700000000000003</v>
      </c>
      <c r="AI446" s="27">
        <v>2.5</v>
      </c>
      <c r="AJ446" s="27">
        <v>0.6</v>
      </c>
      <c r="AK446" s="27">
        <v>0.3</v>
      </c>
      <c r="AL446" s="27">
        <v>4.4000000000000004</v>
      </c>
      <c r="AM446" s="27">
        <v>0</v>
      </c>
    </row>
    <row r="447" spans="1:39" x14ac:dyDescent="0.25">
      <c r="A447" s="10">
        <v>446</v>
      </c>
      <c r="B447" s="9" t="s">
        <v>553</v>
      </c>
      <c r="C447" s="9" t="s">
        <v>555</v>
      </c>
      <c r="D447" s="10">
        <v>3</v>
      </c>
      <c r="E447" s="11">
        <v>354</v>
      </c>
      <c r="F447" s="17">
        <v>8.1999999999999993</v>
      </c>
      <c r="G447" s="17">
        <v>1.8</v>
      </c>
      <c r="H447" s="17">
        <v>11.6</v>
      </c>
      <c r="I447" s="17">
        <v>59.9</v>
      </c>
      <c r="J447" s="27">
        <v>27.3</v>
      </c>
      <c r="K447" s="17">
        <v>11</v>
      </c>
      <c r="L447" s="17">
        <v>7.5</v>
      </c>
      <c r="M447" s="28">
        <v>0.9</v>
      </c>
      <c r="N447" s="28">
        <v>1.66</v>
      </c>
      <c r="O447" s="28">
        <v>4.5599999999999996</v>
      </c>
      <c r="P447" s="22" t="s">
        <v>100</v>
      </c>
      <c r="Q447" s="27">
        <v>0</v>
      </c>
      <c r="R447" s="27">
        <v>1.9</v>
      </c>
      <c r="S447" s="27">
        <v>0.9</v>
      </c>
      <c r="T447" s="27">
        <v>0</v>
      </c>
      <c r="U447" s="27">
        <v>2</v>
      </c>
      <c r="V447" s="27">
        <v>13.9</v>
      </c>
      <c r="W447" s="27">
        <v>0.3</v>
      </c>
      <c r="X447" s="27">
        <v>0.1</v>
      </c>
      <c r="Y447" s="27">
        <v>1.5</v>
      </c>
      <c r="Z447" s="27">
        <v>0.1</v>
      </c>
      <c r="AA447" s="27">
        <v>0.8</v>
      </c>
      <c r="AB447" s="27">
        <v>0</v>
      </c>
      <c r="AC447" s="27">
        <v>22</v>
      </c>
      <c r="AD447" s="17">
        <v>93</v>
      </c>
      <c r="AE447" s="27">
        <v>321</v>
      </c>
      <c r="AF447" s="27">
        <v>58.3</v>
      </c>
      <c r="AG447" s="27">
        <v>264.60000000000002</v>
      </c>
      <c r="AH447" s="27">
        <v>92.7</v>
      </c>
      <c r="AI447" s="27">
        <v>2.8</v>
      </c>
      <c r="AJ447" s="27">
        <v>1.9</v>
      </c>
      <c r="AK447" s="27">
        <v>0.4</v>
      </c>
      <c r="AL447" s="27">
        <v>15.5</v>
      </c>
      <c r="AM447" s="27">
        <v>0</v>
      </c>
    </row>
    <row r="448" spans="1:39" x14ac:dyDescent="0.25">
      <c r="A448" s="10">
        <v>447</v>
      </c>
      <c r="B448" s="9" t="s">
        <v>553</v>
      </c>
      <c r="C448" s="9" t="s">
        <v>556</v>
      </c>
      <c r="D448" s="10">
        <v>4</v>
      </c>
      <c r="E448" s="11">
        <v>487</v>
      </c>
      <c r="F448" s="27">
        <v>0.6</v>
      </c>
      <c r="G448" s="27">
        <v>1.8</v>
      </c>
      <c r="H448" s="17">
        <v>3</v>
      </c>
      <c r="I448" s="17">
        <v>69.2</v>
      </c>
      <c r="J448" s="17">
        <v>66</v>
      </c>
      <c r="K448" s="27">
        <v>3.4</v>
      </c>
      <c r="L448" s="17">
        <v>22</v>
      </c>
      <c r="M448" s="19">
        <v>15.4</v>
      </c>
      <c r="N448" s="19">
        <v>4.5</v>
      </c>
      <c r="O448" s="19">
        <v>0.66</v>
      </c>
      <c r="P448" s="19">
        <v>0.3</v>
      </c>
      <c r="Q448" s="17">
        <v>5</v>
      </c>
      <c r="R448" s="27">
        <v>59</v>
      </c>
      <c r="S448" s="27">
        <v>0</v>
      </c>
      <c r="T448" s="27">
        <v>0</v>
      </c>
      <c r="U448" s="27">
        <v>0.5</v>
      </c>
      <c r="V448" s="27">
        <v>5.7</v>
      </c>
      <c r="W448" s="27">
        <v>0.1</v>
      </c>
      <c r="X448" s="27">
        <v>0.3</v>
      </c>
      <c r="Y448" s="27">
        <v>0.4</v>
      </c>
      <c r="Z448" s="27">
        <v>0</v>
      </c>
      <c r="AA448" s="27">
        <v>0.5</v>
      </c>
      <c r="AB448" s="27">
        <v>0.8</v>
      </c>
      <c r="AC448" s="27">
        <v>11</v>
      </c>
      <c r="AD448" s="17">
        <v>50</v>
      </c>
      <c r="AE448" s="27">
        <v>372</v>
      </c>
      <c r="AF448" s="27">
        <v>189</v>
      </c>
      <c r="AG448" s="27">
        <v>208</v>
      </c>
      <c r="AH448" s="27">
        <v>63</v>
      </c>
      <c r="AI448" s="27">
        <v>2.4</v>
      </c>
      <c r="AJ448" s="27">
        <v>2.2999999999999998</v>
      </c>
      <c r="AK448" s="27">
        <v>0.5</v>
      </c>
      <c r="AL448" s="27">
        <v>4.5</v>
      </c>
      <c r="AM448" s="27">
        <v>0</v>
      </c>
    </row>
    <row r="449" spans="1:39" x14ac:dyDescent="0.25">
      <c r="A449" s="10">
        <v>448</v>
      </c>
      <c r="B449" s="9" t="s">
        <v>553</v>
      </c>
      <c r="C449" s="9" t="s">
        <v>557</v>
      </c>
      <c r="D449" s="10">
        <v>2</v>
      </c>
      <c r="E449" s="11">
        <v>307</v>
      </c>
      <c r="F449" s="17">
        <v>35.6</v>
      </c>
      <c r="G449" s="17">
        <v>0.5</v>
      </c>
      <c r="H449" s="17">
        <v>6.2</v>
      </c>
      <c r="I449" s="17">
        <v>47.4</v>
      </c>
      <c r="J449" s="27">
        <v>21.1</v>
      </c>
      <c r="K449" s="17">
        <v>0</v>
      </c>
      <c r="L449" s="17">
        <v>10.3</v>
      </c>
      <c r="M449" s="28">
        <v>2.67</v>
      </c>
      <c r="N449" s="28">
        <v>5.63</v>
      </c>
      <c r="O449" s="28">
        <v>1.31</v>
      </c>
      <c r="P449" s="22" t="s">
        <v>100</v>
      </c>
      <c r="Q449" s="27">
        <v>26</v>
      </c>
      <c r="R449" s="27">
        <v>17</v>
      </c>
      <c r="S449" s="27">
        <v>0</v>
      </c>
      <c r="T449" s="27">
        <v>0</v>
      </c>
      <c r="U449" s="27">
        <v>0.4</v>
      </c>
      <c r="V449" s="27">
        <v>7.1</v>
      </c>
      <c r="W449" s="17">
        <v>0.1</v>
      </c>
      <c r="X449" s="17">
        <v>0.1</v>
      </c>
      <c r="Y449" s="27">
        <v>2.1</v>
      </c>
      <c r="Z449" s="27">
        <v>0.1</v>
      </c>
      <c r="AA449" s="27">
        <v>0.9</v>
      </c>
      <c r="AB449" s="27">
        <v>0.2</v>
      </c>
      <c r="AC449" s="27">
        <v>104</v>
      </c>
      <c r="AD449" s="17">
        <v>38</v>
      </c>
      <c r="AE449" s="17">
        <v>104</v>
      </c>
      <c r="AF449" s="17">
        <v>36</v>
      </c>
      <c r="AG449" s="17">
        <v>50</v>
      </c>
      <c r="AH449" s="27">
        <v>20</v>
      </c>
      <c r="AI449" s="17">
        <v>1.4</v>
      </c>
      <c r="AJ449" s="27">
        <v>0.8</v>
      </c>
      <c r="AK449" s="27">
        <v>0.1</v>
      </c>
      <c r="AL449" s="27">
        <v>12.5</v>
      </c>
      <c r="AM449" s="27">
        <v>0</v>
      </c>
    </row>
    <row r="450" spans="1:39" x14ac:dyDescent="0.25">
      <c r="A450" s="10">
        <v>449</v>
      </c>
      <c r="B450" s="9" t="s">
        <v>553</v>
      </c>
      <c r="C450" s="9" t="s">
        <v>558</v>
      </c>
      <c r="D450" s="10">
        <v>2</v>
      </c>
      <c r="E450" s="11">
        <v>381</v>
      </c>
      <c r="F450" s="17">
        <v>25.2</v>
      </c>
      <c r="G450" s="17">
        <v>1.5</v>
      </c>
      <c r="H450" s="17">
        <v>4.2</v>
      </c>
      <c r="I450" s="17">
        <v>51.7</v>
      </c>
      <c r="J450" s="27">
        <v>39</v>
      </c>
      <c r="K450" s="17">
        <v>0.1</v>
      </c>
      <c r="L450" s="17">
        <v>17.399999999999999</v>
      </c>
      <c r="M450" s="28">
        <v>5.17</v>
      </c>
      <c r="N450" s="28">
        <v>6.12</v>
      </c>
      <c r="O450" s="28">
        <v>2.89</v>
      </c>
      <c r="P450" s="22" t="s">
        <v>100</v>
      </c>
      <c r="Q450" s="27">
        <v>102</v>
      </c>
      <c r="R450" s="27">
        <v>46.8</v>
      </c>
      <c r="S450" s="27">
        <v>0</v>
      </c>
      <c r="T450" s="27">
        <v>0.2</v>
      </c>
      <c r="U450" s="27">
        <v>0.3</v>
      </c>
      <c r="V450" s="27">
        <v>0.2</v>
      </c>
      <c r="W450" s="17">
        <v>0</v>
      </c>
      <c r="X450" s="17">
        <v>0.1</v>
      </c>
      <c r="Y450" s="27">
        <v>2.1</v>
      </c>
      <c r="Z450" s="27">
        <v>0.1</v>
      </c>
      <c r="AA450" s="27">
        <v>0.5</v>
      </c>
      <c r="AB450" s="27">
        <v>0.3</v>
      </c>
      <c r="AC450" s="27">
        <v>75.5</v>
      </c>
      <c r="AD450" s="17">
        <v>412</v>
      </c>
      <c r="AE450" s="17">
        <v>98</v>
      </c>
      <c r="AF450" s="17">
        <v>67</v>
      </c>
      <c r="AG450" s="17">
        <v>193</v>
      </c>
      <c r="AH450" s="27">
        <v>11.7</v>
      </c>
      <c r="AI450" s="17">
        <v>0.9</v>
      </c>
      <c r="AJ450" s="27">
        <v>0.5</v>
      </c>
      <c r="AK450" s="27">
        <v>0.1</v>
      </c>
      <c r="AL450" s="27">
        <v>9.6999999999999993</v>
      </c>
      <c r="AM450" s="27">
        <v>0</v>
      </c>
    </row>
    <row r="451" spans="1:39" x14ac:dyDescent="0.25">
      <c r="A451" s="10">
        <v>450</v>
      </c>
      <c r="B451" s="9" t="s">
        <v>553</v>
      </c>
      <c r="C451" s="9" t="s">
        <v>559</v>
      </c>
      <c r="D451" s="10">
        <v>1</v>
      </c>
      <c r="E451" s="11">
        <v>228</v>
      </c>
      <c r="F451" s="17">
        <v>3</v>
      </c>
      <c r="G451" s="17">
        <v>5.8</v>
      </c>
      <c r="H451" s="17">
        <v>19.600000000000001</v>
      </c>
      <c r="I451" s="17">
        <v>20.9</v>
      </c>
      <c r="J451" s="17">
        <v>1.8</v>
      </c>
      <c r="K451" s="17">
        <v>37</v>
      </c>
      <c r="L451" s="17">
        <v>13.7</v>
      </c>
      <c r="M451" s="19">
        <v>8.07</v>
      </c>
      <c r="N451" s="19">
        <v>4.57</v>
      </c>
      <c r="O451" s="19">
        <v>0.44</v>
      </c>
      <c r="P451" s="22" t="s">
        <v>100</v>
      </c>
      <c r="Q451" s="17">
        <v>0</v>
      </c>
      <c r="R451" s="17">
        <v>0</v>
      </c>
      <c r="S451" s="17">
        <v>0</v>
      </c>
      <c r="T451" s="17">
        <v>0</v>
      </c>
      <c r="U451" s="17">
        <v>0.1</v>
      </c>
      <c r="V451" s="17">
        <v>2.5</v>
      </c>
      <c r="W451" s="17">
        <v>0.1</v>
      </c>
      <c r="X451" s="17">
        <v>0.2</v>
      </c>
      <c r="Y451" s="17">
        <v>2.2000000000000002</v>
      </c>
      <c r="Z451" s="17">
        <v>0.1</v>
      </c>
      <c r="AA451" s="17">
        <v>0.3</v>
      </c>
      <c r="AB451" s="17">
        <v>0</v>
      </c>
      <c r="AC451" s="17">
        <v>32</v>
      </c>
      <c r="AD451" s="17">
        <v>21</v>
      </c>
      <c r="AE451" s="17">
        <v>1524</v>
      </c>
      <c r="AF451" s="17">
        <v>128</v>
      </c>
      <c r="AG451" s="17">
        <v>734</v>
      </c>
      <c r="AH451" s="17">
        <v>499</v>
      </c>
      <c r="AI451" s="17">
        <v>13.9</v>
      </c>
      <c r="AJ451" s="17">
        <v>6.8</v>
      </c>
      <c r="AK451" s="17">
        <v>3.8</v>
      </c>
      <c r="AL451" s="17">
        <v>14.3</v>
      </c>
      <c r="AM451" s="27">
        <v>0</v>
      </c>
    </row>
    <row r="452" spans="1:39" x14ac:dyDescent="0.25">
      <c r="A452" s="10">
        <v>451</v>
      </c>
      <c r="B452" s="9" t="s">
        <v>553</v>
      </c>
      <c r="C452" s="9" t="s">
        <v>560</v>
      </c>
      <c r="D452" s="10">
        <v>3</v>
      </c>
      <c r="E452" s="11">
        <v>367</v>
      </c>
      <c r="F452" s="17">
        <v>7.3</v>
      </c>
      <c r="G452" s="17">
        <v>0.9</v>
      </c>
      <c r="H452" s="17">
        <v>0.8</v>
      </c>
      <c r="I452" s="17">
        <v>91</v>
      </c>
      <c r="J452" s="17">
        <v>91</v>
      </c>
      <c r="K452" s="22" t="s">
        <v>100</v>
      </c>
      <c r="L452" s="17">
        <v>0</v>
      </c>
      <c r="M452" s="28">
        <v>0</v>
      </c>
      <c r="N452" s="28">
        <v>0</v>
      </c>
      <c r="O452" s="28">
        <v>0</v>
      </c>
      <c r="P452" s="28">
        <v>0</v>
      </c>
      <c r="Q452" s="27">
        <v>0</v>
      </c>
      <c r="R452" s="27">
        <v>0</v>
      </c>
      <c r="S452" s="27">
        <v>0</v>
      </c>
      <c r="T452" s="27">
        <v>0</v>
      </c>
      <c r="U452" s="27">
        <v>0</v>
      </c>
      <c r="V452" s="27">
        <v>0</v>
      </c>
      <c r="W452" s="27">
        <v>0</v>
      </c>
      <c r="X452" s="27">
        <v>0</v>
      </c>
      <c r="Y452" s="27">
        <v>0.1</v>
      </c>
      <c r="Z452" s="27">
        <v>0</v>
      </c>
      <c r="AA452" s="27">
        <v>0.1</v>
      </c>
      <c r="AB452" s="27">
        <v>0</v>
      </c>
      <c r="AC452" s="27">
        <v>0.9</v>
      </c>
      <c r="AD452" s="17">
        <v>108</v>
      </c>
      <c r="AE452" s="27">
        <v>125</v>
      </c>
      <c r="AF452" s="27">
        <v>78</v>
      </c>
      <c r="AG452" s="27">
        <v>3.8</v>
      </c>
      <c r="AH452" s="27">
        <v>8.5</v>
      </c>
      <c r="AI452" s="27">
        <v>0.7</v>
      </c>
      <c r="AJ452" s="27">
        <v>0</v>
      </c>
      <c r="AK452" s="27">
        <v>0</v>
      </c>
      <c r="AL452" s="27">
        <v>1.1000000000000001</v>
      </c>
      <c r="AM452" s="27">
        <v>0</v>
      </c>
    </row>
    <row r="453" spans="1:39" x14ac:dyDescent="0.25">
      <c r="A453" s="10">
        <v>452</v>
      </c>
      <c r="B453" s="9" t="s">
        <v>553</v>
      </c>
      <c r="C453" s="9" t="s">
        <v>561</v>
      </c>
      <c r="D453" s="10">
        <v>4</v>
      </c>
      <c r="E453" s="11">
        <v>559</v>
      </c>
      <c r="F453" s="22" t="s">
        <v>100</v>
      </c>
      <c r="G453" s="27">
        <v>1.7</v>
      </c>
      <c r="H453" s="17">
        <v>11.3</v>
      </c>
      <c r="I453" s="17">
        <v>46.9</v>
      </c>
      <c r="J453" s="17">
        <v>44</v>
      </c>
      <c r="K453" s="27">
        <v>6.2</v>
      </c>
      <c r="L453" s="17">
        <v>36.200000000000003</v>
      </c>
      <c r="M453" s="19">
        <v>15.6</v>
      </c>
      <c r="N453" s="19">
        <v>16</v>
      </c>
      <c r="O453" s="19">
        <v>2.6</v>
      </c>
      <c r="P453" s="19">
        <v>0.5</v>
      </c>
      <c r="Q453" s="17">
        <v>17</v>
      </c>
      <c r="R453" s="27">
        <v>52</v>
      </c>
      <c r="S453" s="27">
        <v>0.2</v>
      </c>
      <c r="T453" s="27">
        <v>0</v>
      </c>
      <c r="U453" s="27">
        <v>3.1</v>
      </c>
      <c r="V453" s="27">
        <v>5.0999999999999996</v>
      </c>
      <c r="W453" s="27">
        <v>0.1</v>
      </c>
      <c r="X453" s="27">
        <v>0.4</v>
      </c>
      <c r="Y453" s="27">
        <v>0.7</v>
      </c>
      <c r="Z453" s="27">
        <v>0</v>
      </c>
      <c r="AA453" s="27">
        <v>0.5</v>
      </c>
      <c r="AB453" s="27">
        <v>0.7</v>
      </c>
      <c r="AC453" s="27">
        <v>13</v>
      </c>
      <c r="AD453" s="17">
        <v>84</v>
      </c>
      <c r="AE453" s="27">
        <v>444</v>
      </c>
      <c r="AF453" s="27">
        <v>224</v>
      </c>
      <c r="AG453" s="27">
        <v>264</v>
      </c>
      <c r="AH453" s="27">
        <v>90</v>
      </c>
      <c r="AI453" s="27">
        <v>1.6</v>
      </c>
      <c r="AJ453" s="27">
        <v>1.3</v>
      </c>
      <c r="AK453" s="27">
        <v>0.4</v>
      </c>
      <c r="AL453" s="27">
        <v>4</v>
      </c>
      <c r="AM453" s="27">
        <v>0</v>
      </c>
    </row>
    <row r="454" spans="1:39" x14ac:dyDescent="0.25">
      <c r="A454" s="10">
        <v>453</v>
      </c>
      <c r="B454" s="9" t="s">
        <v>553</v>
      </c>
      <c r="C454" s="9" t="s">
        <v>562</v>
      </c>
      <c r="D454" s="10">
        <v>1</v>
      </c>
      <c r="E454" s="11">
        <v>579</v>
      </c>
      <c r="F454" s="17">
        <v>1.3</v>
      </c>
      <c r="G454" s="17">
        <v>1.9</v>
      </c>
      <c r="H454" s="17">
        <v>6.1</v>
      </c>
      <c r="I454" s="17">
        <v>44.4</v>
      </c>
      <c r="J454" s="17">
        <v>36.700000000000003</v>
      </c>
      <c r="K454" s="17">
        <v>8</v>
      </c>
      <c r="L454" s="17">
        <v>38.299999999999997</v>
      </c>
      <c r="M454" s="19">
        <v>22.03</v>
      </c>
      <c r="N454" s="19">
        <v>11.52</v>
      </c>
      <c r="O454" s="19">
        <v>1.22</v>
      </c>
      <c r="P454" s="28">
        <v>0.08</v>
      </c>
      <c r="Q454" s="17">
        <v>6</v>
      </c>
      <c r="R454" s="17">
        <v>3</v>
      </c>
      <c r="S454" s="22" t="s">
        <v>100</v>
      </c>
      <c r="T454" s="22" t="s">
        <v>100</v>
      </c>
      <c r="U454" s="17">
        <v>0.6</v>
      </c>
      <c r="V454" s="17">
        <v>7.2</v>
      </c>
      <c r="W454" s="17">
        <v>0</v>
      </c>
      <c r="X454" s="17">
        <v>0</v>
      </c>
      <c r="Y454" s="17">
        <v>0.8</v>
      </c>
      <c r="Z454" s="17">
        <v>0</v>
      </c>
      <c r="AA454" s="17">
        <v>0.3</v>
      </c>
      <c r="AB454" s="17">
        <v>0.2</v>
      </c>
      <c r="AC454" s="22" t="s">
        <v>100</v>
      </c>
      <c r="AD454" s="17">
        <v>10</v>
      </c>
      <c r="AE454" s="17">
        <v>567</v>
      </c>
      <c r="AF454" s="17">
        <v>62</v>
      </c>
      <c r="AG454" s="17">
        <v>260</v>
      </c>
      <c r="AH454" s="17">
        <v>176</v>
      </c>
      <c r="AI454" s="17">
        <v>6.3</v>
      </c>
      <c r="AJ454" s="17">
        <v>2.7</v>
      </c>
      <c r="AK454" s="17">
        <v>1.2</v>
      </c>
      <c r="AL454" s="17">
        <v>8.4</v>
      </c>
      <c r="AM454" s="27">
        <v>0</v>
      </c>
    </row>
    <row r="455" spans="1:39" x14ac:dyDescent="0.25">
      <c r="A455" s="10">
        <v>454</v>
      </c>
      <c r="B455" s="9" t="s">
        <v>553</v>
      </c>
      <c r="C455" s="9" t="s">
        <v>563</v>
      </c>
      <c r="D455" s="10">
        <v>1</v>
      </c>
      <c r="E455" s="11">
        <v>598</v>
      </c>
      <c r="F455" s="17">
        <v>1.4</v>
      </c>
      <c r="G455" s="17">
        <v>2.2999999999999998</v>
      </c>
      <c r="H455" s="17">
        <v>7.8</v>
      </c>
      <c r="I455" s="17">
        <v>35</v>
      </c>
      <c r="J455" s="17">
        <v>24</v>
      </c>
      <c r="K455" s="17">
        <v>10.9</v>
      </c>
      <c r="L455" s="17">
        <v>42.6</v>
      </c>
      <c r="M455" s="19">
        <v>24.5</v>
      </c>
      <c r="N455" s="19">
        <v>12.8</v>
      </c>
      <c r="O455" s="19">
        <v>1.3</v>
      </c>
      <c r="P455" s="28">
        <v>0.03</v>
      </c>
      <c r="Q455" s="17">
        <v>3</v>
      </c>
      <c r="R455" s="17">
        <v>2</v>
      </c>
      <c r="S455" s="22" t="s">
        <v>100</v>
      </c>
      <c r="T455" s="22" t="s">
        <v>100</v>
      </c>
      <c r="U455" s="17">
        <v>0.6</v>
      </c>
      <c r="V455" s="17">
        <v>7.3</v>
      </c>
      <c r="W455" s="17">
        <v>0</v>
      </c>
      <c r="X455" s="17">
        <v>0.1</v>
      </c>
      <c r="Y455" s="17">
        <v>1.1000000000000001</v>
      </c>
      <c r="Z455" s="17">
        <v>0</v>
      </c>
      <c r="AA455" s="17">
        <v>0.4</v>
      </c>
      <c r="AB455" s="17">
        <v>0.3</v>
      </c>
      <c r="AC455" s="22" t="s">
        <v>100</v>
      </c>
      <c r="AD455" s="17">
        <v>20</v>
      </c>
      <c r="AE455" s="17">
        <v>715</v>
      </c>
      <c r="AF455" s="17">
        <v>73</v>
      </c>
      <c r="AG455" s="17">
        <v>308</v>
      </c>
      <c r="AH455" s="17">
        <v>228</v>
      </c>
      <c r="AI455" s="17">
        <v>11.9</v>
      </c>
      <c r="AJ455" s="17">
        <v>3.3</v>
      </c>
      <c r="AK455" s="17">
        <v>1.8</v>
      </c>
      <c r="AL455" s="17">
        <v>6.8</v>
      </c>
      <c r="AM455" s="27">
        <v>0</v>
      </c>
    </row>
    <row r="456" spans="1:39" x14ac:dyDescent="0.25">
      <c r="A456" s="10">
        <v>455</v>
      </c>
      <c r="B456" s="9" t="s">
        <v>553</v>
      </c>
      <c r="C456" s="9" t="s">
        <v>564</v>
      </c>
      <c r="D456" s="10">
        <v>4</v>
      </c>
      <c r="E456" s="11">
        <v>548</v>
      </c>
      <c r="F456" s="22" t="s">
        <v>100</v>
      </c>
      <c r="G456" s="27">
        <v>1.8</v>
      </c>
      <c r="H456" s="17">
        <v>8.3000000000000007</v>
      </c>
      <c r="I456" s="17">
        <v>60</v>
      </c>
      <c r="J456" s="17">
        <v>52.3</v>
      </c>
      <c r="K456" s="27">
        <v>3.4</v>
      </c>
      <c r="L456" s="17">
        <v>30.5</v>
      </c>
      <c r="M456" s="19">
        <v>19</v>
      </c>
      <c r="N456" s="19">
        <v>9.6</v>
      </c>
      <c r="O456" s="19">
        <v>1.1000000000000001</v>
      </c>
      <c r="P456" s="19">
        <v>0.6</v>
      </c>
      <c r="Q456" s="17">
        <v>22</v>
      </c>
      <c r="R456" s="27">
        <v>59</v>
      </c>
      <c r="S456" s="27">
        <v>0</v>
      </c>
      <c r="T456" s="27">
        <v>0</v>
      </c>
      <c r="U456" s="27">
        <v>0.5</v>
      </c>
      <c r="V456" s="27">
        <v>5.7</v>
      </c>
      <c r="W456" s="27">
        <v>0.1</v>
      </c>
      <c r="X456" s="27">
        <v>0.3</v>
      </c>
      <c r="Y456" s="27">
        <v>0.4</v>
      </c>
      <c r="Z456" s="27">
        <v>0</v>
      </c>
      <c r="AA456" s="27">
        <v>0.5</v>
      </c>
      <c r="AB456" s="27">
        <v>0.8</v>
      </c>
      <c r="AC456" s="27">
        <v>11</v>
      </c>
      <c r="AD456" s="17">
        <v>108</v>
      </c>
      <c r="AE456" s="27">
        <v>372</v>
      </c>
      <c r="AF456" s="27">
        <v>189</v>
      </c>
      <c r="AG456" s="27">
        <v>208</v>
      </c>
      <c r="AH456" s="27">
        <v>63</v>
      </c>
      <c r="AI456" s="27">
        <v>2.4</v>
      </c>
      <c r="AJ456" s="27">
        <v>2.2999999999999998</v>
      </c>
      <c r="AK456" s="27">
        <v>0.5</v>
      </c>
      <c r="AL456" s="27">
        <v>4.5</v>
      </c>
      <c r="AM456" s="27">
        <v>0</v>
      </c>
    </row>
    <row r="457" spans="1:39" x14ac:dyDescent="0.25">
      <c r="A457" s="10">
        <v>456</v>
      </c>
      <c r="B457" s="9" t="s">
        <v>553</v>
      </c>
      <c r="C457" s="9" t="s">
        <v>565</v>
      </c>
      <c r="D457" s="10">
        <v>1</v>
      </c>
      <c r="E457" s="11">
        <v>393</v>
      </c>
      <c r="F457" s="17">
        <v>1.7</v>
      </c>
      <c r="G457" s="17">
        <v>3.5</v>
      </c>
      <c r="H457" s="17">
        <v>8</v>
      </c>
      <c r="I457" s="17">
        <v>80.5</v>
      </c>
      <c r="J457" s="27">
        <v>65.400000000000006</v>
      </c>
      <c r="K457" s="17">
        <v>2.2999999999999998</v>
      </c>
      <c r="L457" s="17">
        <v>4</v>
      </c>
      <c r="M457" s="28">
        <v>2.38</v>
      </c>
      <c r="N457" s="28">
        <v>1.32</v>
      </c>
      <c r="O457" s="28">
        <v>0.11</v>
      </c>
      <c r="P457" s="22" t="s">
        <v>100</v>
      </c>
      <c r="Q457" s="27">
        <v>0</v>
      </c>
      <c r="R457" s="27">
        <v>1</v>
      </c>
      <c r="S457" s="27">
        <v>0.2</v>
      </c>
      <c r="T457" s="27">
        <v>0</v>
      </c>
      <c r="U457" s="27">
        <v>0.2</v>
      </c>
      <c r="V457" s="27">
        <v>0.9</v>
      </c>
      <c r="W457" s="27">
        <v>0.1</v>
      </c>
      <c r="X457" s="27">
        <v>0.6</v>
      </c>
      <c r="Y457" s="27">
        <v>0.6</v>
      </c>
      <c r="Z457" s="27">
        <v>0.1</v>
      </c>
      <c r="AA457" s="27">
        <v>0.9</v>
      </c>
      <c r="AB457" s="27">
        <v>0.3</v>
      </c>
      <c r="AC457" s="27">
        <v>6</v>
      </c>
      <c r="AD457" s="27">
        <v>503</v>
      </c>
      <c r="AE457" s="27">
        <v>710.6</v>
      </c>
      <c r="AF457" s="27">
        <v>132.69999999999999</v>
      </c>
      <c r="AG457" s="27">
        <v>314.39999999999998</v>
      </c>
      <c r="AH457" s="27">
        <v>82.8</v>
      </c>
      <c r="AI457" s="27">
        <v>1.2</v>
      </c>
      <c r="AJ457" s="27">
        <v>1.5</v>
      </c>
      <c r="AK457" s="27">
        <v>0.3</v>
      </c>
      <c r="AL457" s="27">
        <v>5</v>
      </c>
      <c r="AM457" s="27">
        <v>0</v>
      </c>
    </row>
    <row r="458" spans="1:39" x14ac:dyDescent="0.25">
      <c r="A458" s="10">
        <v>457</v>
      </c>
      <c r="B458" s="9" t="s">
        <v>553</v>
      </c>
      <c r="C458" s="9" t="s">
        <v>566</v>
      </c>
      <c r="D458" s="10">
        <v>1</v>
      </c>
      <c r="E458" s="11">
        <v>322</v>
      </c>
      <c r="F458" s="17">
        <v>16.7</v>
      </c>
      <c r="G458" s="17">
        <v>0.1</v>
      </c>
      <c r="H458" s="17">
        <v>0.3</v>
      </c>
      <c r="I458" s="17">
        <v>81.3</v>
      </c>
      <c r="J458" s="17">
        <v>80.7</v>
      </c>
      <c r="K458" s="17">
        <v>1.6</v>
      </c>
      <c r="L458" s="17">
        <v>0.1</v>
      </c>
      <c r="M458" s="19">
        <v>0.01</v>
      </c>
      <c r="N458" s="19">
        <v>0.01</v>
      </c>
      <c r="O458" s="19">
        <v>0.02</v>
      </c>
      <c r="P458" s="28">
        <v>0</v>
      </c>
      <c r="Q458" s="17">
        <v>0</v>
      </c>
      <c r="R458" s="17">
        <v>1</v>
      </c>
      <c r="S458" s="17">
        <v>0</v>
      </c>
      <c r="T458" s="17">
        <v>0</v>
      </c>
      <c r="U458" s="17">
        <v>0</v>
      </c>
      <c r="V458" s="17">
        <v>0.3</v>
      </c>
      <c r="W458" s="17">
        <v>0</v>
      </c>
      <c r="X458" s="17">
        <v>0</v>
      </c>
      <c r="Y458" s="17">
        <v>0</v>
      </c>
      <c r="Z458" s="17">
        <v>0</v>
      </c>
      <c r="AA458" s="22" t="s">
        <v>100</v>
      </c>
      <c r="AB458" s="17">
        <v>0</v>
      </c>
      <c r="AC458" s="17">
        <v>0</v>
      </c>
      <c r="AD458" s="17">
        <v>98</v>
      </c>
      <c r="AE458" s="17">
        <v>56</v>
      </c>
      <c r="AF458" s="17">
        <v>18</v>
      </c>
      <c r="AG458" s="17">
        <v>5</v>
      </c>
      <c r="AH458" s="17">
        <v>4</v>
      </c>
      <c r="AI458" s="17">
        <v>0.2</v>
      </c>
      <c r="AJ458" s="17">
        <v>0.1</v>
      </c>
      <c r="AK458" s="17">
        <v>0</v>
      </c>
      <c r="AL458" s="17">
        <v>0.6</v>
      </c>
      <c r="AM458" s="27">
        <v>0</v>
      </c>
    </row>
    <row r="459" spans="1:39" x14ac:dyDescent="0.25">
      <c r="A459" s="10">
        <v>458</v>
      </c>
      <c r="B459" s="9" t="s">
        <v>553</v>
      </c>
      <c r="C459" s="9" t="s">
        <v>567</v>
      </c>
      <c r="D459" s="10">
        <v>1</v>
      </c>
      <c r="E459" s="11">
        <v>381</v>
      </c>
      <c r="F459" s="17">
        <v>1</v>
      </c>
      <c r="G459" s="17">
        <v>0.7</v>
      </c>
      <c r="H459" s="17">
        <v>7.8</v>
      </c>
      <c r="I459" s="17">
        <v>90.5</v>
      </c>
      <c r="J459" s="17">
        <v>86</v>
      </c>
      <c r="K459" s="17">
        <v>0</v>
      </c>
      <c r="L459" s="17">
        <v>0</v>
      </c>
      <c r="M459" s="19">
        <v>0</v>
      </c>
      <c r="N459" s="19">
        <v>0</v>
      </c>
      <c r="O459" s="19">
        <v>0</v>
      </c>
      <c r="P459" s="28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3</v>
      </c>
      <c r="AD459" s="17">
        <v>466</v>
      </c>
      <c r="AE459" s="17">
        <v>7</v>
      </c>
      <c r="AF459" s="17">
        <v>3</v>
      </c>
      <c r="AG459" s="17">
        <v>141</v>
      </c>
      <c r="AH459" s="17">
        <v>2</v>
      </c>
      <c r="AI459" s="17">
        <v>0.1</v>
      </c>
      <c r="AJ459" s="17">
        <v>0</v>
      </c>
      <c r="AK459" s="17">
        <v>0.1</v>
      </c>
      <c r="AL459" s="17">
        <v>6.7</v>
      </c>
      <c r="AM459" s="27">
        <v>0</v>
      </c>
    </row>
    <row r="460" spans="1:39" x14ac:dyDescent="0.25">
      <c r="A460" s="10">
        <v>459</v>
      </c>
      <c r="B460" s="9" t="s">
        <v>553</v>
      </c>
      <c r="C460" s="9" t="s">
        <v>568</v>
      </c>
      <c r="D460" s="10">
        <v>1</v>
      </c>
      <c r="E460" s="11">
        <v>62</v>
      </c>
      <c r="F460" s="17">
        <v>84.4</v>
      </c>
      <c r="G460" s="17">
        <v>0.2</v>
      </c>
      <c r="H460" s="17">
        <v>1.2</v>
      </c>
      <c r="I460" s="17">
        <v>14.2</v>
      </c>
      <c r="J460" s="17">
        <v>13.5</v>
      </c>
      <c r="K460" s="17">
        <v>0</v>
      </c>
      <c r="L460" s="17">
        <v>0</v>
      </c>
      <c r="M460" s="19">
        <v>0</v>
      </c>
      <c r="N460" s="19">
        <v>0</v>
      </c>
      <c r="O460" s="19">
        <v>0</v>
      </c>
      <c r="P460" s="28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1</v>
      </c>
      <c r="AD460" s="17">
        <v>75</v>
      </c>
      <c r="AE460" s="17">
        <v>1</v>
      </c>
      <c r="AF460" s="17">
        <v>3</v>
      </c>
      <c r="AG460" s="17">
        <v>22</v>
      </c>
      <c r="AH460" s="17">
        <v>1</v>
      </c>
      <c r="AI460" s="17">
        <v>0</v>
      </c>
      <c r="AJ460" s="17">
        <v>0</v>
      </c>
      <c r="AK460" s="17">
        <v>0</v>
      </c>
      <c r="AL460" s="17">
        <v>1.1000000000000001</v>
      </c>
      <c r="AM460" s="27">
        <v>0</v>
      </c>
    </row>
    <row r="461" spans="1:39" x14ac:dyDescent="0.25">
      <c r="A461" s="10">
        <v>460</v>
      </c>
      <c r="B461" s="9" t="s">
        <v>553</v>
      </c>
      <c r="C461" s="9" t="s">
        <v>569</v>
      </c>
      <c r="D461" s="10">
        <v>3</v>
      </c>
      <c r="E461" s="11">
        <v>28</v>
      </c>
      <c r="F461" s="17">
        <v>92.7</v>
      </c>
      <c r="G461" s="17">
        <v>0.2</v>
      </c>
      <c r="H461" s="17">
        <v>0</v>
      </c>
      <c r="I461" s="17">
        <v>7.1</v>
      </c>
      <c r="J461" s="17">
        <v>5.4</v>
      </c>
      <c r="K461" s="22" t="s">
        <v>100</v>
      </c>
      <c r="L461" s="17">
        <v>0</v>
      </c>
      <c r="M461" s="28">
        <v>0</v>
      </c>
      <c r="N461" s="28">
        <v>0</v>
      </c>
      <c r="O461" s="28">
        <v>0</v>
      </c>
      <c r="P461" s="28">
        <v>0</v>
      </c>
      <c r="Q461" s="27">
        <v>0</v>
      </c>
      <c r="R461" s="27">
        <v>0</v>
      </c>
      <c r="S461" s="27">
        <v>0</v>
      </c>
      <c r="T461" s="27">
        <v>0</v>
      </c>
      <c r="U461" s="27">
        <v>0</v>
      </c>
      <c r="V461" s="27">
        <v>0</v>
      </c>
      <c r="W461" s="27">
        <v>0</v>
      </c>
      <c r="X461" s="27">
        <v>0</v>
      </c>
      <c r="Y461" s="27">
        <v>0</v>
      </c>
      <c r="Z461" s="27">
        <v>0</v>
      </c>
      <c r="AA461" s="27">
        <v>0</v>
      </c>
      <c r="AB461" s="27">
        <v>0</v>
      </c>
      <c r="AC461" s="27">
        <v>0.5</v>
      </c>
      <c r="AD461" s="27">
        <v>35.1</v>
      </c>
      <c r="AE461" s="27">
        <v>0.5</v>
      </c>
      <c r="AF461" s="27">
        <v>1.4</v>
      </c>
      <c r="AG461" s="27">
        <v>10.3</v>
      </c>
      <c r="AH461" s="27">
        <v>0.5</v>
      </c>
      <c r="AI461" s="27">
        <v>0</v>
      </c>
      <c r="AJ461" s="27">
        <v>0</v>
      </c>
      <c r="AK461" s="27">
        <v>0</v>
      </c>
      <c r="AL461" s="27">
        <v>0.5</v>
      </c>
      <c r="AM461" s="27">
        <v>0</v>
      </c>
    </row>
    <row r="462" spans="1:39" x14ac:dyDescent="0.25">
      <c r="A462" s="10">
        <v>461</v>
      </c>
      <c r="B462" s="9" t="s">
        <v>553</v>
      </c>
      <c r="C462" s="9" t="s">
        <v>570</v>
      </c>
      <c r="D462" s="10">
        <v>4</v>
      </c>
      <c r="E462" s="11">
        <v>318</v>
      </c>
      <c r="F462" s="27">
        <v>26.7</v>
      </c>
      <c r="G462" s="27">
        <v>2.2000000000000002</v>
      </c>
      <c r="H462" s="17">
        <v>62</v>
      </c>
      <c r="I462" s="17">
        <v>9</v>
      </c>
      <c r="J462" s="17">
        <v>0</v>
      </c>
      <c r="K462" s="27">
        <v>0.1</v>
      </c>
      <c r="L462" s="17">
        <v>0</v>
      </c>
      <c r="M462" s="28">
        <v>0</v>
      </c>
      <c r="N462" s="28">
        <v>0</v>
      </c>
      <c r="O462" s="28">
        <v>0</v>
      </c>
      <c r="P462" s="28">
        <v>0</v>
      </c>
      <c r="Q462" s="27">
        <v>0</v>
      </c>
      <c r="R462" s="27">
        <v>0</v>
      </c>
      <c r="S462" s="27">
        <v>0</v>
      </c>
      <c r="T462" s="27">
        <v>0</v>
      </c>
      <c r="U462" s="27">
        <v>0</v>
      </c>
      <c r="V462" s="27">
        <v>0</v>
      </c>
      <c r="W462" s="27">
        <v>0</v>
      </c>
      <c r="X462" s="27">
        <v>0</v>
      </c>
      <c r="Y462" s="27">
        <v>0</v>
      </c>
      <c r="Z462" s="27">
        <v>0</v>
      </c>
      <c r="AA462" s="27">
        <v>0</v>
      </c>
      <c r="AB462" s="27">
        <v>0</v>
      </c>
      <c r="AC462" s="27">
        <v>0</v>
      </c>
      <c r="AD462" s="17">
        <v>480</v>
      </c>
      <c r="AE462" s="27">
        <v>14</v>
      </c>
      <c r="AF462" s="27">
        <v>8</v>
      </c>
      <c r="AG462" s="27">
        <v>1293</v>
      </c>
      <c r="AH462" s="27">
        <v>2</v>
      </c>
      <c r="AI462" s="27">
        <v>0.1</v>
      </c>
      <c r="AJ462" s="27">
        <v>0</v>
      </c>
      <c r="AK462" s="27">
        <v>0</v>
      </c>
      <c r="AL462" s="27">
        <v>0</v>
      </c>
      <c r="AM462" s="27">
        <v>0</v>
      </c>
    </row>
    <row r="463" spans="1:39" x14ac:dyDescent="0.25">
      <c r="A463" s="10">
        <v>462</v>
      </c>
      <c r="B463" s="9" t="s">
        <v>553</v>
      </c>
      <c r="C463" s="9" t="s">
        <v>571</v>
      </c>
      <c r="D463" s="10">
        <v>3</v>
      </c>
      <c r="E463" s="11">
        <v>290</v>
      </c>
      <c r="F463" s="17">
        <v>36.5</v>
      </c>
      <c r="G463" s="17">
        <v>1.5</v>
      </c>
      <c r="H463" s="17">
        <v>6.2</v>
      </c>
      <c r="I463" s="17">
        <v>47.4</v>
      </c>
      <c r="J463" s="17">
        <v>38.799999999999997</v>
      </c>
      <c r="K463" s="22" t="s">
        <v>100</v>
      </c>
      <c r="L463" s="17">
        <v>8.4</v>
      </c>
      <c r="M463" s="19">
        <v>5.09</v>
      </c>
      <c r="N463" s="19">
        <v>2.2999999999999998</v>
      </c>
      <c r="O463" s="19">
        <v>0.17</v>
      </c>
      <c r="P463" s="19">
        <v>0.3</v>
      </c>
      <c r="Q463" s="17">
        <v>27.7</v>
      </c>
      <c r="R463" s="27">
        <v>65.900000000000006</v>
      </c>
      <c r="S463" s="27">
        <v>2.2999999999999998</v>
      </c>
      <c r="T463" s="27">
        <v>0.2</v>
      </c>
      <c r="U463" s="27">
        <v>0.2</v>
      </c>
      <c r="V463" s="27">
        <v>1.2</v>
      </c>
      <c r="W463" s="27">
        <v>0</v>
      </c>
      <c r="X463" s="27">
        <v>0.4</v>
      </c>
      <c r="Y463" s="27">
        <v>0.2</v>
      </c>
      <c r="Z463" s="27">
        <v>0</v>
      </c>
      <c r="AA463" s="27">
        <v>0.7</v>
      </c>
      <c r="AB463" s="27">
        <v>0.3</v>
      </c>
      <c r="AC463" s="27">
        <v>9.8000000000000007</v>
      </c>
      <c r="AD463" s="17">
        <v>130</v>
      </c>
      <c r="AE463" s="27">
        <v>311.8</v>
      </c>
      <c r="AF463" s="27">
        <v>223.6</v>
      </c>
      <c r="AG463" s="27">
        <v>171.9</v>
      </c>
      <c r="AH463" s="27">
        <v>19.600000000000001</v>
      </c>
      <c r="AI463" s="27">
        <v>0.2</v>
      </c>
      <c r="AJ463" s="27">
        <v>0.7</v>
      </c>
      <c r="AK463" s="27">
        <v>0</v>
      </c>
      <c r="AL463" s="27">
        <v>2.4</v>
      </c>
      <c r="AM463" s="27">
        <v>0</v>
      </c>
    </row>
    <row r="464" spans="1:39" x14ac:dyDescent="0.25">
      <c r="A464" s="10">
        <v>463</v>
      </c>
      <c r="B464" s="9" t="s">
        <v>553</v>
      </c>
      <c r="C464" s="9" t="s">
        <v>572</v>
      </c>
      <c r="D464" s="10">
        <v>3</v>
      </c>
      <c r="E464" s="11">
        <v>232</v>
      </c>
      <c r="F464" s="17">
        <v>39.6</v>
      </c>
      <c r="G464" s="17">
        <v>0.3</v>
      </c>
      <c r="H464" s="17">
        <v>0.4</v>
      </c>
      <c r="I464" s="17">
        <v>57.6</v>
      </c>
      <c r="J464" s="17">
        <v>48.2</v>
      </c>
      <c r="K464" s="17">
        <v>2</v>
      </c>
      <c r="L464" s="17">
        <v>0</v>
      </c>
      <c r="M464" s="28">
        <v>0</v>
      </c>
      <c r="N464" s="28">
        <v>0</v>
      </c>
      <c r="O464" s="28">
        <v>0</v>
      </c>
      <c r="P464" s="28">
        <v>0</v>
      </c>
      <c r="Q464" s="27">
        <v>0</v>
      </c>
      <c r="R464" s="27">
        <v>9.1999999999999993</v>
      </c>
      <c r="S464" s="27">
        <v>8.1</v>
      </c>
      <c r="T464" s="27">
        <v>0</v>
      </c>
      <c r="U464" s="27">
        <v>0.1</v>
      </c>
      <c r="V464" s="27">
        <v>0</v>
      </c>
      <c r="W464" s="27">
        <v>0</v>
      </c>
      <c r="X464" s="27">
        <v>0</v>
      </c>
      <c r="Y464" s="27">
        <v>0</v>
      </c>
      <c r="Z464" s="27">
        <v>0</v>
      </c>
      <c r="AA464" s="27">
        <v>0</v>
      </c>
      <c r="AB464" s="27">
        <v>0</v>
      </c>
      <c r="AC464" s="27">
        <v>0.9</v>
      </c>
      <c r="AD464" s="17">
        <v>34</v>
      </c>
      <c r="AE464" s="27">
        <v>71</v>
      </c>
      <c r="AF464" s="27">
        <v>18.399999999999999</v>
      </c>
      <c r="AG464" s="27">
        <v>2.8</v>
      </c>
      <c r="AH464" s="27">
        <v>3.7</v>
      </c>
      <c r="AI464" s="27">
        <v>0.5</v>
      </c>
      <c r="AJ464" s="27">
        <v>0.1</v>
      </c>
      <c r="AK464" s="27">
        <v>0.1</v>
      </c>
      <c r="AL464" s="27">
        <v>1.8</v>
      </c>
      <c r="AM464" s="27">
        <v>0</v>
      </c>
    </row>
    <row r="465" spans="1:39" x14ac:dyDescent="0.25">
      <c r="A465" s="10">
        <v>464</v>
      </c>
      <c r="B465" s="9" t="s">
        <v>553</v>
      </c>
      <c r="C465" s="9" t="s">
        <v>573</v>
      </c>
      <c r="D465" s="10">
        <v>3</v>
      </c>
      <c r="E465" s="11">
        <v>199</v>
      </c>
      <c r="F465" s="17">
        <v>48.4</v>
      </c>
      <c r="G465" s="17">
        <v>0</v>
      </c>
      <c r="H465" s="17">
        <v>0.2</v>
      </c>
      <c r="I465" s="17">
        <v>49.6</v>
      </c>
      <c r="J465" s="17">
        <v>41.8</v>
      </c>
      <c r="K465" s="17">
        <v>1.8</v>
      </c>
      <c r="L465" s="17">
        <v>0</v>
      </c>
      <c r="M465" s="28">
        <v>0</v>
      </c>
      <c r="N465" s="28">
        <v>0</v>
      </c>
      <c r="O465" s="28">
        <v>0</v>
      </c>
      <c r="P465" s="28">
        <v>0</v>
      </c>
      <c r="Q465" s="27">
        <v>0</v>
      </c>
      <c r="R465" s="27">
        <v>0</v>
      </c>
      <c r="S465" s="27">
        <v>6.5</v>
      </c>
      <c r="T465" s="27">
        <v>0</v>
      </c>
      <c r="U465" s="27">
        <v>0.1</v>
      </c>
      <c r="V465" s="27">
        <v>0</v>
      </c>
      <c r="W465" s="27">
        <v>0</v>
      </c>
      <c r="X465" s="27">
        <v>0.1</v>
      </c>
      <c r="Y465" s="27">
        <v>0</v>
      </c>
      <c r="Z465" s="27">
        <v>0</v>
      </c>
      <c r="AA465" s="27">
        <v>0</v>
      </c>
      <c r="AB465" s="27">
        <v>0</v>
      </c>
      <c r="AC465" s="27">
        <v>8.1999999999999993</v>
      </c>
      <c r="AD465" s="17">
        <v>12</v>
      </c>
      <c r="AE465" s="27">
        <v>57.1</v>
      </c>
      <c r="AF465" s="27">
        <v>14.8</v>
      </c>
      <c r="AG465" s="27">
        <v>14.1</v>
      </c>
      <c r="AH465" s="27">
        <v>3</v>
      </c>
      <c r="AI465" s="27">
        <v>0.4</v>
      </c>
      <c r="AJ465" s="27">
        <v>0</v>
      </c>
      <c r="AK465" s="27">
        <v>0.1</v>
      </c>
      <c r="AL465" s="27">
        <v>1.5</v>
      </c>
      <c r="AM465" s="27">
        <v>0</v>
      </c>
    </row>
    <row r="466" spans="1:39" x14ac:dyDescent="0.25">
      <c r="A466" s="10">
        <v>465</v>
      </c>
      <c r="B466" s="9" t="s">
        <v>553</v>
      </c>
      <c r="C466" s="9" t="s">
        <v>574</v>
      </c>
      <c r="D466" s="10">
        <v>4</v>
      </c>
      <c r="E466" s="11">
        <v>56</v>
      </c>
      <c r="F466" s="27">
        <v>64.900000000000006</v>
      </c>
      <c r="G466" s="27">
        <v>0.2</v>
      </c>
      <c r="H466" s="17">
        <v>0.7</v>
      </c>
      <c r="I466" s="17">
        <v>17</v>
      </c>
      <c r="J466" s="17">
        <v>8.8000000000000007</v>
      </c>
      <c r="K466" s="17">
        <v>17</v>
      </c>
      <c r="L466" s="17">
        <v>0.2</v>
      </c>
      <c r="M466" s="28">
        <v>0.01</v>
      </c>
      <c r="N466" s="28">
        <v>0.03</v>
      </c>
      <c r="O466" s="28">
        <v>0.1</v>
      </c>
      <c r="P466" s="22" t="s">
        <v>100</v>
      </c>
      <c r="Q466" s="27">
        <v>0</v>
      </c>
      <c r="R466" s="27">
        <v>0</v>
      </c>
      <c r="S466" s="27">
        <v>0</v>
      </c>
      <c r="T466" s="27">
        <v>0</v>
      </c>
      <c r="U466" s="27">
        <v>0.1</v>
      </c>
      <c r="V466" s="27">
        <v>0</v>
      </c>
      <c r="W466" s="27">
        <v>0</v>
      </c>
      <c r="X466" s="27">
        <v>0</v>
      </c>
      <c r="Y466" s="27">
        <v>0</v>
      </c>
      <c r="Z466" s="27">
        <v>0</v>
      </c>
      <c r="AA466" s="22" t="s">
        <v>100</v>
      </c>
      <c r="AB466" s="27">
        <v>0</v>
      </c>
      <c r="AC466" s="27">
        <v>9</v>
      </c>
      <c r="AD466" s="17">
        <v>19</v>
      </c>
      <c r="AE466" s="27">
        <v>69</v>
      </c>
      <c r="AF466" s="27">
        <v>9</v>
      </c>
      <c r="AG466" s="27">
        <v>9</v>
      </c>
      <c r="AH466" s="27">
        <v>5</v>
      </c>
      <c r="AI466" s="27">
        <v>0.4</v>
      </c>
      <c r="AJ466" s="27">
        <v>0.1</v>
      </c>
      <c r="AK466" s="27">
        <v>0</v>
      </c>
      <c r="AL466" s="27">
        <v>1.7</v>
      </c>
      <c r="AM466" s="27">
        <v>0</v>
      </c>
    </row>
    <row r="467" spans="1:39" x14ac:dyDescent="0.25">
      <c r="A467" s="10">
        <v>466</v>
      </c>
      <c r="B467" s="9" t="s">
        <v>553</v>
      </c>
      <c r="C467" s="9" t="s">
        <v>575</v>
      </c>
      <c r="D467" s="10">
        <v>4</v>
      </c>
      <c r="E467" s="11">
        <v>237</v>
      </c>
      <c r="F467" s="17">
        <v>38</v>
      </c>
      <c r="G467" s="17">
        <v>2.1</v>
      </c>
      <c r="H467" s="17">
        <v>0.2</v>
      </c>
      <c r="I467" s="17">
        <v>58.7</v>
      </c>
      <c r="J467" s="17">
        <v>58.7</v>
      </c>
      <c r="K467" s="17">
        <v>0.9</v>
      </c>
      <c r="L467" s="17">
        <v>0.1</v>
      </c>
      <c r="M467" s="28">
        <v>0.01</v>
      </c>
      <c r="N467" s="28">
        <v>0.05</v>
      </c>
      <c r="O467" s="28">
        <v>0</v>
      </c>
      <c r="P467" s="22" t="s">
        <v>100</v>
      </c>
      <c r="Q467" s="27">
        <v>0</v>
      </c>
      <c r="R467" s="27">
        <v>0</v>
      </c>
      <c r="S467" s="27">
        <v>7.8</v>
      </c>
      <c r="T467" s="27">
        <v>0</v>
      </c>
      <c r="U467" s="27">
        <v>0.1</v>
      </c>
      <c r="V467" s="27">
        <v>0</v>
      </c>
      <c r="W467" s="27">
        <v>0</v>
      </c>
      <c r="X467" s="27">
        <v>0.1</v>
      </c>
      <c r="Y467" s="27">
        <v>0</v>
      </c>
      <c r="Z467" s="27">
        <v>0</v>
      </c>
      <c r="AA467" s="27">
        <v>0</v>
      </c>
      <c r="AB467" s="27">
        <v>0</v>
      </c>
      <c r="AC467" s="27">
        <v>9.8000000000000007</v>
      </c>
      <c r="AD467" s="17">
        <v>17</v>
      </c>
      <c r="AE467" s="27">
        <v>68.7</v>
      </c>
      <c r="AF467" s="27">
        <v>17.8</v>
      </c>
      <c r="AG467" s="27">
        <v>16.899999999999999</v>
      </c>
      <c r="AH467" s="27">
        <v>3.6</v>
      </c>
      <c r="AI467" s="27">
        <v>0.4</v>
      </c>
      <c r="AJ467" s="27">
        <v>0.1</v>
      </c>
      <c r="AK467" s="27">
        <v>0.1</v>
      </c>
      <c r="AL467" s="27">
        <v>1.8</v>
      </c>
      <c r="AM467" s="27">
        <v>0</v>
      </c>
    </row>
    <row r="468" spans="1:39" x14ac:dyDescent="0.25">
      <c r="A468" s="10">
        <v>467</v>
      </c>
      <c r="B468" s="9" t="s">
        <v>553</v>
      </c>
      <c r="C468" s="9" t="s">
        <v>576</v>
      </c>
      <c r="D468" s="10">
        <v>2</v>
      </c>
      <c r="E468" s="11">
        <v>149</v>
      </c>
      <c r="F468" s="17">
        <v>68.8</v>
      </c>
      <c r="G468" s="17">
        <v>1.1000000000000001</v>
      </c>
      <c r="H468" s="17">
        <v>6.2</v>
      </c>
      <c r="I468" s="17">
        <v>18.2</v>
      </c>
      <c r="J468" s="17">
        <v>18.2</v>
      </c>
      <c r="K468" s="17">
        <v>0</v>
      </c>
      <c r="L468" s="17">
        <v>5.7</v>
      </c>
      <c r="M468" s="28">
        <v>1.53</v>
      </c>
      <c r="N468" s="28">
        <v>3.45</v>
      </c>
      <c r="O468" s="28">
        <v>0.13</v>
      </c>
      <c r="P468" s="22" t="s">
        <v>100</v>
      </c>
      <c r="Q468" s="27">
        <v>1</v>
      </c>
      <c r="R468" s="27">
        <v>2.2000000000000002</v>
      </c>
      <c r="S468" s="27">
        <v>0.2</v>
      </c>
      <c r="T468" s="27">
        <v>0</v>
      </c>
      <c r="U468" s="27">
        <v>0.3</v>
      </c>
      <c r="V468" s="27">
        <v>0.7</v>
      </c>
      <c r="W468" s="17">
        <v>0</v>
      </c>
      <c r="X468" s="17">
        <v>0.2</v>
      </c>
      <c r="Y468" s="27">
        <v>0.1</v>
      </c>
      <c r="Z468" s="27">
        <v>0</v>
      </c>
      <c r="AA468" s="27">
        <v>0.2</v>
      </c>
      <c r="AB468" s="27">
        <v>0.2</v>
      </c>
      <c r="AC468" s="27">
        <v>2.2000000000000002</v>
      </c>
      <c r="AD468" s="27">
        <v>189.4</v>
      </c>
      <c r="AE468" s="27">
        <v>71.599999999999994</v>
      </c>
      <c r="AF468" s="17">
        <v>117</v>
      </c>
      <c r="AG468" s="17">
        <v>131</v>
      </c>
      <c r="AH468" s="27">
        <v>4.4000000000000004</v>
      </c>
      <c r="AI468" s="27">
        <v>0.1</v>
      </c>
      <c r="AJ468" s="27">
        <v>0.2</v>
      </c>
      <c r="AK468" s="27">
        <v>0</v>
      </c>
      <c r="AL468" s="27">
        <v>0</v>
      </c>
      <c r="AM468" s="27">
        <v>0</v>
      </c>
    </row>
    <row r="469" spans="1:39" x14ac:dyDescent="0.25">
      <c r="A469" s="10">
        <v>468</v>
      </c>
      <c r="B469" s="9" t="s">
        <v>553</v>
      </c>
      <c r="C469" s="9" t="s">
        <v>577</v>
      </c>
      <c r="D469" s="10">
        <v>1</v>
      </c>
      <c r="E469" s="11">
        <v>333</v>
      </c>
      <c r="F469" s="17">
        <v>26.4</v>
      </c>
      <c r="G469" s="17">
        <v>1.9</v>
      </c>
      <c r="H469" s="17">
        <v>4.9000000000000004</v>
      </c>
      <c r="I469" s="17">
        <v>54.8</v>
      </c>
      <c r="J469" s="17">
        <v>13</v>
      </c>
      <c r="K469" s="17">
        <v>1.9</v>
      </c>
      <c r="L469" s="17">
        <v>10.1</v>
      </c>
      <c r="M469" s="19">
        <v>1.55</v>
      </c>
      <c r="N469" s="19">
        <v>2.37</v>
      </c>
      <c r="O469" s="19">
        <v>5.48</v>
      </c>
      <c r="P469" s="28">
        <v>0.13</v>
      </c>
      <c r="Q469" s="17">
        <v>5</v>
      </c>
      <c r="R469" s="17">
        <v>101</v>
      </c>
      <c r="S469" s="17">
        <v>0</v>
      </c>
      <c r="T469" s="17">
        <v>0</v>
      </c>
      <c r="U469" s="17">
        <v>1</v>
      </c>
      <c r="V469" s="17">
        <v>20.8</v>
      </c>
      <c r="W469" s="17">
        <v>0.2</v>
      </c>
      <c r="X469" s="17">
        <v>0.3</v>
      </c>
      <c r="Y469" s="17">
        <v>1.9</v>
      </c>
      <c r="Z469" s="17">
        <v>0</v>
      </c>
      <c r="AA469" s="17">
        <v>0.2</v>
      </c>
      <c r="AB469" s="17">
        <v>0</v>
      </c>
      <c r="AC469" s="17">
        <v>59</v>
      </c>
      <c r="AD469" s="17">
        <v>444</v>
      </c>
      <c r="AE469" s="17">
        <v>88</v>
      </c>
      <c r="AF469" s="17">
        <v>14</v>
      </c>
      <c r="AG469" s="17">
        <v>192</v>
      </c>
      <c r="AH469" s="17">
        <v>15</v>
      </c>
      <c r="AI469" s="17">
        <v>0.5</v>
      </c>
      <c r="AJ469" s="17">
        <v>0.5</v>
      </c>
      <c r="AK469" s="17">
        <v>0.1</v>
      </c>
      <c r="AL469" s="17">
        <v>18.7</v>
      </c>
      <c r="AM469" s="27">
        <v>0</v>
      </c>
    </row>
    <row r="470" spans="1:39" x14ac:dyDescent="0.25">
      <c r="A470" s="10">
        <v>469</v>
      </c>
      <c r="B470" s="9" t="s">
        <v>553</v>
      </c>
      <c r="C470" s="9" t="s">
        <v>578</v>
      </c>
      <c r="D470" s="10">
        <v>4</v>
      </c>
      <c r="E470" s="11">
        <v>503</v>
      </c>
      <c r="F470" s="22" t="s">
        <v>100</v>
      </c>
      <c r="G470" s="27">
        <v>2</v>
      </c>
      <c r="H470" s="17">
        <v>4</v>
      </c>
      <c r="I470" s="17">
        <v>68</v>
      </c>
      <c r="J470" s="17">
        <v>60</v>
      </c>
      <c r="K470" s="27">
        <v>3.4</v>
      </c>
      <c r="L470" s="17">
        <v>23.9</v>
      </c>
      <c r="M470" s="19">
        <v>18</v>
      </c>
      <c r="N470" s="19">
        <v>4</v>
      </c>
      <c r="O470" s="19">
        <v>1.4</v>
      </c>
      <c r="P470" s="19">
        <v>0.3</v>
      </c>
      <c r="Q470" s="17">
        <v>4</v>
      </c>
      <c r="R470" s="27">
        <v>3</v>
      </c>
      <c r="S470" s="27">
        <v>0</v>
      </c>
      <c r="T470" s="27">
        <v>0</v>
      </c>
      <c r="U470" s="27">
        <v>0.7</v>
      </c>
      <c r="V470" s="27">
        <v>2.4</v>
      </c>
      <c r="W470" s="27">
        <v>0.2</v>
      </c>
      <c r="X470" s="27">
        <v>0.3</v>
      </c>
      <c r="Y470" s="27">
        <v>2.9</v>
      </c>
      <c r="Z470" s="27">
        <v>0.1</v>
      </c>
      <c r="AA470" s="27">
        <v>0.4</v>
      </c>
      <c r="AB470" s="27">
        <v>0.1</v>
      </c>
      <c r="AC470" s="27">
        <v>75</v>
      </c>
      <c r="AD470" s="17">
        <v>150</v>
      </c>
      <c r="AE470" s="27">
        <v>210</v>
      </c>
      <c r="AF470" s="27">
        <v>31</v>
      </c>
      <c r="AG470" s="27">
        <v>132</v>
      </c>
      <c r="AH470" s="27">
        <v>53</v>
      </c>
      <c r="AI470" s="27">
        <v>4</v>
      </c>
      <c r="AJ470" s="27">
        <v>1.1000000000000001</v>
      </c>
      <c r="AK470" s="27">
        <v>0.5</v>
      </c>
      <c r="AL470" s="27">
        <v>5.7</v>
      </c>
      <c r="AM470" s="27">
        <v>0</v>
      </c>
    </row>
    <row r="471" spans="1:39" x14ac:dyDescent="0.25">
      <c r="A471" s="10">
        <v>470</v>
      </c>
      <c r="B471" s="9" t="s">
        <v>553</v>
      </c>
      <c r="C471" s="9" t="s">
        <v>579</v>
      </c>
      <c r="D471" s="10">
        <v>1</v>
      </c>
      <c r="E471" s="11">
        <v>402</v>
      </c>
      <c r="F471" s="17">
        <v>3</v>
      </c>
      <c r="G471" s="17">
        <v>1.1000000000000001</v>
      </c>
      <c r="H471" s="17">
        <v>7.9</v>
      </c>
      <c r="I471" s="17">
        <v>82.5</v>
      </c>
      <c r="J471" s="17">
        <v>25.7</v>
      </c>
      <c r="K471" s="17">
        <v>1.7</v>
      </c>
      <c r="L471" s="17">
        <v>3.8</v>
      </c>
      <c r="M471" s="19">
        <v>0.56999999999999995</v>
      </c>
      <c r="N471" s="19">
        <v>1.47</v>
      </c>
      <c r="O471" s="19">
        <v>1.45</v>
      </c>
      <c r="P471" s="22" t="s">
        <v>100</v>
      </c>
      <c r="Q471" s="17">
        <v>0</v>
      </c>
      <c r="R471" s="17">
        <v>0</v>
      </c>
      <c r="S471" s="17">
        <v>0</v>
      </c>
      <c r="T471" s="17">
        <v>0</v>
      </c>
      <c r="U471" s="17">
        <v>0.1</v>
      </c>
      <c r="V471" s="17">
        <v>1.5</v>
      </c>
      <c r="W471" s="17">
        <v>0.5</v>
      </c>
      <c r="X471" s="17">
        <v>0.4</v>
      </c>
      <c r="Y471" s="17">
        <v>5.0999999999999996</v>
      </c>
      <c r="Z471" s="17">
        <v>0.1</v>
      </c>
      <c r="AA471" s="17">
        <v>0.4</v>
      </c>
      <c r="AB471" s="17">
        <v>0</v>
      </c>
      <c r="AC471" s="17">
        <v>140</v>
      </c>
      <c r="AD471" s="17">
        <v>298</v>
      </c>
      <c r="AE471" s="17">
        <v>145</v>
      </c>
      <c r="AF471" s="17">
        <v>44</v>
      </c>
      <c r="AG471" s="17">
        <v>103</v>
      </c>
      <c r="AH471" s="17">
        <v>31</v>
      </c>
      <c r="AI471" s="17">
        <v>4.4000000000000004</v>
      </c>
      <c r="AJ471" s="17">
        <v>0.8</v>
      </c>
      <c r="AK471" s="17">
        <v>0.3</v>
      </c>
      <c r="AL471" s="17">
        <v>4.8</v>
      </c>
      <c r="AM471" s="27">
        <v>0</v>
      </c>
    </row>
    <row r="472" spans="1:39" x14ac:dyDescent="0.25">
      <c r="A472" s="10">
        <v>471</v>
      </c>
      <c r="B472" s="9" t="s">
        <v>553</v>
      </c>
      <c r="C472" s="9" t="s">
        <v>580</v>
      </c>
      <c r="D472" s="10">
        <v>1</v>
      </c>
      <c r="E472" s="11">
        <v>268</v>
      </c>
      <c r="F472" s="17">
        <v>41.7</v>
      </c>
      <c r="G472" s="17">
        <v>0.9</v>
      </c>
      <c r="H472" s="17">
        <v>1.5</v>
      </c>
      <c r="I472" s="17">
        <v>46</v>
      </c>
      <c r="J472" s="17">
        <v>23.9</v>
      </c>
      <c r="K472" s="17">
        <v>1.2</v>
      </c>
      <c r="L472" s="17">
        <v>8.6999999999999993</v>
      </c>
      <c r="M472" s="19">
        <v>1.77</v>
      </c>
      <c r="N472" s="19">
        <v>2.69</v>
      </c>
      <c r="O472" s="19">
        <v>3.65</v>
      </c>
      <c r="P472" s="22" t="s">
        <v>100</v>
      </c>
      <c r="Q472" s="17">
        <v>45</v>
      </c>
      <c r="R472" s="17">
        <v>51</v>
      </c>
      <c r="S472" s="17">
        <v>3.2</v>
      </c>
      <c r="T472" s="17">
        <v>0.2</v>
      </c>
      <c r="U472" s="17">
        <v>1.1000000000000001</v>
      </c>
      <c r="V472" s="17">
        <v>2.1</v>
      </c>
      <c r="W472" s="17">
        <v>0.1</v>
      </c>
      <c r="X472" s="17">
        <v>0.2</v>
      </c>
      <c r="Y472" s="17">
        <v>0.6</v>
      </c>
      <c r="Z472" s="17">
        <v>0</v>
      </c>
      <c r="AA472" s="17">
        <v>0.8</v>
      </c>
      <c r="AB472" s="17">
        <v>0.2</v>
      </c>
      <c r="AC472" s="17">
        <v>24</v>
      </c>
      <c r="AD472" s="17">
        <v>172</v>
      </c>
      <c r="AE472" s="17">
        <v>89</v>
      </c>
      <c r="AF472" s="17">
        <v>56</v>
      </c>
      <c r="AG472" s="17">
        <v>105</v>
      </c>
      <c r="AH472" s="17">
        <v>15</v>
      </c>
      <c r="AI472" s="17">
        <v>0.6</v>
      </c>
      <c r="AJ472" s="17">
        <v>0.5</v>
      </c>
      <c r="AK472" s="17">
        <v>0</v>
      </c>
      <c r="AL472" s="17">
        <v>3</v>
      </c>
      <c r="AM472" s="27">
        <v>0</v>
      </c>
    </row>
    <row r="473" spans="1:39" x14ac:dyDescent="0.25">
      <c r="A473" s="10">
        <v>472</v>
      </c>
      <c r="B473" s="9" t="s">
        <v>553</v>
      </c>
      <c r="C473" s="9" t="s">
        <v>581</v>
      </c>
      <c r="D473" s="10">
        <v>1</v>
      </c>
      <c r="E473" s="11">
        <v>274</v>
      </c>
      <c r="F473" s="17">
        <v>43.5</v>
      </c>
      <c r="G473" s="17">
        <v>0.8</v>
      </c>
      <c r="H473" s="17">
        <v>3.3</v>
      </c>
      <c r="I473" s="17">
        <v>39</v>
      </c>
      <c r="J473" s="17">
        <v>25.8</v>
      </c>
      <c r="K473" s="17">
        <v>2.2000000000000002</v>
      </c>
      <c r="L473" s="17">
        <v>11.2</v>
      </c>
      <c r="M473" s="19">
        <v>2.04</v>
      </c>
      <c r="N473" s="19">
        <v>3.27</v>
      </c>
      <c r="O473" s="19">
        <v>5.32</v>
      </c>
      <c r="P473" s="22" t="s">
        <v>100</v>
      </c>
      <c r="Q473" s="17">
        <v>6</v>
      </c>
      <c r="R473" s="17">
        <v>6</v>
      </c>
      <c r="S473" s="17">
        <v>1.7</v>
      </c>
      <c r="T473" s="17">
        <v>0</v>
      </c>
      <c r="U473" s="17">
        <v>1.4</v>
      </c>
      <c r="V473" s="17">
        <v>2.9</v>
      </c>
      <c r="W473" s="17">
        <v>0</v>
      </c>
      <c r="X473" s="17">
        <v>0</v>
      </c>
      <c r="Y473" s="17">
        <v>0.3</v>
      </c>
      <c r="Z473" s="17">
        <v>0</v>
      </c>
      <c r="AA473" s="17">
        <v>0.3</v>
      </c>
      <c r="AB473" s="17">
        <v>0.2</v>
      </c>
      <c r="AC473" s="17">
        <v>28</v>
      </c>
      <c r="AD473" s="17">
        <v>135</v>
      </c>
      <c r="AE473" s="17">
        <v>149</v>
      </c>
      <c r="AF473" s="17">
        <v>15</v>
      </c>
      <c r="AG473" s="17">
        <v>33</v>
      </c>
      <c r="AH473" s="17">
        <v>9</v>
      </c>
      <c r="AI473" s="17">
        <v>0.4</v>
      </c>
      <c r="AJ473" s="17">
        <v>0.2</v>
      </c>
      <c r="AK473" s="17">
        <v>0</v>
      </c>
      <c r="AL473" s="17">
        <v>6.1</v>
      </c>
      <c r="AM473" s="27">
        <v>0</v>
      </c>
    </row>
    <row r="474" spans="1:39" x14ac:dyDescent="0.25">
      <c r="A474" s="10">
        <v>473</v>
      </c>
      <c r="B474" s="9" t="s">
        <v>553</v>
      </c>
      <c r="C474" s="9" t="s">
        <v>582</v>
      </c>
      <c r="D474" s="10">
        <v>3</v>
      </c>
      <c r="E474" s="11">
        <v>338</v>
      </c>
      <c r="F474" s="17">
        <v>15.4</v>
      </c>
      <c r="G474" s="17">
        <v>0.1</v>
      </c>
      <c r="H474" s="17">
        <v>4.3</v>
      </c>
      <c r="I474" s="17">
        <v>80.2</v>
      </c>
      <c r="J474" s="17">
        <v>80.2</v>
      </c>
      <c r="K474" s="27">
        <v>0.1</v>
      </c>
      <c r="L474" s="27">
        <v>0.2</v>
      </c>
      <c r="M474" s="28">
        <v>0.06</v>
      </c>
      <c r="N474" s="28">
        <v>0.08</v>
      </c>
      <c r="O474" s="28">
        <v>0.05</v>
      </c>
      <c r="P474" s="22" t="s">
        <v>100</v>
      </c>
      <c r="Q474" s="27">
        <v>0</v>
      </c>
      <c r="R474" s="27">
        <v>0</v>
      </c>
      <c r="S474" s="27">
        <v>0</v>
      </c>
      <c r="T474" s="27">
        <v>0</v>
      </c>
      <c r="U474" s="27">
        <v>0</v>
      </c>
      <c r="V474" s="27">
        <v>0</v>
      </c>
      <c r="W474" s="27">
        <v>0</v>
      </c>
      <c r="X474" s="27">
        <v>0</v>
      </c>
      <c r="Y474" s="27">
        <v>0.1</v>
      </c>
      <c r="Z474" s="27">
        <v>0</v>
      </c>
      <c r="AA474" s="27">
        <v>0</v>
      </c>
      <c r="AB474" s="27">
        <v>0</v>
      </c>
      <c r="AC474" s="27">
        <v>1</v>
      </c>
      <c r="AD474" s="17">
        <v>32</v>
      </c>
      <c r="AE474" s="27">
        <v>5.0999999999999996</v>
      </c>
      <c r="AF474" s="27">
        <v>3</v>
      </c>
      <c r="AG474" s="27">
        <v>8.1</v>
      </c>
      <c r="AH474" s="27">
        <v>2</v>
      </c>
      <c r="AI474" s="27">
        <v>0.2</v>
      </c>
      <c r="AJ474" s="27">
        <v>0</v>
      </c>
      <c r="AK474" s="27">
        <v>0.1</v>
      </c>
      <c r="AL474" s="27">
        <v>1.7</v>
      </c>
      <c r="AM474" s="27">
        <v>0</v>
      </c>
    </row>
    <row r="475" spans="1:39" x14ac:dyDescent="0.25">
      <c r="A475" s="10">
        <v>474</v>
      </c>
      <c r="B475" s="9" t="s">
        <v>553</v>
      </c>
      <c r="C475" s="9" t="s">
        <v>583</v>
      </c>
      <c r="D475" s="10">
        <v>2</v>
      </c>
      <c r="E475" s="11">
        <v>349</v>
      </c>
      <c r="F475" s="17">
        <v>13.1</v>
      </c>
      <c r="G475" s="17">
        <v>0.2</v>
      </c>
      <c r="H475" s="17">
        <v>2.1</v>
      </c>
      <c r="I475" s="17">
        <v>84.1</v>
      </c>
      <c r="J475" s="17">
        <v>84.1</v>
      </c>
      <c r="K475" s="17">
        <v>0</v>
      </c>
      <c r="L475" s="17">
        <v>0.5</v>
      </c>
      <c r="M475" s="19">
        <v>0</v>
      </c>
      <c r="N475" s="19">
        <v>0</v>
      </c>
      <c r="O475" s="19">
        <v>0</v>
      </c>
      <c r="P475" s="22" t="s">
        <v>100</v>
      </c>
      <c r="Q475" s="17">
        <v>0</v>
      </c>
      <c r="R475" s="17">
        <v>0</v>
      </c>
      <c r="S475" s="17">
        <v>0</v>
      </c>
      <c r="T475" s="27">
        <v>0</v>
      </c>
      <c r="U475" s="17">
        <v>0</v>
      </c>
      <c r="V475" s="2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40</v>
      </c>
      <c r="AE475" s="17">
        <v>9</v>
      </c>
      <c r="AF475" s="17">
        <v>24</v>
      </c>
      <c r="AG475" s="17">
        <v>11</v>
      </c>
      <c r="AH475" s="17">
        <v>0</v>
      </c>
      <c r="AI475" s="17">
        <v>0.9</v>
      </c>
      <c r="AJ475" s="27">
        <v>0</v>
      </c>
      <c r="AK475" s="17">
        <v>0</v>
      </c>
      <c r="AL475" s="27">
        <v>1.8</v>
      </c>
      <c r="AM475" s="27">
        <v>0</v>
      </c>
    </row>
    <row r="476" spans="1:39" x14ac:dyDescent="0.25">
      <c r="A476" s="10">
        <v>475</v>
      </c>
      <c r="B476" s="9" t="s">
        <v>553</v>
      </c>
      <c r="C476" s="9" t="s">
        <v>584</v>
      </c>
      <c r="D476" s="10">
        <v>2</v>
      </c>
      <c r="E476" s="11">
        <v>464</v>
      </c>
      <c r="F476" s="17">
        <v>6.1</v>
      </c>
      <c r="G476" s="17">
        <v>1.2</v>
      </c>
      <c r="H476" s="17">
        <v>4.4000000000000004</v>
      </c>
      <c r="I476" s="17">
        <v>69.900000000000006</v>
      </c>
      <c r="J476" s="17">
        <v>69.900000000000006</v>
      </c>
      <c r="K476" s="17">
        <v>0</v>
      </c>
      <c r="L476" s="17">
        <v>18.399999999999999</v>
      </c>
      <c r="M476" s="19">
        <v>0</v>
      </c>
      <c r="N476" s="19">
        <v>0</v>
      </c>
      <c r="O476" s="19">
        <v>0</v>
      </c>
      <c r="P476" s="22" t="s">
        <v>100</v>
      </c>
      <c r="Q476" s="17">
        <v>0</v>
      </c>
      <c r="R476" s="17">
        <v>0</v>
      </c>
      <c r="S476" s="17">
        <v>0</v>
      </c>
      <c r="T476" s="27">
        <v>0</v>
      </c>
      <c r="U476" s="17">
        <v>0</v>
      </c>
      <c r="V476" s="27">
        <v>7.3</v>
      </c>
      <c r="W476" s="17">
        <v>0</v>
      </c>
      <c r="X476" s="17">
        <v>0.1</v>
      </c>
      <c r="Y476" s="17">
        <v>0</v>
      </c>
      <c r="Z476" s="17">
        <v>0</v>
      </c>
      <c r="AA476" s="17">
        <v>0</v>
      </c>
      <c r="AB476" s="17">
        <v>0</v>
      </c>
      <c r="AC476" s="17">
        <v>0</v>
      </c>
      <c r="AD476" s="17">
        <v>162</v>
      </c>
      <c r="AE476" s="17">
        <v>186</v>
      </c>
      <c r="AF476" s="17">
        <v>90</v>
      </c>
      <c r="AG476" s="17">
        <v>139</v>
      </c>
      <c r="AH476" s="17">
        <v>0</v>
      </c>
      <c r="AI476" s="17">
        <v>1.8</v>
      </c>
      <c r="AJ476" s="27">
        <v>0.7</v>
      </c>
      <c r="AK476" s="17">
        <v>0</v>
      </c>
      <c r="AL476" s="27">
        <v>4.5999999999999996</v>
      </c>
      <c r="AM476" s="27">
        <v>0</v>
      </c>
    </row>
    <row r="477" spans="1:39" x14ac:dyDescent="0.25">
      <c r="A477" s="10">
        <v>476</v>
      </c>
      <c r="B477" s="9" t="s">
        <v>585</v>
      </c>
      <c r="C477" s="9" t="s">
        <v>586</v>
      </c>
      <c r="D477" s="10">
        <v>4</v>
      </c>
      <c r="E477" s="11">
        <v>85</v>
      </c>
      <c r="F477" s="27">
        <v>79.5</v>
      </c>
      <c r="G477" s="27">
        <v>0.8</v>
      </c>
      <c r="H477" s="17">
        <v>3.5</v>
      </c>
      <c r="I477" s="17">
        <v>14.5</v>
      </c>
      <c r="J477" s="17">
        <v>4.3</v>
      </c>
      <c r="K477" s="27">
        <v>0.3</v>
      </c>
      <c r="L477" s="17">
        <v>1.4</v>
      </c>
      <c r="M477" s="28">
        <v>0.79</v>
      </c>
      <c r="N477" s="28">
        <v>0.36</v>
      </c>
      <c r="O477" s="28">
        <v>0.08</v>
      </c>
      <c r="P477" s="28">
        <v>0.04</v>
      </c>
      <c r="Q477" s="27">
        <v>12</v>
      </c>
      <c r="R477" s="27">
        <v>19</v>
      </c>
      <c r="S477" s="27">
        <v>1.3</v>
      </c>
      <c r="T477" s="27">
        <v>0</v>
      </c>
      <c r="U477" s="27">
        <v>0.1</v>
      </c>
      <c r="V477" s="27">
        <v>0.2</v>
      </c>
      <c r="W477" s="27">
        <v>0</v>
      </c>
      <c r="X477" s="27">
        <v>0.2</v>
      </c>
      <c r="Y477" s="27">
        <v>0.2</v>
      </c>
      <c r="Z477" s="27">
        <v>0.1</v>
      </c>
      <c r="AA477" s="27">
        <v>0.5</v>
      </c>
      <c r="AB477" s="27">
        <v>0.1</v>
      </c>
      <c r="AC477" s="27">
        <v>4</v>
      </c>
      <c r="AD477" s="17">
        <v>44</v>
      </c>
      <c r="AE477" s="27">
        <v>125</v>
      </c>
      <c r="AF477" s="27">
        <v>95</v>
      </c>
      <c r="AG477" s="27">
        <v>82</v>
      </c>
      <c r="AH477" s="27">
        <v>8</v>
      </c>
      <c r="AI477" s="27">
        <v>0.1</v>
      </c>
      <c r="AJ477" s="27">
        <v>0.4</v>
      </c>
      <c r="AK477" s="27">
        <v>0</v>
      </c>
      <c r="AL477" s="27">
        <v>3.2</v>
      </c>
      <c r="AM477" s="27">
        <v>0</v>
      </c>
    </row>
    <row r="478" spans="1:39" x14ac:dyDescent="0.25">
      <c r="A478" s="10">
        <v>477</v>
      </c>
      <c r="B478" s="9" t="s">
        <v>585</v>
      </c>
      <c r="C478" s="9" t="s">
        <v>587</v>
      </c>
      <c r="D478" s="10">
        <v>4</v>
      </c>
      <c r="E478" s="11">
        <v>115</v>
      </c>
      <c r="F478" s="27">
        <v>72</v>
      </c>
      <c r="G478" s="27">
        <v>0.5</v>
      </c>
      <c r="H478" s="17">
        <v>2.6</v>
      </c>
      <c r="I478" s="17">
        <v>24</v>
      </c>
      <c r="J478" s="17">
        <v>13.3</v>
      </c>
      <c r="K478" s="27">
        <v>0</v>
      </c>
      <c r="L478" s="17">
        <v>0.9</v>
      </c>
      <c r="M478" s="19">
        <v>0.6</v>
      </c>
      <c r="N478" s="19">
        <v>0.12</v>
      </c>
      <c r="O478" s="19">
        <v>0.01</v>
      </c>
      <c r="P478" s="19">
        <v>0.1</v>
      </c>
      <c r="Q478" s="17">
        <v>6</v>
      </c>
      <c r="R478" s="27">
        <v>2</v>
      </c>
      <c r="S478" s="27">
        <v>0.2</v>
      </c>
      <c r="T478" s="27">
        <v>0</v>
      </c>
      <c r="U478" s="27">
        <v>0.3</v>
      </c>
      <c r="V478" s="27">
        <v>0.6</v>
      </c>
      <c r="W478" s="27">
        <v>0</v>
      </c>
      <c r="X478" s="27">
        <v>0.1</v>
      </c>
      <c r="Y478" s="27">
        <v>0.1</v>
      </c>
      <c r="Z478" s="27">
        <v>0</v>
      </c>
      <c r="AA478" s="27">
        <v>0.2</v>
      </c>
      <c r="AB478" s="27">
        <v>0.1</v>
      </c>
      <c r="AC478" s="27">
        <v>2</v>
      </c>
      <c r="AD478" s="17">
        <v>130</v>
      </c>
      <c r="AE478" s="27">
        <v>65</v>
      </c>
      <c r="AF478" s="27">
        <v>49</v>
      </c>
      <c r="AG478" s="27">
        <v>41</v>
      </c>
      <c r="AH478" s="27">
        <v>4</v>
      </c>
      <c r="AI478" s="27">
        <v>0.1</v>
      </c>
      <c r="AJ478" s="27">
        <v>0.2</v>
      </c>
      <c r="AK478" s="27">
        <v>0</v>
      </c>
      <c r="AL478" s="27">
        <v>0</v>
      </c>
      <c r="AM478" s="27">
        <v>0</v>
      </c>
    </row>
    <row r="479" spans="1:39" x14ac:dyDescent="0.25">
      <c r="A479" s="10">
        <v>478</v>
      </c>
      <c r="B479" s="9" t="s">
        <v>585</v>
      </c>
      <c r="C479" s="9" t="s">
        <v>588</v>
      </c>
      <c r="D479" s="10">
        <v>3</v>
      </c>
      <c r="E479" s="11">
        <v>81</v>
      </c>
      <c r="F479" s="17">
        <v>83.8</v>
      </c>
      <c r="G479" s="17">
        <v>0.6</v>
      </c>
      <c r="H479" s="17">
        <v>3.4</v>
      </c>
      <c r="I479" s="17">
        <v>8.4</v>
      </c>
      <c r="J479" s="27">
        <v>8.4</v>
      </c>
      <c r="K479" s="22" t="s">
        <v>100</v>
      </c>
      <c r="L479" s="17">
        <v>3.8</v>
      </c>
      <c r="M479" s="28">
        <v>1.02</v>
      </c>
      <c r="N479" s="28">
        <v>2.2999999999999998</v>
      </c>
      <c r="O479" s="28">
        <v>0.09</v>
      </c>
      <c r="P479" s="22" t="s">
        <v>100</v>
      </c>
      <c r="Q479" s="27">
        <v>1</v>
      </c>
      <c r="R479" s="27">
        <v>1.1000000000000001</v>
      </c>
      <c r="S479" s="27">
        <v>0.1</v>
      </c>
      <c r="T479" s="27">
        <v>0</v>
      </c>
      <c r="U479" s="27">
        <v>0.2</v>
      </c>
      <c r="V479" s="27">
        <v>0.3</v>
      </c>
      <c r="W479" s="27">
        <v>0</v>
      </c>
      <c r="X479" s="27">
        <v>0</v>
      </c>
      <c r="Y479" s="27">
        <v>0</v>
      </c>
      <c r="Z479" s="27">
        <v>0</v>
      </c>
      <c r="AA479" s="27">
        <v>0.1</v>
      </c>
      <c r="AB479" s="27">
        <v>0.1</v>
      </c>
      <c r="AC479" s="27">
        <v>1.1000000000000001</v>
      </c>
      <c r="AD479" s="17">
        <v>71</v>
      </c>
      <c r="AE479" s="27">
        <v>37.200000000000003</v>
      </c>
      <c r="AF479" s="27">
        <v>28</v>
      </c>
      <c r="AG479" s="27">
        <v>23.4</v>
      </c>
      <c r="AH479" s="27">
        <v>2.2999999999999998</v>
      </c>
      <c r="AI479" s="27">
        <v>0.1</v>
      </c>
      <c r="AJ479" s="27">
        <v>0.1</v>
      </c>
      <c r="AK479" s="27">
        <v>0</v>
      </c>
      <c r="AL479" s="27">
        <v>0</v>
      </c>
      <c r="AM479" s="27">
        <v>0</v>
      </c>
    </row>
    <row r="480" spans="1:39" x14ac:dyDescent="0.25">
      <c r="A480" s="10">
        <v>479</v>
      </c>
      <c r="B480" s="9" t="s">
        <v>585</v>
      </c>
      <c r="C480" s="9" t="s">
        <v>589</v>
      </c>
      <c r="D480" s="10">
        <v>2</v>
      </c>
      <c r="E480" s="11">
        <v>390</v>
      </c>
      <c r="F480" s="17">
        <v>0.6</v>
      </c>
      <c r="G480" s="17">
        <v>2</v>
      </c>
      <c r="H480" s="17">
        <v>0</v>
      </c>
      <c r="I480" s="17">
        <v>97.4</v>
      </c>
      <c r="J480" s="17">
        <v>97.4</v>
      </c>
      <c r="K480" s="17">
        <v>0</v>
      </c>
      <c r="L480" s="17">
        <v>0</v>
      </c>
      <c r="M480" s="28">
        <v>0</v>
      </c>
      <c r="N480" s="28">
        <v>0</v>
      </c>
      <c r="O480" s="28">
        <v>0</v>
      </c>
      <c r="P480" s="28">
        <v>0</v>
      </c>
      <c r="Q480" s="27">
        <v>0</v>
      </c>
      <c r="R480" s="27">
        <v>0</v>
      </c>
      <c r="S480" s="27">
        <v>0</v>
      </c>
      <c r="T480" s="27">
        <v>0</v>
      </c>
      <c r="U480" s="27">
        <v>0</v>
      </c>
      <c r="V480" s="27">
        <v>0</v>
      </c>
      <c r="W480" s="27">
        <v>0</v>
      </c>
      <c r="X480" s="27">
        <v>0</v>
      </c>
      <c r="Y480" s="27">
        <v>0</v>
      </c>
      <c r="Z480" s="27">
        <v>0</v>
      </c>
      <c r="AA480" s="27">
        <v>0</v>
      </c>
      <c r="AB480" s="27">
        <v>0</v>
      </c>
      <c r="AC480" s="27">
        <v>0</v>
      </c>
      <c r="AD480" s="17">
        <v>958</v>
      </c>
      <c r="AE480" s="17">
        <v>34</v>
      </c>
      <c r="AF480" s="17">
        <v>11</v>
      </c>
      <c r="AG480" s="17">
        <v>1</v>
      </c>
      <c r="AH480" s="27">
        <v>0</v>
      </c>
      <c r="AI480" s="17">
        <v>2</v>
      </c>
      <c r="AJ480" s="27">
        <v>0</v>
      </c>
      <c r="AK480" s="27">
        <v>0</v>
      </c>
      <c r="AL480" s="27">
        <v>0.9</v>
      </c>
      <c r="AM480" s="27">
        <v>0</v>
      </c>
    </row>
    <row r="481" spans="1:39" x14ac:dyDescent="0.25">
      <c r="A481" s="10">
        <v>480</v>
      </c>
      <c r="B481" s="9" t="s">
        <v>585</v>
      </c>
      <c r="C481" s="9" t="s">
        <v>590</v>
      </c>
      <c r="D481" s="10">
        <v>4</v>
      </c>
      <c r="E481" s="11">
        <v>144</v>
      </c>
      <c r="F481" s="27">
        <v>67.8</v>
      </c>
      <c r="G481" s="27">
        <v>0.6</v>
      </c>
      <c r="H481" s="17">
        <v>3.6</v>
      </c>
      <c r="I481" s="17">
        <v>24.4</v>
      </c>
      <c r="J481" s="17">
        <v>22.2</v>
      </c>
      <c r="K481" s="27">
        <v>0</v>
      </c>
      <c r="L481" s="17">
        <v>3.6</v>
      </c>
      <c r="M481" s="19">
        <v>2.5</v>
      </c>
      <c r="N481" s="19">
        <v>0.97</v>
      </c>
      <c r="O481" s="19">
        <v>0.17</v>
      </c>
      <c r="P481" s="19">
        <v>0.1</v>
      </c>
      <c r="Q481" s="17">
        <v>10.5</v>
      </c>
      <c r="R481" s="27">
        <v>46</v>
      </c>
      <c r="S481" s="27">
        <v>0</v>
      </c>
      <c r="T481" s="22" t="s">
        <v>100</v>
      </c>
      <c r="U481" s="27">
        <v>0.2</v>
      </c>
      <c r="V481" s="27">
        <v>0.2</v>
      </c>
      <c r="W481" s="27">
        <v>0</v>
      </c>
      <c r="X481" s="27">
        <v>0.2</v>
      </c>
      <c r="Y481" s="27">
        <v>0.1</v>
      </c>
      <c r="Z481" s="27">
        <v>0</v>
      </c>
      <c r="AA481" s="27">
        <v>0.5</v>
      </c>
      <c r="AB481" s="27">
        <v>0.4</v>
      </c>
      <c r="AC481" s="27">
        <v>9</v>
      </c>
      <c r="AD481" s="17">
        <v>95</v>
      </c>
      <c r="AE481" s="27">
        <v>118</v>
      </c>
      <c r="AF481" s="27">
        <v>83</v>
      </c>
      <c r="AG481" s="27">
        <v>96</v>
      </c>
      <c r="AH481" s="27">
        <v>9</v>
      </c>
      <c r="AI481" s="27">
        <v>0.4</v>
      </c>
      <c r="AJ481" s="27">
        <v>0.5</v>
      </c>
      <c r="AK481" s="27">
        <v>0</v>
      </c>
      <c r="AL481" s="27">
        <v>8.6999999999999993</v>
      </c>
      <c r="AM481" s="27">
        <v>0</v>
      </c>
    </row>
    <row r="482" spans="1:39" x14ac:dyDescent="0.25">
      <c r="A482" s="10">
        <v>481</v>
      </c>
      <c r="B482" s="9" t="s">
        <v>585</v>
      </c>
      <c r="C482" s="9" t="s">
        <v>591</v>
      </c>
      <c r="D482" s="10">
        <v>4</v>
      </c>
      <c r="E482" s="11">
        <v>142</v>
      </c>
      <c r="F482" s="27">
        <v>66.599999999999994</v>
      </c>
      <c r="G482" s="27">
        <v>0.5</v>
      </c>
      <c r="H482" s="17">
        <v>2.7</v>
      </c>
      <c r="I482" s="17">
        <v>28</v>
      </c>
      <c r="J482" s="17">
        <v>22.2</v>
      </c>
      <c r="K482" s="27">
        <v>0</v>
      </c>
      <c r="L482" s="17">
        <v>2.2000000000000002</v>
      </c>
      <c r="M482" s="28">
        <v>0.59</v>
      </c>
      <c r="N482" s="28">
        <v>1.33</v>
      </c>
      <c r="O482" s="28">
        <v>0.05</v>
      </c>
      <c r="P482" s="22" t="s">
        <v>100</v>
      </c>
      <c r="Q482" s="27">
        <v>1</v>
      </c>
      <c r="R482" s="27">
        <v>2</v>
      </c>
      <c r="S482" s="27">
        <v>0.2</v>
      </c>
      <c r="T482" s="27">
        <v>0</v>
      </c>
      <c r="U482" s="27">
        <v>0.3</v>
      </c>
      <c r="V482" s="27">
        <v>0.6</v>
      </c>
      <c r="W482" s="27">
        <v>0</v>
      </c>
      <c r="X482" s="27">
        <v>0.1</v>
      </c>
      <c r="Y482" s="27">
        <v>0.1</v>
      </c>
      <c r="Z482" s="27">
        <v>0</v>
      </c>
      <c r="AA482" s="27">
        <v>0.2</v>
      </c>
      <c r="AB482" s="27">
        <v>0.1</v>
      </c>
      <c r="AC482" s="27">
        <v>2</v>
      </c>
      <c r="AD482" s="17">
        <v>77</v>
      </c>
      <c r="AE482" s="27">
        <v>65</v>
      </c>
      <c r="AF482" s="27">
        <v>49</v>
      </c>
      <c r="AG482" s="27">
        <v>41</v>
      </c>
      <c r="AH482" s="27">
        <v>4</v>
      </c>
      <c r="AI482" s="27">
        <v>0.1</v>
      </c>
      <c r="AJ482" s="27">
        <v>0.2</v>
      </c>
      <c r="AK482" s="27">
        <v>0</v>
      </c>
      <c r="AL482" s="27">
        <v>0</v>
      </c>
      <c r="AM482" s="27">
        <v>0</v>
      </c>
    </row>
    <row r="483" spans="1:39" x14ac:dyDescent="0.25">
      <c r="A483" s="10">
        <v>482</v>
      </c>
      <c r="B483" s="9" t="s">
        <v>592</v>
      </c>
      <c r="C483" s="9" t="s">
        <v>593</v>
      </c>
      <c r="D483" s="10">
        <v>4</v>
      </c>
      <c r="E483" s="11">
        <v>66</v>
      </c>
      <c r="F483" s="27">
        <v>82.7</v>
      </c>
      <c r="G483" s="27">
        <v>0.7</v>
      </c>
      <c r="H483" s="17">
        <v>1.2</v>
      </c>
      <c r="I483" s="17">
        <v>14</v>
      </c>
      <c r="J483" s="17">
        <v>12</v>
      </c>
      <c r="K483" s="17">
        <v>0.8</v>
      </c>
      <c r="L483" s="17">
        <v>0.6</v>
      </c>
      <c r="M483" s="19">
        <v>0</v>
      </c>
      <c r="N483" s="19">
        <v>0.2</v>
      </c>
      <c r="O483" s="19">
        <v>0.4</v>
      </c>
      <c r="P483" s="19">
        <v>0</v>
      </c>
      <c r="Q483" s="17">
        <v>0</v>
      </c>
      <c r="R483" s="17">
        <v>90</v>
      </c>
      <c r="S483" s="17">
        <v>9</v>
      </c>
      <c r="T483" s="17">
        <v>0.8</v>
      </c>
      <c r="U483" s="17">
        <v>2</v>
      </c>
      <c r="V483" s="27">
        <v>3</v>
      </c>
      <c r="W483" s="17">
        <v>0.2</v>
      </c>
      <c r="X483" s="17">
        <v>0.3</v>
      </c>
      <c r="Y483" s="17">
        <v>3.2</v>
      </c>
      <c r="Z483" s="17">
        <v>0.3</v>
      </c>
      <c r="AA483" s="27">
        <v>0.4</v>
      </c>
      <c r="AB483" s="17">
        <v>0.5</v>
      </c>
      <c r="AC483" s="17">
        <v>48</v>
      </c>
      <c r="AD483" s="17">
        <v>34</v>
      </c>
      <c r="AE483" s="27">
        <v>118</v>
      </c>
      <c r="AF483" s="27">
        <v>25</v>
      </c>
      <c r="AG483" s="27">
        <v>52</v>
      </c>
      <c r="AH483" s="27">
        <v>25</v>
      </c>
      <c r="AI483" s="27">
        <v>0.6</v>
      </c>
      <c r="AJ483" s="17">
        <v>1.5</v>
      </c>
      <c r="AK483" s="27">
        <v>0.1</v>
      </c>
      <c r="AL483" s="27">
        <v>4.8</v>
      </c>
      <c r="AM483" s="27">
        <v>0</v>
      </c>
    </row>
    <row r="484" spans="1:39" x14ac:dyDescent="0.25">
      <c r="A484" s="10">
        <v>483</v>
      </c>
      <c r="B484" s="9" t="s">
        <v>592</v>
      </c>
      <c r="C484" s="9" t="s">
        <v>594</v>
      </c>
      <c r="D484" s="10">
        <v>1</v>
      </c>
      <c r="E484" s="11">
        <v>22</v>
      </c>
      <c r="F484" s="17">
        <v>92.3</v>
      </c>
      <c r="G484" s="17">
        <v>0.2</v>
      </c>
      <c r="H484" s="17">
        <v>0.4</v>
      </c>
      <c r="I484" s="17">
        <v>6.6</v>
      </c>
      <c r="J484" s="17">
        <v>2.5</v>
      </c>
      <c r="K484" s="17">
        <v>0.3</v>
      </c>
      <c r="L484" s="17">
        <v>0.2</v>
      </c>
      <c r="M484" s="19">
        <v>0.04</v>
      </c>
      <c r="N484" s="19">
        <v>0.01</v>
      </c>
      <c r="O484" s="19">
        <v>0.02</v>
      </c>
      <c r="P484" s="28">
        <v>0</v>
      </c>
      <c r="Q484" s="17">
        <v>0</v>
      </c>
      <c r="R484" s="17">
        <v>0</v>
      </c>
      <c r="S484" s="17">
        <v>38.700000000000003</v>
      </c>
      <c r="T484" s="17">
        <v>0</v>
      </c>
      <c r="U484" s="17">
        <v>0.2</v>
      </c>
      <c r="V484" s="17">
        <v>0</v>
      </c>
      <c r="W484" s="17">
        <v>0</v>
      </c>
      <c r="X484" s="17">
        <v>0</v>
      </c>
      <c r="Y484" s="17">
        <v>0.1</v>
      </c>
      <c r="Z484" s="17">
        <v>0</v>
      </c>
      <c r="AA484" s="17">
        <v>0.1</v>
      </c>
      <c r="AB484" s="17">
        <v>0</v>
      </c>
      <c r="AC484" s="17">
        <v>20</v>
      </c>
      <c r="AD484" s="17">
        <v>1</v>
      </c>
      <c r="AE484" s="17">
        <v>103</v>
      </c>
      <c r="AF484" s="17">
        <v>6</v>
      </c>
      <c r="AG484" s="17">
        <v>8</v>
      </c>
      <c r="AH484" s="17">
        <v>6</v>
      </c>
      <c r="AI484" s="17">
        <v>0.1</v>
      </c>
      <c r="AJ484" s="17">
        <v>0.1</v>
      </c>
      <c r="AK484" s="17">
        <v>0</v>
      </c>
      <c r="AL484" s="17">
        <v>0.1</v>
      </c>
      <c r="AM484" s="27">
        <v>0</v>
      </c>
    </row>
    <row r="485" spans="1:39" x14ac:dyDescent="0.25">
      <c r="A485" s="10">
        <v>484</v>
      </c>
      <c r="B485" s="9" t="s">
        <v>592</v>
      </c>
      <c r="C485" s="9" t="s">
        <v>595</v>
      </c>
      <c r="D485" s="10">
        <v>1</v>
      </c>
      <c r="E485" s="11">
        <v>43</v>
      </c>
      <c r="F485" s="17">
        <v>88.9</v>
      </c>
      <c r="G485" s="17">
        <v>0.3</v>
      </c>
      <c r="H485" s="17">
        <v>0.5</v>
      </c>
      <c r="I485" s="17">
        <v>9.9</v>
      </c>
      <c r="J485" s="17">
        <v>9.9</v>
      </c>
      <c r="K485" s="17">
        <v>0.2</v>
      </c>
      <c r="L485" s="17">
        <v>0.2</v>
      </c>
      <c r="M485" s="19">
        <v>0.02</v>
      </c>
      <c r="N485" s="19">
        <v>0.04</v>
      </c>
      <c r="O485" s="19">
        <v>0.04</v>
      </c>
      <c r="P485" s="28">
        <v>0</v>
      </c>
      <c r="Q485" s="17">
        <v>0</v>
      </c>
      <c r="R485" s="17">
        <v>13</v>
      </c>
      <c r="S485" s="17">
        <v>31</v>
      </c>
      <c r="T485" s="17">
        <v>0</v>
      </c>
      <c r="U485" s="17">
        <v>0.1</v>
      </c>
      <c r="V485" s="17">
        <v>0</v>
      </c>
      <c r="W485" s="17">
        <v>0.1</v>
      </c>
      <c r="X485" s="17">
        <v>0</v>
      </c>
      <c r="Y485" s="17">
        <v>0.1</v>
      </c>
      <c r="Z485" s="17">
        <v>0</v>
      </c>
      <c r="AA485" s="17">
        <v>0.1</v>
      </c>
      <c r="AB485" s="17">
        <v>0</v>
      </c>
      <c r="AC485" s="17">
        <v>5</v>
      </c>
      <c r="AD485" s="17">
        <v>1</v>
      </c>
      <c r="AE485" s="17">
        <v>178</v>
      </c>
      <c r="AF485" s="17">
        <v>18</v>
      </c>
      <c r="AG485" s="17">
        <v>14</v>
      </c>
      <c r="AH485" s="17">
        <v>8</v>
      </c>
      <c r="AI485" s="17">
        <v>0.2</v>
      </c>
      <c r="AJ485" s="17">
        <v>0</v>
      </c>
      <c r="AK485" s="17">
        <v>0</v>
      </c>
      <c r="AL485" s="17">
        <v>0.1</v>
      </c>
      <c r="AM485" s="27">
        <v>0</v>
      </c>
    </row>
    <row r="486" spans="1:39" x14ac:dyDescent="0.25">
      <c r="A486" s="10">
        <v>485</v>
      </c>
      <c r="B486" s="9" t="s">
        <v>592</v>
      </c>
      <c r="C486" s="9" t="s">
        <v>596</v>
      </c>
      <c r="D486" s="10">
        <v>3</v>
      </c>
      <c r="E486" s="11">
        <v>45</v>
      </c>
      <c r="F486" s="17">
        <v>92.7</v>
      </c>
      <c r="G486" s="17">
        <v>0</v>
      </c>
      <c r="H486" s="17">
        <v>0</v>
      </c>
      <c r="I486" s="17">
        <v>11.2</v>
      </c>
      <c r="J486" s="17">
        <v>4.8</v>
      </c>
      <c r="K486" s="22" t="s">
        <v>100</v>
      </c>
      <c r="L486" s="17">
        <v>0</v>
      </c>
      <c r="M486" s="22" t="s">
        <v>100</v>
      </c>
      <c r="N486" s="22" t="s">
        <v>100</v>
      </c>
      <c r="O486" s="22" t="s">
        <v>100</v>
      </c>
      <c r="P486" s="28">
        <v>0</v>
      </c>
      <c r="Q486" s="22" t="s">
        <v>100</v>
      </c>
      <c r="R486" s="22" t="s">
        <v>100</v>
      </c>
      <c r="S486" s="22" t="s">
        <v>100</v>
      </c>
      <c r="T486" s="22" t="s">
        <v>100</v>
      </c>
      <c r="U486" s="22" t="s">
        <v>100</v>
      </c>
      <c r="V486" s="22" t="s">
        <v>100</v>
      </c>
      <c r="W486" s="22" t="s">
        <v>100</v>
      </c>
      <c r="X486" s="22" t="s">
        <v>100</v>
      </c>
      <c r="Y486" s="22" t="s">
        <v>100</v>
      </c>
      <c r="Z486" s="22" t="s">
        <v>100</v>
      </c>
      <c r="AA486" s="22" t="s">
        <v>100</v>
      </c>
      <c r="AB486" s="22" t="s">
        <v>100</v>
      </c>
      <c r="AC486" s="22" t="s">
        <v>100</v>
      </c>
      <c r="AD486" s="17">
        <v>14</v>
      </c>
      <c r="AE486" s="22" t="s">
        <v>100</v>
      </c>
      <c r="AF486" s="22" t="s">
        <v>100</v>
      </c>
      <c r="AG486" s="22" t="s">
        <v>100</v>
      </c>
      <c r="AH486" s="22" t="s">
        <v>100</v>
      </c>
      <c r="AI486" s="22" t="s">
        <v>100</v>
      </c>
      <c r="AJ486" s="22" t="s">
        <v>100</v>
      </c>
      <c r="AK486" s="22" t="s">
        <v>100</v>
      </c>
      <c r="AL486" s="22" t="s">
        <v>100</v>
      </c>
      <c r="AM486" s="27">
        <v>0</v>
      </c>
    </row>
    <row r="487" spans="1:39" x14ac:dyDescent="0.25">
      <c r="A487" s="10">
        <v>486</v>
      </c>
      <c r="B487" s="9" t="s">
        <v>592</v>
      </c>
      <c r="C487" s="9" t="s">
        <v>597</v>
      </c>
      <c r="D487" s="10">
        <v>1</v>
      </c>
      <c r="E487" s="11">
        <v>45</v>
      </c>
      <c r="F487" s="17">
        <v>88.3</v>
      </c>
      <c r="G487" s="17">
        <v>0.4</v>
      </c>
      <c r="H487" s="17">
        <v>0.7</v>
      </c>
      <c r="I487" s="17">
        <v>10.199999999999999</v>
      </c>
      <c r="J487" s="17">
        <v>8.4</v>
      </c>
      <c r="K487" s="17">
        <v>0.2</v>
      </c>
      <c r="L487" s="17">
        <v>0.2</v>
      </c>
      <c r="M487" s="19">
        <v>0.02</v>
      </c>
      <c r="N487" s="19">
        <v>0.04</v>
      </c>
      <c r="O487" s="19">
        <v>0.04</v>
      </c>
      <c r="P487" s="28">
        <v>0</v>
      </c>
      <c r="Q487" s="17">
        <v>0</v>
      </c>
      <c r="R487" s="17">
        <v>10</v>
      </c>
      <c r="S487" s="17">
        <v>50</v>
      </c>
      <c r="T487" s="17">
        <v>0</v>
      </c>
      <c r="U487" s="17">
        <v>0</v>
      </c>
      <c r="V487" s="17">
        <v>0.1</v>
      </c>
      <c r="W487" s="17">
        <v>0.1</v>
      </c>
      <c r="X487" s="17">
        <v>0</v>
      </c>
      <c r="Y487" s="17">
        <v>0.4</v>
      </c>
      <c r="Z487" s="17">
        <v>0</v>
      </c>
      <c r="AA487" s="17">
        <v>0.2</v>
      </c>
      <c r="AB487" s="17">
        <v>0</v>
      </c>
      <c r="AC487" s="17">
        <v>30</v>
      </c>
      <c r="AD487" s="17">
        <v>1</v>
      </c>
      <c r="AE487" s="17">
        <v>200</v>
      </c>
      <c r="AF487" s="17">
        <v>11</v>
      </c>
      <c r="AG487" s="17">
        <v>17</v>
      </c>
      <c r="AH487" s="17">
        <v>11</v>
      </c>
      <c r="AI487" s="17">
        <v>0.2</v>
      </c>
      <c r="AJ487" s="17">
        <v>0.1</v>
      </c>
      <c r="AK487" s="17">
        <v>0</v>
      </c>
      <c r="AL487" s="17">
        <v>0.1</v>
      </c>
      <c r="AM487" s="27">
        <v>0</v>
      </c>
    </row>
    <row r="488" spans="1:39" x14ac:dyDescent="0.25">
      <c r="A488" s="10">
        <v>487</v>
      </c>
      <c r="B488" s="9" t="s">
        <v>592</v>
      </c>
      <c r="C488" s="9" t="s">
        <v>598</v>
      </c>
      <c r="D488" s="10">
        <v>1</v>
      </c>
      <c r="E488" s="11">
        <v>39</v>
      </c>
      <c r="F488" s="17">
        <v>90</v>
      </c>
      <c r="G488" s="17">
        <v>0.2</v>
      </c>
      <c r="H488" s="17">
        <v>0.5</v>
      </c>
      <c r="I488" s="17">
        <v>9.1</v>
      </c>
      <c r="J488" s="17">
        <v>9.1</v>
      </c>
      <c r="K488" s="17">
        <v>0.1</v>
      </c>
      <c r="L488" s="17">
        <v>0.1</v>
      </c>
      <c r="M488" s="19">
        <v>0.01</v>
      </c>
      <c r="N488" s="19">
        <v>0.01</v>
      </c>
      <c r="O488" s="19">
        <v>0.02</v>
      </c>
      <c r="P488" s="28">
        <v>0</v>
      </c>
      <c r="Q488" s="17">
        <v>0</v>
      </c>
      <c r="R488" s="17">
        <v>1</v>
      </c>
      <c r="S488" s="17">
        <v>38</v>
      </c>
      <c r="T488" s="17">
        <v>0</v>
      </c>
      <c r="U488" s="17">
        <v>0.2</v>
      </c>
      <c r="V488" s="17">
        <v>0</v>
      </c>
      <c r="W488" s="17">
        <v>0</v>
      </c>
      <c r="X488" s="17">
        <v>0</v>
      </c>
      <c r="Y488" s="17">
        <v>0.2</v>
      </c>
      <c r="Z488" s="17">
        <v>0</v>
      </c>
      <c r="AA488" s="17">
        <v>0.2</v>
      </c>
      <c r="AB488" s="17">
        <v>0</v>
      </c>
      <c r="AC488" s="17">
        <v>10</v>
      </c>
      <c r="AD488" s="17">
        <v>1</v>
      </c>
      <c r="AE488" s="17">
        <v>162</v>
      </c>
      <c r="AF488" s="17">
        <v>9</v>
      </c>
      <c r="AG488" s="17">
        <v>15</v>
      </c>
      <c r="AH488" s="17">
        <v>12</v>
      </c>
      <c r="AI488" s="17">
        <v>0.2</v>
      </c>
      <c r="AJ488" s="17">
        <v>0.1</v>
      </c>
      <c r="AK488" s="17">
        <v>0</v>
      </c>
      <c r="AL488" s="17">
        <v>0.1</v>
      </c>
      <c r="AM488" s="27">
        <v>0</v>
      </c>
    </row>
    <row r="489" spans="1:39" x14ac:dyDescent="0.25">
      <c r="A489" s="10">
        <v>488</v>
      </c>
      <c r="B489" s="9" t="s">
        <v>592</v>
      </c>
      <c r="C489" s="9" t="s">
        <v>599</v>
      </c>
      <c r="D489" s="10">
        <v>3</v>
      </c>
      <c r="E489" s="11">
        <v>42</v>
      </c>
      <c r="F489" s="17">
        <v>93.4</v>
      </c>
      <c r="G489" s="17">
        <v>0</v>
      </c>
      <c r="H489" s="17">
        <v>0.1</v>
      </c>
      <c r="I489" s="17">
        <v>10.3</v>
      </c>
      <c r="J489" s="17">
        <v>8.1999999999999993</v>
      </c>
      <c r="K489" s="22" t="s">
        <v>100</v>
      </c>
      <c r="L489" s="17">
        <v>0</v>
      </c>
      <c r="M489" s="28">
        <v>0</v>
      </c>
      <c r="N489" s="28">
        <v>0</v>
      </c>
      <c r="O489" s="28">
        <v>0</v>
      </c>
      <c r="P489" s="28">
        <v>0</v>
      </c>
      <c r="Q489" s="27">
        <v>0</v>
      </c>
      <c r="R489" s="27">
        <v>7.3</v>
      </c>
      <c r="S489" s="27">
        <v>13.6</v>
      </c>
      <c r="T489" s="27">
        <v>0</v>
      </c>
      <c r="U489" s="27">
        <v>0.2</v>
      </c>
      <c r="V489" s="27">
        <v>0.6</v>
      </c>
      <c r="W489" s="27">
        <v>0</v>
      </c>
      <c r="X489" s="27">
        <v>0</v>
      </c>
      <c r="Y489" s="27">
        <v>0.1</v>
      </c>
      <c r="Z489" s="27">
        <v>0</v>
      </c>
      <c r="AA489" s="27">
        <v>0</v>
      </c>
      <c r="AB489" s="27">
        <v>0</v>
      </c>
      <c r="AC489" s="27">
        <v>0.5</v>
      </c>
      <c r="AD489" s="17">
        <v>8</v>
      </c>
      <c r="AE489" s="27">
        <v>30.8</v>
      </c>
      <c r="AF489" s="27">
        <v>5.0999999999999996</v>
      </c>
      <c r="AG489" s="27">
        <v>2.2999999999999998</v>
      </c>
      <c r="AH489" s="27">
        <v>2.2999999999999998</v>
      </c>
      <c r="AI489" s="27">
        <v>0</v>
      </c>
      <c r="AJ489" s="27">
        <v>0</v>
      </c>
      <c r="AK489" s="27">
        <v>0</v>
      </c>
      <c r="AL489" s="27">
        <v>0</v>
      </c>
      <c r="AM489" s="27">
        <v>0</v>
      </c>
    </row>
    <row r="490" spans="1:39" x14ac:dyDescent="0.25">
      <c r="A490" s="10">
        <v>489</v>
      </c>
      <c r="B490" s="9" t="s">
        <v>592</v>
      </c>
      <c r="C490" s="9" t="s">
        <v>600</v>
      </c>
      <c r="D490" s="10">
        <v>4</v>
      </c>
      <c r="E490" s="11">
        <v>10</v>
      </c>
      <c r="F490" s="27">
        <v>97.5</v>
      </c>
      <c r="G490" s="27">
        <v>0.1</v>
      </c>
      <c r="H490" s="17">
        <v>0.3</v>
      </c>
      <c r="I490" s="17">
        <v>1.9</v>
      </c>
      <c r="J490" s="17">
        <v>1.9</v>
      </c>
      <c r="K490" s="27">
        <v>0.1</v>
      </c>
      <c r="L490" s="17">
        <v>0.1</v>
      </c>
      <c r="M490" s="28">
        <v>0.01</v>
      </c>
      <c r="N490" s="28">
        <v>0.04</v>
      </c>
      <c r="O490" s="28">
        <v>0.02</v>
      </c>
      <c r="P490" s="28">
        <v>0</v>
      </c>
      <c r="Q490" s="27">
        <v>0</v>
      </c>
      <c r="R490" s="27">
        <v>16</v>
      </c>
      <c r="S490" s="27">
        <v>29.7</v>
      </c>
      <c r="T490" s="27">
        <v>0</v>
      </c>
      <c r="U490" s="27">
        <v>0.4</v>
      </c>
      <c r="V490" s="27">
        <v>1.2</v>
      </c>
      <c r="W490" s="27">
        <v>0.1</v>
      </c>
      <c r="X490" s="27">
        <v>0</v>
      </c>
      <c r="Y490" s="27">
        <v>0.1</v>
      </c>
      <c r="Z490" s="27">
        <v>0</v>
      </c>
      <c r="AA490" s="27">
        <v>0</v>
      </c>
      <c r="AB490" s="27">
        <v>0</v>
      </c>
      <c r="AC490" s="27">
        <v>1</v>
      </c>
      <c r="AD490" s="17">
        <v>9</v>
      </c>
      <c r="AE490" s="27">
        <v>67</v>
      </c>
      <c r="AF490" s="27">
        <v>11</v>
      </c>
      <c r="AG490" s="27">
        <v>5</v>
      </c>
      <c r="AH490" s="27">
        <v>5</v>
      </c>
      <c r="AI490" s="27">
        <v>0.1</v>
      </c>
      <c r="AJ490" s="27">
        <v>0</v>
      </c>
      <c r="AK490" s="27">
        <v>0</v>
      </c>
      <c r="AL490" s="27">
        <v>0</v>
      </c>
      <c r="AM490" s="27">
        <v>0</v>
      </c>
    </row>
    <row r="491" spans="1:39" x14ac:dyDescent="0.25">
      <c r="A491" s="10">
        <v>490</v>
      </c>
      <c r="B491" s="9" t="s">
        <v>592</v>
      </c>
      <c r="C491" s="9" t="s">
        <v>601</v>
      </c>
      <c r="D491" s="10">
        <v>3</v>
      </c>
      <c r="E491" s="11">
        <v>42</v>
      </c>
      <c r="F491" s="17">
        <v>93.1</v>
      </c>
      <c r="G491" s="17">
        <v>0</v>
      </c>
      <c r="H491" s="17">
        <v>0.1</v>
      </c>
      <c r="I491" s="17">
        <v>10.4</v>
      </c>
      <c r="J491" s="17">
        <v>8.8000000000000007</v>
      </c>
      <c r="K491" s="22" t="s">
        <v>100</v>
      </c>
      <c r="L491" s="17">
        <v>0</v>
      </c>
      <c r="M491" s="28">
        <v>0</v>
      </c>
      <c r="N491" s="28">
        <v>0</v>
      </c>
      <c r="O491" s="28">
        <v>0</v>
      </c>
      <c r="P491" s="28">
        <v>0</v>
      </c>
      <c r="Q491" s="27">
        <v>0</v>
      </c>
      <c r="R491" s="27">
        <v>8.9</v>
      </c>
      <c r="S491" s="27">
        <v>0</v>
      </c>
      <c r="T491" s="27">
        <v>0</v>
      </c>
      <c r="U491" s="27">
        <v>0.2</v>
      </c>
      <c r="V491" s="27">
        <v>0.7</v>
      </c>
      <c r="W491" s="27">
        <v>0</v>
      </c>
      <c r="X491" s="27">
        <v>0</v>
      </c>
      <c r="Y491" s="27">
        <v>0.1</v>
      </c>
      <c r="Z491" s="27">
        <v>0</v>
      </c>
      <c r="AA491" s="27">
        <v>0</v>
      </c>
      <c r="AB491" s="27">
        <v>0</v>
      </c>
      <c r="AC491" s="27">
        <v>0.6</v>
      </c>
      <c r="AD491" s="17">
        <v>9</v>
      </c>
      <c r="AE491" s="27">
        <v>16.8</v>
      </c>
      <c r="AF491" s="27">
        <v>3.4</v>
      </c>
      <c r="AG491" s="27">
        <v>1.7</v>
      </c>
      <c r="AH491" s="27">
        <v>2.2000000000000002</v>
      </c>
      <c r="AI491" s="27">
        <v>0</v>
      </c>
      <c r="AJ491" s="27">
        <v>0</v>
      </c>
      <c r="AK491" s="27">
        <v>0</v>
      </c>
      <c r="AL491" s="27">
        <v>0.1</v>
      </c>
      <c r="AM491" s="27">
        <v>0</v>
      </c>
    </row>
    <row r="492" spans="1:39" x14ac:dyDescent="0.25">
      <c r="A492" s="10">
        <v>491</v>
      </c>
      <c r="B492" s="9" t="s">
        <v>592</v>
      </c>
      <c r="C492" s="9" t="s">
        <v>602</v>
      </c>
      <c r="D492" s="10">
        <v>3</v>
      </c>
      <c r="E492" s="11">
        <v>15</v>
      </c>
      <c r="F492" s="17">
        <v>97.6</v>
      </c>
      <c r="G492" s="17">
        <v>0</v>
      </c>
      <c r="H492" s="17">
        <v>0.3</v>
      </c>
      <c r="I492" s="17">
        <v>3.3</v>
      </c>
      <c r="J492" s="27">
        <v>3.3</v>
      </c>
      <c r="K492" s="22" t="s">
        <v>100</v>
      </c>
      <c r="L492" s="17">
        <v>0</v>
      </c>
      <c r="M492" s="28">
        <v>0</v>
      </c>
      <c r="N492" s="28">
        <v>0</v>
      </c>
      <c r="O492" s="28">
        <v>0</v>
      </c>
      <c r="P492" s="28">
        <v>0</v>
      </c>
      <c r="Q492" s="27">
        <v>0</v>
      </c>
      <c r="R492" s="27">
        <v>5.3</v>
      </c>
      <c r="S492" s="27">
        <v>0</v>
      </c>
      <c r="T492" s="27">
        <v>0</v>
      </c>
      <c r="U492" s="27">
        <v>0.1</v>
      </c>
      <c r="V492" s="27">
        <v>0.4</v>
      </c>
      <c r="W492" s="27">
        <v>0</v>
      </c>
      <c r="X492" s="27">
        <v>0</v>
      </c>
      <c r="Y492" s="27">
        <v>0</v>
      </c>
      <c r="Z492" s="27">
        <v>0</v>
      </c>
      <c r="AA492" s="27">
        <v>0</v>
      </c>
      <c r="AB492" s="27">
        <v>0</v>
      </c>
      <c r="AC492" s="27">
        <v>0.3</v>
      </c>
      <c r="AD492" s="17">
        <v>8</v>
      </c>
      <c r="AE492" s="27">
        <v>10</v>
      </c>
      <c r="AF492" s="27">
        <v>2</v>
      </c>
      <c r="AG492" s="27">
        <v>1</v>
      </c>
      <c r="AH492" s="27">
        <v>1.3</v>
      </c>
      <c r="AI492" s="27">
        <v>0</v>
      </c>
      <c r="AJ492" s="27">
        <v>0</v>
      </c>
      <c r="AK492" s="27">
        <v>0</v>
      </c>
      <c r="AL492" s="27">
        <v>0.1</v>
      </c>
      <c r="AM492" s="27">
        <v>0</v>
      </c>
    </row>
    <row r="493" spans="1:39" x14ac:dyDescent="0.25">
      <c r="A493" s="10">
        <v>492</v>
      </c>
      <c r="B493" s="9" t="s">
        <v>592</v>
      </c>
      <c r="C493" s="9" t="s">
        <v>603</v>
      </c>
      <c r="D493" s="10">
        <v>3</v>
      </c>
      <c r="E493" s="11">
        <v>41</v>
      </c>
      <c r="F493" s="17">
        <v>93.3</v>
      </c>
      <c r="G493" s="17">
        <v>0</v>
      </c>
      <c r="H493" s="17">
        <v>0</v>
      </c>
      <c r="I493" s="17">
        <v>10.199999999999999</v>
      </c>
      <c r="J493" s="17">
        <v>8.6</v>
      </c>
      <c r="K493" s="22" t="s">
        <v>100</v>
      </c>
      <c r="L493" s="17">
        <v>0</v>
      </c>
      <c r="M493" s="28">
        <v>0</v>
      </c>
      <c r="N493" s="28">
        <v>0</v>
      </c>
      <c r="O493" s="28">
        <v>0</v>
      </c>
      <c r="P493" s="28">
        <v>0</v>
      </c>
      <c r="Q493" s="27">
        <v>0</v>
      </c>
      <c r="R493" s="27">
        <v>0</v>
      </c>
      <c r="S493" s="27">
        <v>0.5</v>
      </c>
      <c r="T493" s="27">
        <v>0</v>
      </c>
      <c r="U493" s="27">
        <v>0</v>
      </c>
      <c r="V493" s="27">
        <v>0</v>
      </c>
      <c r="W493" s="27">
        <v>0</v>
      </c>
      <c r="X493" s="27">
        <v>0</v>
      </c>
      <c r="Y493" s="27">
        <v>0</v>
      </c>
      <c r="Z493" s="27">
        <v>0</v>
      </c>
      <c r="AA493" s="27">
        <v>0</v>
      </c>
      <c r="AB493" s="27">
        <v>0</v>
      </c>
      <c r="AC493" s="27">
        <v>0</v>
      </c>
      <c r="AD493" s="17">
        <v>7</v>
      </c>
      <c r="AE493" s="27">
        <v>57.5</v>
      </c>
      <c r="AF493" s="27">
        <v>4.5999999999999996</v>
      </c>
      <c r="AG493" s="27">
        <v>4</v>
      </c>
      <c r="AH493" s="27">
        <v>2.8</v>
      </c>
      <c r="AI493" s="27">
        <v>0.1</v>
      </c>
      <c r="AJ493" s="27">
        <v>0</v>
      </c>
      <c r="AK493" s="27">
        <v>0</v>
      </c>
      <c r="AL493" s="27">
        <v>0.1</v>
      </c>
      <c r="AM493" s="27">
        <v>0</v>
      </c>
    </row>
    <row r="494" spans="1:39" x14ac:dyDescent="0.25">
      <c r="A494" s="10">
        <v>493</v>
      </c>
      <c r="B494" s="9" t="s">
        <v>592</v>
      </c>
      <c r="C494" s="9" t="s">
        <v>604</v>
      </c>
      <c r="D494" s="10">
        <v>3</v>
      </c>
      <c r="E494" s="11">
        <v>41</v>
      </c>
      <c r="F494" s="17">
        <v>93.3</v>
      </c>
      <c r="G494" s="17">
        <v>0</v>
      </c>
      <c r="H494" s="17">
        <v>0.4</v>
      </c>
      <c r="I494" s="17">
        <v>9.8000000000000007</v>
      </c>
      <c r="J494" s="17">
        <v>8</v>
      </c>
      <c r="K494" s="22" t="s">
        <v>100</v>
      </c>
      <c r="L494" s="17">
        <v>0</v>
      </c>
      <c r="M494" s="28">
        <v>0</v>
      </c>
      <c r="N494" s="28">
        <v>0</v>
      </c>
      <c r="O494" s="28">
        <v>0</v>
      </c>
      <c r="P494" s="28">
        <v>0</v>
      </c>
      <c r="Q494" s="27">
        <v>0</v>
      </c>
      <c r="R494" s="27">
        <v>1</v>
      </c>
      <c r="S494" s="27">
        <v>7.3</v>
      </c>
      <c r="T494" s="22" t="s">
        <v>100</v>
      </c>
      <c r="U494" s="27">
        <v>0</v>
      </c>
      <c r="V494" s="27">
        <v>0</v>
      </c>
      <c r="W494" s="27">
        <v>0.2</v>
      </c>
      <c r="X494" s="27">
        <v>0.2</v>
      </c>
      <c r="Y494" s="27">
        <v>2.4</v>
      </c>
      <c r="Z494" s="27">
        <v>0.2</v>
      </c>
      <c r="AA494" s="27">
        <v>0</v>
      </c>
      <c r="AB494" s="27">
        <v>0</v>
      </c>
      <c r="AC494" s="27">
        <v>1.9</v>
      </c>
      <c r="AD494" s="17">
        <v>7</v>
      </c>
      <c r="AE494" s="27">
        <v>20.399999999999999</v>
      </c>
      <c r="AF494" s="27">
        <v>1</v>
      </c>
      <c r="AG494" s="27">
        <v>1.9</v>
      </c>
      <c r="AH494" s="27">
        <v>1.5</v>
      </c>
      <c r="AI494" s="27">
        <v>0.1</v>
      </c>
      <c r="AJ494" s="27">
        <v>0</v>
      </c>
      <c r="AK494" s="27">
        <v>0</v>
      </c>
      <c r="AL494" s="27">
        <v>0</v>
      </c>
      <c r="AM494" s="27">
        <v>0</v>
      </c>
    </row>
    <row r="495" spans="1:39" x14ac:dyDescent="0.25">
      <c r="A495" s="10">
        <v>494</v>
      </c>
      <c r="B495" s="9" t="s">
        <v>592</v>
      </c>
      <c r="C495" s="9" t="s">
        <v>605</v>
      </c>
      <c r="D495" s="10">
        <v>3</v>
      </c>
      <c r="E495" s="11">
        <v>20</v>
      </c>
      <c r="F495" s="17">
        <v>96.6</v>
      </c>
      <c r="G495" s="17">
        <v>0.1</v>
      </c>
      <c r="H495" s="17">
        <v>0.3</v>
      </c>
      <c r="I495" s="17">
        <v>4.8</v>
      </c>
      <c r="J495" s="17">
        <v>3.1</v>
      </c>
      <c r="K495" s="22" t="s">
        <v>100</v>
      </c>
      <c r="L495" s="17">
        <v>0</v>
      </c>
      <c r="M495" s="28">
        <v>0</v>
      </c>
      <c r="N495" s="28">
        <v>0</v>
      </c>
      <c r="O495" s="28">
        <v>0</v>
      </c>
      <c r="P495" s="28">
        <v>0</v>
      </c>
      <c r="Q495" s="27">
        <v>0</v>
      </c>
      <c r="R495" s="27">
        <v>0.7</v>
      </c>
      <c r="S495" s="27">
        <v>5</v>
      </c>
      <c r="T495" s="22" t="s">
        <v>100</v>
      </c>
      <c r="U495" s="27">
        <v>0</v>
      </c>
      <c r="V495" s="27">
        <v>0</v>
      </c>
      <c r="W495" s="27">
        <v>0.1</v>
      </c>
      <c r="X495" s="27">
        <v>0.1</v>
      </c>
      <c r="Y495" s="27">
        <v>1.7</v>
      </c>
      <c r="Z495" s="27">
        <v>0.2</v>
      </c>
      <c r="AA495" s="27">
        <v>0</v>
      </c>
      <c r="AB495" s="27">
        <v>0</v>
      </c>
      <c r="AC495" s="27">
        <v>1.3</v>
      </c>
      <c r="AD495" s="17">
        <v>7</v>
      </c>
      <c r="AE495" s="27">
        <v>14</v>
      </c>
      <c r="AF495" s="27">
        <v>0.7</v>
      </c>
      <c r="AG495" s="27">
        <v>1.3</v>
      </c>
      <c r="AH495" s="27">
        <v>1</v>
      </c>
      <c r="AI495" s="27">
        <v>0</v>
      </c>
      <c r="AJ495" s="27">
        <v>0</v>
      </c>
      <c r="AK495" s="27">
        <v>0</v>
      </c>
      <c r="AL495" s="27">
        <v>0</v>
      </c>
      <c r="AM495" s="27">
        <v>0</v>
      </c>
    </row>
    <row r="496" spans="1:39" x14ac:dyDescent="0.25">
      <c r="A496" s="10">
        <v>495</v>
      </c>
      <c r="B496" s="9" t="s">
        <v>592</v>
      </c>
      <c r="C496" s="9" t="s">
        <v>606</v>
      </c>
      <c r="D496" s="10">
        <v>3</v>
      </c>
      <c r="E496" s="11">
        <v>9</v>
      </c>
      <c r="F496" s="17">
        <v>98.5</v>
      </c>
      <c r="G496" s="17">
        <v>0</v>
      </c>
      <c r="H496" s="17">
        <v>0.3</v>
      </c>
      <c r="I496" s="17">
        <v>1.9</v>
      </c>
      <c r="J496" s="17">
        <v>1.7</v>
      </c>
      <c r="K496" s="22" t="s">
        <v>100</v>
      </c>
      <c r="L496" s="17">
        <v>0</v>
      </c>
      <c r="M496" s="28">
        <v>0</v>
      </c>
      <c r="N496" s="28">
        <v>0</v>
      </c>
      <c r="O496" s="28">
        <v>0</v>
      </c>
      <c r="P496" s="28">
        <v>0</v>
      </c>
      <c r="Q496" s="27">
        <v>0</v>
      </c>
      <c r="R496" s="27">
        <v>0</v>
      </c>
      <c r="S496" s="27">
        <v>10.5</v>
      </c>
      <c r="T496" s="27">
        <v>0</v>
      </c>
      <c r="U496" s="27">
        <v>0</v>
      </c>
      <c r="V496" s="27">
        <v>0</v>
      </c>
      <c r="W496" s="27">
        <v>0</v>
      </c>
      <c r="X496" s="27">
        <v>0</v>
      </c>
      <c r="Y496" s="27">
        <v>0</v>
      </c>
      <c r="Z496" s="27">
        <v>0</v>
      </c>
      <c r="AA496" s="27">
        <v>0</v>
      </c>
      <c r="AB496" s="27">
        <v>0</v>
      </c>
      <c r="AC496" s="27">
        <v>0</v>
      </c>
      <c r="AD496" s="17">
        <v>17</v>
      </c>
      <c r="AE496" s="27">
        <v>4</v>
      </c>
      <c r="AF496" s="27">
        <v>17.3</v>
      </c>
      <c r="AG496" s="27">
        <v>0</v>
      </c>
      <c r="AH496" s="27">
        <v>0.3</v>
      </c>
      <c r="AI496" s="27">
        <v>0</v>
      </c>
      <c r="AJ496" s="27">
        <v>0</v>
      </c>
      <c r="AK496" s="27">
        <v>0</v>
      </c>
      <c r="AL496" s="27">
        <v>0</v>
      </c>
      <c r="AM496" s="27">
        <v>0</v>
      </c>
    </row>
    <row r="497" spans="1:39" x14ac:dyDescent="0.25">
      <c r="A497" s="10">
        <v>496</v>
      </c>
      <c r="B497" s="9" t="s">
        <v>607</v>
      </c>
      <c r="C497" s="9" t="s">
        <v>608</v>
      </c>
      <c r="D497" s="10">
        <v>4</v>
      </c>
      <c r="E497" s="11">
        <v>366</v>
      </c>
      <c r="F497" s="27">
        <v>17.7</v>
      </c>
      <c r="G497" s="27">
        <v>0.9</v>
      </c>
      <c r="H497" s="17">
        <v>0</v>
      </c>
      <c r="I497" s="17">
        <v>81</v>
      </c>
      <c r="J497" s="17">
        <v>80</v>
      </c>
      <c r="K497" s="27">
        <v>0.4</v>
      </c>
      <c r="L497" s="17">
        <v>0</v>
      </c>
      <c r="M497" s="28">
        <v>0</v>
      </c>
      <c r="N497" s="28">
        <v>0</v>
      </c>
      <c r="O497" s="28">
        <v>0</v>
      </c>
      <c r="P497" s="28">
        <v>0</v>
      </c>
      <c r="Q497" s="27">
        <v>0</v>
      </c>
      <c r="R497" s="27">
        <v>599</v>
      </c>
      <c r="S497" s="17">
        <v>85</v>
      </c>
      <c r="T497" s="27">
        <v>0</v>
      </c>
      <c r="U497" s="27">
        <v>0</v>
      </c>
      <c r="V497" s="27">
        <v>0</v>
      </c>
      <c r="W497" s="27">
        <v>0</v>
      </c>
      <c r="X497" s="27">
        <v>0.7</v>
      </c>
      <c r="Y497" s="27">
        <v>8</v>
      </c>
      <c r="Z497" s="27">
        <v>0.8</v>
      </c>
      <c r="AA497" s="27">
        <v>0</v>
      </c>
      <c r="AB497" s="27">
        <v>0</v>
      </c>
      <c r="AC497" s="27">
        <v>0</v>
      </c>
      <c r="AD497" s="17">
        <v>125</v>
      </c>
      <c r="AE497" s="27">
        <v>190</v>
      </c>
      <c r="AF497" s="27">
        <v>385</v>
      </c>
      <c r="AG497" s="27">
        <v>151</v>
      </c>
      <c r="AH497" s="27">
        <v>0</v>
      </c>
      <c r="AI497" s="27">
        <v>0</v>
      </c>
      <c r="AJ497" s="27">
        <v>0</v>
      </c>
      <c r="AK497" s="27">
        <v>0</v>
      </c>
      <c r="AL497" s="27">
        <v>0.5</v>
      </c>
      <c r="AM497" s="27">
        <v>0</v>
      </c>
    </row>
    <row r="498" spans="1:39" x14ac:dyDescent="0.25">
      <c r="A498" s="10">
        <v>497</v>
      </c>
      <c r="B498" s="9" t="s">
        <v>607</v>
      </c>
      <c r="C498" s="9" t="s">
        <v>609</v>
      </c>
      <c r="D498" s="10">
        <v>3</v>
      </c>
      <c r="E498" s="11">
        <v>155</v>
      </c>
      <c r="F498" s="17">
        <v>5.5</v>
      </c>
      <c r="G498" s="17">
        <v>3.8</v>
      </c>
      <c r="H498" s="17">
        <v>3</v>
      </c>
      <c r="I498" s="17">
        <v>35.700000000000003</v>
      </c>
      <c r="J498" s="22" t="s">
        <v>100</v>
      </c>
      <c r="K498" s="17">
        <v>52</v>
      </c>
      <c r="L498" s="17">
        <v>0</v>
      </c>
      <c r="M498" s="22" t="s">
        <v>100</v>
      </c>
      <c r="N498" s="22" t="s">
        <v>100</v>
      </c>
      <c r="O498" s="22" t="s">
        <v>100</v>
      </c>
      <c r="P498" s="28">
        <v>0</v>
      </c>
      <c r="Q498" s="22" t="s">
        <v>100</v>
      </c>
      <c r="R498" s="22" t="s">
        <v>100</v>
      </c>
      <c r="S498" s="22" t="s">
        <v>100</v>
      </c>
      <c r="T498" s="22" t="s">
        <v>100</v>
      </c>
      <c r="U498" s="22" t="s">
        <v>100</v>
      </c>
      <c r="V498" s="22" t="s">
        <v>100</v>
      </c>
      <c r="W498" s="22" t="s">
        <v>100</v>
      </c>
      <c r="X498" s="22" t="s">
        <v>100</v>
      </c>
      <c r="Y498" s="22" t="s">
        <v>100</v>
      </c>
      <c r="Z498" s="22" t="s">
        <v>100</v>
      </c>
      <c r="AA498" s="22" t="s">
        <v>100</v>
      </c>
      <c r="AB498" s="22" t="s">
        <v>100</v>
      </c>
      <c r="AC498" s="22" t="s">
        <v>100</v>
      </c>
      <c r="AD498" s="22" t="s">
        <v>100</v>
      </c>
      <c r="AE498" s="22" t="s">
        <v>100</v>
      </c>
      <c r="AF498" s="22" t="s">
        <v>100</v>
      </c>
      <c r="AG498" s="22" t="s">
        <v>100</v>
      </c>
      <c r="AH498" s="22" t="s">
        <v>100</v>
      </c>
      <c r="AI498" s="22" t="s">
        <v>100</v>
      </c>
      <c r="AJ498" s="22" t="s">
        <v>100</v>
      </c>
      <c r="AK498" s="22" t="s">
        <v>100</v>
      </c>
      <c r="AL498" s="22" t="s">
        <v>100</v>
      </c>
      <c r="AM498" s="27">
        <v>0</v>
      </c>
    </row>
    <row r="499" spans="1:39" x14ac:dyDescent="0.25">
      <c r="A499" s="10">
        <v>498</v>
      </c>
      <c r="B499" s="9" t="s">
        <v>607</v>
      </c>
      <c r="C499" s="9" t="s">
        <v>610</v>
      </c>
      <c r="D499" s="10">
        <v>3</v>
      </c>
      <c r="E499" s="11">
        <v>226</v>
      </c>
      <c r="F499" s="17">
        <v>3.6</v>
      </c>
      <c r="G499" s="17">
        <v>4.5999999999999996</v>
      </c>
      <c r="H499" s="17">
        <v>1.7</v>
      </c>
      <c r="I499" s="17">
        <v>54.8</v>
      </c>
      <c r="J499" s="22" t="s">
        <v>100</v>
      </c>
      <c r="K499" s="17">
        <v>35.299999999999997</v>
      </c>
      <c r="L499" s="17">
        <v>0</v>
      </c>
      <c r="M499" s="22" t="s">
        <v>100</v>
      </c>
      <c r="N499" s="22" t="s">
        <v>100</v>
      </c>
      <c r="O499" s="22" t="s">
        <v>100</v>
      </c>
      <c r="P499" s="28">
        <v>0</v>
      </c>
      <c r="Q499" s="22" t="s">
        <v>100</v>
      </c>
      <c r="R499" s="22" t="s">
        <v>100</v>
      </c>
      <c r="S499" s="22" t="s">
        <v>100</v>
      </c>
      <c r="T499" s="22" t="s">
        <v>100</v>
      </c>
      <c r="U499" s="22" t="s">
        <v>100</v>
      </c>
      <c r="V499" s="22" t="s">
        <v>100</v>
      </c>
      <c r="W499" s="22" t="s">
        <v>100</v>
      </c>
      <c r="X499" s="22" t="s">
        <v>100</v>
      </c>
      <c r="Y499" s="22" t="s">
        <v>100</v>
      </c>
      <c r="Z499" s="22" t="s">
        <v>100</v>
      </c>
      <c r="AA499" s="22" t="s">
        <v>100</v>
      </c>
      <c r="AB499" s="22" t="s">
        <v>100</v>
      </c>
      <c r="AC499" s="22" t="s">
        <v>100</v>
      </c>
      <c r="AD499" s="22" t="s">
        <v>100</v>
      </c>
      <c r="AE499" s="22" t="s">
        <v>100</v>
      </c>
      <c r="AF499" s="22" t="s">
        <v>100</v>
      </c>
      <c r="AG499" s="22" t="s">
        <v>100</v>
      </c>
      <c r="AH499" s="22" t="s">
        <v>100</v>
      </c>
      <c r="AI499" s="22" t="s">
        <v>100</v>
      </c>
      <c r="AJ499" s="22" t="s">
        <v>100</v>
      </c>
      <c r="AK499" s="22" t="s">
        <v>100</v>
      </c>
      <c r="AL499" s="22" t="s">
        <v>100</v>
      </c>
      <c r="AM499" s="27">
        <v>0</v>
      </c>
    </row>
    <row r="500" spans="1:39" x14ac:dyDescent="0.25">
      <c r="A500" s="10">
        <v>499</v>
      </c>
      <c r="B500" s="9" t="s">
        <v>607</v>
      </c>
      <c r="C500" s="9" t="s">
        <v>611</v>
      </c>
      <c r="D500" s="10">
        <v>3</v>
      </c>
      <c r="E500" s="11">
        <v>125</v>
      </c>
      <c r="F500" s="17">
        <v>7</v>
      </c>
      <c r="G500" s="17">
        <v>3.8</v>
      </c>
      <c r="H500" s="17">
        <v>1.5</v>
      </c>
      <c r="I500" s="17">
        <v>29.8</v>
      </c>
      <c r="J500" s="22" t="s">
        <v>100</v>
      </c>
      <c r="K500" s="17">
        <v>57.9</v>
      </c>
      <c r="L500" s="17">
        <v>0</v>
      </c>
      <c r="M500" s="22" t="s">
        <v>100</v>
      </c>
      <c r="N500" s="22" t="s">
        <v>100</v>
      </c>
      <c r="O500" s="22" t="s">
        <v>100</v>
      </c>
      <c r="P500" s="28">
        <v>0</v>
      </c>
      <c r="Q500" s="22" t="s">
        <v>100</v>
      </c>
      <c r="R500" s="22" t="s">
        <v>100</v>
      </c>
      <c r="S500" s="22" t="s">
        <v>100</v>
      </c>
      <c r="T500" s="22" t="s">
        <v>100</v>
      </c>
      <c r="U500" s="22" t="s">
        <v>100</v>
      </c>
      <c r="V500" s="22" t="s">
        <v>100</v>
      </c>
      <c r="W500" s="22" t="s">
        <v>100</v>
      </c>
      <c r="X500" s="22" t="s">
        <v>100</v>
      </c>
      <c r="Y500" s="22" t="s">
        <v>100</v>
      </c>
      <c r="Z500" s="22" t="s">
        <v>100</v>
      </c>
      <c r="AA500" s="22" t="s">
        <v>100</v>
      </c>
      <c r="AB500" s="22" t="s">
        <v>100</v>
      </c>
      <c r="AC500" s="22" t="s">
        <v>100</v>
      </c>
      <c r="AD500" s="22" t="s">
        <v>100</v>
      </c>
      <c r="AE500" s="22" t="s">
        <v>100</v>
      </c>
      <c r="AF500" s="22" t="s">
        <v>100</v>
      </c>
      <c r="AG500" s="22" t="s">
        <v>100</v>
      </c>
      <c r="AH500" s="22" t="s">
        <v>100</v>
      </c>
      <c r="AI500" s="22" t="s">
        <v>100</v>
      </c>
      <c r="AJ500" s="22" t="s">
        <v>100</v>
      </c>
      <c r="AK500" s="22" t="s">
        <v>100</v>
      </c>
      <c r="AL500" s="22" t="s">
        <v>100</v>
      </c>
      <c r="AM500" s="27">
        <v>0</v>
      </c>
    </row>
    <row r="501" spans="1:39" x14ac:dyDescent="0.25">
      <c r="A501" s="10">
        <v>500</v>
      </c>
      <c r="B501" s="9" t="s">
        <v>612</v>
      </c>
      <c r="C501" s="9" t="s">
        <v>613</v>
      </c>
      <c r="D501" s="10">
        <v>1</v>
      </c>
      <c r="E501" s="11">
        <v>34</v>
      </c>
      <c r="F501" s="17">
        <v>91.1</v>
      </c>
      <c r="G501" s="17">
        <v>0.1</v>
      </c>
      <c r="H501" s="17">
        <v>0</v>
      </c>
      <c r="I501" s="17">
        <v>8.8000000000000007</v>
      </c>
      <c r="J501" s="17">
        <v>8.8000000000000007</v>
      </c>
      <c r="K501" s="17">
        <v>0</v>
      </c>
      <c r="L501" s="17">
        <v>0</v>
      </c>
      <c r="M501" s="19">
        <v>0</v>
      </c>
      <c r="N501" s="19">
        <v>0</v>
      </c>
      <c r="O501" s="19">
        <v>0</v>
      </c>
      <c r="P501" s="28">
        <v>0</v>
      </c>
      <c r="Q501" s="17">
        <v>0</v>
      </c>
      <c r="R501" s="17">
        <v>0</v>
      </c>
      <c r="S501" s="17">
        <v>0</v>
      </c>
      <c r="T501" s="17">
        <v>0</v>
      </c>
      <c r="U501" s="17">
        <v>0</v>
      </c>
      <c r="V501" s="17">
        <v>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12</v>
      </c>
      <c r="AE501" s="17">
        <v>0</v>
      </c>
      <c r="AF501" s="17">
        <v>1</v>
      </c>
      <c r="AG501" s="17">
        <v>0</v>
      </c>
      <c r="AH501" s="17">
        <v>0</v>
      </c>
      <c r="AI501" s="17">
        <v>0</v>
      </c>
      <c r="AJ501" s="17">
        <v>0.1</v>
      </c>
      <c r="AK501" s="17">
        <v>0</v>
      </c>
      <c r="AL501" s="17">
        <v>0</v>
      </c>
      <c r="AM501" s="27">
        <v>0</v>
      </c>
    </row>
    <row r="502" spans="1:39" x14ac:dyDescent="0.25">
      <c r="A502" s="10">
        <v>501</v>
      </c>
      <c r="B502" s="9" t="s">
        <v>612</v>
      </c>
      <c r="C502" s="9" t="s">
        <v>614</v>
      </c>
      <c r="D502" s="10">
        <v>3</v>
      </c>
      <c r="E502" s="11">
        <v>0</v>
      </c>
      <c r="F502" s="17">
        <v>99.6</v>
      </c>
      <c r="G502" s="17">
        <v>0</v>
      </c>
      <c r="H502" s="17">
        <v>0.1</v>
      </c>
      <c r="I502" s="17">
        <v>0</v>
      </c>
      <c r="J502" s="17">
        <v>0</v>
      </c>
      <c r="K502" s="27">
        <v>0</v>
      </c>
      <c r="L502" s="17">
        <v>0</v>
      </c>
      <c r="M502" s="28">
        <v>0</v>
      </c>
      <c r="N502" s="28">
        <v>0</v>
      </c>
      <c r="O502" s="28">
        <v>0</v>
      </c>
      <c r="P502" s="28">
        <v>0</v>
      </c>
      <c r="Q502" s="27">
        <v>0</v>
      </c>
      <c r="R502" s="27">
        <v>0</v>
      </c>
      <c r="S502" s="27">
        <v>0</v>
      </c>
      <c r="T502" s="27">
        <v>0</v>
      </c>
      <c r="U502" s="27">
        <v>0</v>
      </c>
      <c r="V502" s="27">
        <v>0</v>
      </c>
      <c r="W502" s="27">
        <v>0</v>
      </c>
      <c r="X502" s="27">
        <v>0</v>
      </c>
      <c r="Y502" s="27">
        <v>0</v>
      </c>
      <c r="Z502" s="27">
        <v>0</v>
      </c>
      <c r="AA502" s="27">
        <v>0</v>
      </c>
      <c r="AB502" s="27">
        <v>0</v>
      </c>
      <c r="AC502" s="27">
        <v>0</v>
      </c>
      <c r="AD502" s="27">
        <v>7</v>
      </c>
      <c r="AE502" s="27">
        <v>7</v>
      </c>
      <c r="AF502" s="27">
        <v>2.6</v>
      </c>
      <c r="AG502" s="27">
        <v>7.8</v>
      </c>
      <c r="AH502" s="27">
        <v>0.9</v>
      </c>
      <c r="AI502" s="27">
        <v>0.1</v>
      </c>
      <c r="AJ502" s="27">
        <v>0</v>
      </c>
      <c r="AK502" s="27">
        <v>0</v>
      </c>
      <c r="AL502" s="27">
        <v>0</v>
      </c>
      <c r="AM502" s="27">
        <v>0</v>
      </c>
    </row>
    <row r="503" spans="1:39" x14ac:dyDescent="0.25">
      <c r="A503" s="10">
        <v>502</v>
      </c>
      <c r="B503" s="9" t="s">
        <v>612</v>
      </c>
      <c r="C503" s="9" t="s">
        <v>615</v>
      </c>
      <c r="D503" s="10">
        <v>1</v>
      </c>
      <c r="E503" s="11">
        <v>42</v>
      </c>
      <c r="F503" s="17">
        <v>89.4</v>
      </c>
      <c r="G503" s="17">
        <v>0</v>
      </c>
      <c r="H503" s="17">
        <v>0</v>
      </c>
      <c r="I503" s="17">
        <v>10.4</v>
      </c>
      <c r="J503" s="17">
        <v>9.9</v>
      </c>
      <c r="K503" s="17">
        <v>0</v>
      </c>
      <c r="L503" s="17">
        <v>0.3</v>
      </c>
      <c r="M503" s="19">
        <v>0</v>
      </c>
      <c r="N503" s="19">
        <v>0</v>
      </c>
      <c r="O503" s="19">
        <v>0</v>
      </c>
      <c r="P503" s="28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3</v>
      </c>
      <c r="AE503" s="17">
        <v>5</v>
      </c>
      <c r="AF503" s="17">
        <v>1</v>
      </c>
      <c r="AG503" s="17">
        <v>9</v>
      </c>
      <c r="AH503" s="17">
        <v>0</v>
      </c>
      <c r="AI503" s="17">
        <v>0</v>
      </c>
      <c r="AJ503" s="17">
        <v>0.1</v>
      </c>
      <c r="AK503" s="17">
        <v>0</v>
      </c>
      <c r="AL503" s="17">
        <v>0.1</v>
      </c>
      <c r="AM503" s="27">
        <v>0</v>
      </c>
    </row>
    <row r="504" spans="1:39" x14ac:dyDescent="0.25">
      <c r="A504" s="10">
        <v>503</v>
      </c>
      <c r="B504" s="9" t="s">
        <v>612</v>
      </c>
      <c r="C504" s="9" t="s">
        <v>616</v>
      </c>
      <c r="D504" s="10">
        <v>1</v>
      </c>
      <c r="E504" s="11">
        <v>43</v>
      </c>
      <c r="F504" s="17">
        <v>89.2</v>
      </c>
      <c r="G504" s="17">
        <v>0.1</v>
      </c>
      <c r="H504" s="17">
        <v>0.5</v>
      </c>
      <c r="I504" s="17">
        <v>10.199999999999999</v>
      </c>
      <c r="J504" s="17">
        <v>10.199999999999999</v>
      </c>
      <c r="K504" s="17">
        <v>0</v>
      </c>
      <c r="L504" s="17">
        <v>0</v>
      </c>
      <c r="M504" s="19">
        <v>0</v>
      </c>
      <c r="N504" s="19">
        <v>0</v>
      </c>
      <c r="O504" s="19">
        <v>0</v>
      </c>
      <c r="P504" s="28">
        <v>0</v>
      </c>
      <c r="Q504" s="17">
        <v>0</v>
      </c>
      <c r="R504" s="17">
        <v>0</v>
      </c>
      <c r="S504" s="17">
        <v>0</v>
      </c>
      <c r="T504" s="17">
        <v>0</v>
      </c>
      <c r="U504" s="17">
        <v>0</v>
      </c>
      <c r="V504" s="17">
        <v>0</v>
      </c>
      <c r="W504" s="17">
        <v>0</v>
      </c>
      <c r="X504" s="17">
        <v>0.1</v>
      </c>
      <c r="Y504" s="17">
        <v>9.8000000000000007</v>
      </c>
      <c r="Z504" s="17">
        <v>2.2000000000000002</v>
      </c>
      <c r="AA504" s="17">
        <v>1.5</v>
      </c>
      <c r="AB504" s="17">
        <v>2</v>
      </c>
      <c r="AC504" s="17">
        <v>0</v>
      </c>
      <c r="AD504" s="17">
        <v>39</v>
      </c>
      <c r="AE504" s="17">
        <v>3</v>
      </c>
      <c r="AF504" s="17">
        <v>6</v>
      </c>
      <c r="AG504" s="17">
        <v>0</v>
      </c>
      <c r="AH504" s="17">
        <v>19</v>
      </c>
      <c r="AI504" s="17">
        <v>0.1</v>
      </c>
      <c r="AJ504" s="17">
        <v>0</v>
      </c>
      <c r="AK504" s="17">
        <v>0</v>
      </c>
      <c r="AL504" s="17">
        <v>0.2</v>
      </c>
      <c r="AM504" s="27">
        <v>0</v>
      </c>
    </row>
    <row r="505" spans="1:39" x14ac:dyDescent="0.25">
      <c r="A505" s="10">
        <v>504</v>
      </c>
      <c r="B505" s="9" t="s">
        <v>612</v>
      </c>
      <c r="C505" s="9" t="s">
        <v>617</v>
      </c>
      <c r="D505" s="10">
        <v>1</v>
      </c>
      <c r="E505" s="11">
        <v>41</v>
      </c>
      <c r="F505" s="17">
        <v>89.5</v>
      </c>
      <c r="G505" s="17">
        <v>0</v>
      </c>
      <c r="H505" s="17">
        <v>0.1</v>
      </c>
      <c r="I505" s="17">
        <v>10.4</v>
      </c>
      <c r="J505" s="17">
        <v>10.4</v>
      </c>
      <c r="K505" s="17">
        <v>0</v>
      </c>
      <c r="L505" s="17">
        <v>0</v>
      </c>
      <c r="M505" s="19">
        <v>0</v>
      </c>
      <c r="N505" s="19">
        <v>0</v>
      </c>
      <c r="O505" s="19">
        <v>0</v>
      </c>
      <c r="P505" s="28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10</v>
      </c>
      <c r="AE505" s="17">
        <v>1</v>
      </c>
      <c r="AF505" s="17">
        <v>2</v>
      </c>
      <c r="AG505" s="17">
        <v>0</v>
      </c>
      <c r="AH505" s="17">
        <v>1</v>
      </c>
      <c r="AI505" s="17">
        <v>0</v>
      </c>
      <c r="AJ505" s="17">
        <v>0</v>
      </c>
      <c r="AK505" s="17">
        <v>0</v>
      </c>
      <c r="AL505" s="17">
        <v>0</v>
      </c>
      <c r="AM505" s="27">
        <v>0</v>
      </c>
    </row>
    <row r="506" spans="1:39" x14ac:dyDescent="0.25">
      <c r="A506" s="10">
        <v>505</v>
      </c>
      <c r="B506" s="9" t="s">
        <v>612</v>
      </c>
      <c r="C506" s="9" t="s">
        <v>618</v>
      </c>
      <c r="D506" s="10">
        <v>1</v>
      </c>
      <c r="E506" s="11">
        <v>48</v>
      </c>
      <c r="F506" s="17">
        <v>87.6</v>
      </c>
      <c r="G506" s="17">
        <v>0.1</v>
      </c>
      <c r="H506" s="17">
        <v>0</v>
      </c>
      <c r="I506" s="17">
        <v>12.3</v>
      </c>
      <c r="J506" s="22" t="s">
        <v>100</v>
      </c>
      <c r="K506" s="17">
        <v>0</v>
      </c>
      <c r="L506" s="17">
        <v>0</v>
      </c>
      <c r="M506" s="19">
        <v>0</v>
      </c>
      <c r="N506" s="19">
        <v>0</v>
      </c>
      <c r="O506" s="19">
        <v>0</v>
      </c>
      <c r="P506" s="28">
        <v>0</v>
      </c>
      <c r="Q506" s="17">
        <v>0</v>
      </c>
      <c r="R506" s="17">
        <v>0</v>
      </c>
      <c r="S506" s="17">
        <v>0</v>
      </c>
      <c r="T506" s="22" t="s">
        <v>100</v>
      </c>
      <c r="U506" s="22" t="s">
        <v>100</v>
      </c>
      <c r="V506" s="22" t="s">
        <v>100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12</v>
      </c>
      <c r="AE506" s="17">
        <v>2</v>
      </c>
      <c r="AF506" s="17">
        <v>5</v>
      </c>
      <c r="AG506" s="17">
        <v>1</v>
      </c>
      <c r="AH506" s="17">
        <v>1</v>
      </c>
      <c r="AI506" s="17">
        <v>0.1</v>
      </c>
      <c r="AJ506" s="17">
        <v>0.1</v>
      </c>
      <c r="AK506" s="17">
        <v>0</v>
      </c>
      <c r="AL506" s="17">
        <v>0</v>
      </c>
      <c r="AM506" s="27">
        <v>0</v>
      </c>
    </row>
    <row r="507" spans="1:39" x14ac:dyDescent="0.25">
      <c r="A507" s="10">
        <v>506</v>
      </c>
      <c r="B507" s="9" t="s">
        <v>612</v>
      </c>
      <c r="C507" s="9" t="s">
        <v>619</v>
      </c>
      <c r="D507" s="10">
        <v>1</v>
      </c>
      <c r="E507" s="11">
        <v>40</v>
      </c>
      <c r="F507" s="17">
        <v>89.8</v>
      </c>
      <c r="G507" s="17">
        <v>0</v>
      </c>
      <c r="H507" s="17">
        <v>0.1</v>
      </c>
      <c r="I507" s="17">
        <v>10.1</v>
      </c>
      <c r="J507" s="17">
        <v>9</v>
      </c>
      <c r="K507" s="17">
        <v>0</v>
      </c>
      <c r="L507" s="17">
        <v>0</v>
      </c>
      <c r="M507" s="19">
        <v>0</v>
      </c>
      <c r="N507" s="19">
        <v>0</v>
      </c>
      <c r="O507" s="19">
        <v>0</v>
      </c>
      <c r="P507" s="28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9</v>
      </c>
      <c r="AE507" s="17">
        <v>1</v>
      </c>
      <c r="AF507" s="17">
        <v>2</v>
      </c>
      <c r="AG507" s="17">
        <v>0</v>
      </c>
      <c r="AH507" s="17">
        <v>1</v>
      </c>
      <c r="AI507" s="17">
        <v>0.1</v>
      </c>
      <c r="AJ507" s="17">
        <v>0</v>
      </c>
      <c r="AK507" s="17">
        <v>0</v>
      </c>
      <c r="AL507" s="17">
        <v>0</v>
      </c>
      <c r="AM507" s="27">
        <v>0</v>
      </c>
    </row>
    <row r="508" spans="1:39" x14ac:dyDescent="0.25">
      <c r="A508" s="10">
        <v>507</v>
      </c>
      <c r="B508" s="9" t="s">
        <v>612</v>
      </c>
      <c r="C508" s="9" t="s">
        <v>620</v>
      </c>
      <c r="D508" s="10">
        <v>3</v>
      </c>
      <c r="E508" s="11">
        <v>1</v>
      </c>
      <c r="F508" s="17">
        <v>99.8</v>
      </c>
      <c r="G508" s="17">
        <v>0</v>
      </c>
      <c r="H508" s="17">
        <v>0.1</v>
      </c>
      <c r="I508" s="17">
        <v>0.2</v>
      </c>
      <c r="J508" s="17">
        <v>0</v>
      </c>
      <c r="K508" s="22" t="s">
        <v>100</v>
      </c>
      <c r="L508" s="17">
        <v>0</v>
      </c>
      <c r="M508" s="28">
        <v>0</v>
      </c>
      <c r="N508" s="28">
        <v>0</v>
      </c>
      <c r="O508" s="28">
        <v>0</v>
      </c>
      <c r="P508" s="28">
        <v>0</v>
      </c>
      <c r="Q508" s="27">
        <v>0</v>
      </c>
      <c r="R508" s="27">
        <v>0</v>
      </c>
      <c r="S508" s="27">
        <v>0</v>
      </c>
      <c r="T508" s="27">
        <v>0</v>
      </c>
      <c r="U508" s="27">
        <v>0</v>
      </c>
      <c r="V508" s="27">
        <v>0</v>
      </c>
      <c r="W508" s="27">
        <v>0</v>
      </c>
      <c r="X508" s="27">
        <v>0</v>
      </c>
      <c r="Y508" s="27">
        <v>0</v>
      </c>
      <c r="Z508" s="27">
        <v>0</v>
      </c>
      <c r="AA508" s="27">
        <v>0</v>
      </c>
      <c r="AB508" s="27">
        <v>0</v>
      </c>
      <c r="AC508" s="27">
        <v>0</v>
      </c>
      <c r="AD508" s="17">
        <v>8.9</v>
      </c>
      <c r="AE508" s="27">
        <v>2</v>
      </c>
      <c r="AF508" s="27">
        <v>4</v>
      </c>
      <c r="AG508" s="27">
        <v>0</v>
      </c>
      <c r="AH508" s="27">
        <v>1</v>
      </c>
      <c r="AI508" s="27">
        <v>0</v>
      </c>
      <c r="AJ508" s="27">
        <v>0</v>
      </c>
      <c r="AK508" s="27">
        <v>0</v>
      </c>
      <c r="AL508" s="27">
        <v>0</v>
      </c>
      <c r="AM508" s="27">
        <v>0</v>
      </c>
    </row>
    <row r="509" spans="1:39" x14ac:dyDescent="0.25">
      <c r="A509" s="10">
        <v>508</v>
      </c>
      <c r="B509" s="9" t="s">
        <v>612</v>
      </c>
      <c r="C509" s="9" t="s">
        <v>621</v>
      </c>
      <c r="D509" s="10">
        <v>1</v>
      </c>
      <c r="E509" s="11">
        <v>32</v>
      </c>
      <c r="F509" s="17">
        <v>91.9</v>
      </c>
      <c r="G509" s="17">
        <v>0.2</v>
      </c>
      <c r="H509" s="17">
        <v>0</v>
      </c>
      <c r="I509" s="17">
        <v>7.8</v>
      </c>
      <c r="J509" s="17">
        <v>6.1</v>
      </c>
      <c r="K509" s="17">
        <v>0</v>
      </c>
      <c r="L509" s="17">
        <v>0.1</v>
      </c>
      <c r="M509" s="19">
        <v>0.01</v>
      </c>
      <c r="N509" s="19">
        <v>0.01</v>
      </c>
      <c r="O509" s="19">
        <v>0.03</v>
      </c>
      <c r="P509" s="28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1.6</v>
      </c>
      <c r="Z509" s="17">
        <v>0.2</v>
      </c>
      <c r="AA509" s="17">
        <v>0</v>
      </c>
      <c r="AB509" s="17">
        <v>0.9</v>
      </c>
      <c r="AC509" s="17">
        <v>0</v>
      </c>
      <c r="AD509" s="17">
        <v>42</v>
      </c>
      <c r="AE509" s="17">
        <v>18</v>
      </c>
      <c r="AF509" s="17">
        <v>1</v>
      </c>
      <c r="AG509" s="17">
        <v>1</v>
      </c>
      <c r="AH509" s="17">
        <v>0</v>
      </c>
      <c r="AI509" s="17">
        <v>0.1</v>
      </c>
      <c r="AJ509" s="17">
        <v>0</v>
      </c>
      <c r="AK509" s="17">
        <v>0</v>
      </c>
      <c r="AL509" s="17">
        <v>0</v>
      </c>
      <c r="AM509" s="27">
        <v>0</v>
      </c>
    </row>
    <row r="510" spans="1:39" x14ac:dyDescent="0.25">
      <c r="A510" s="10">
        <v>509</v>
      </c>
      <c r="B510" s="9" t="s">
        <v>612</v>
      </c>
      <c r="C510" s="9" t="s">
        <v>622</v>
      </c>
      <c r="D510" s="10">
        <v>4</v>
      </c>
      <c r="E510" s="11">
        <v>24</v>
      </c>
      <c r="F510" s="27">
        <v>93.9</v>
      </c>
      <c r="G510" s="27">
        <v>0.1</v>
      </c>
      <c r="H510" s="17">
        <v>0</v>
      </c>
      <c r="I510" s="17">
        <v>6</v>
      </c>
      <c r="J510" s="17">
        <v>6</v>
      </c>
      <c r="K510" s="27">
        <v>0</v>
      </c>
      <c r="L510" s="17">
        <v>0</v>
      </c>
      <c r="M510" s="19">
        <v>0</v>
      </c>
      <c r="N510" s="19">
        <v>0</v>
      </c>
      <c r="O510" s="19">
        <v>0</v>
      </c>
      <c r="P510" s="19">
        <v>0</v>
      </c>
      <c r="Q510" s="17">
        <v>0</v>
      </c>
      <c r="R510" s="27">
        <v>0</v>
      </c>
      <c r="S510" s="27">
        <v>0.4</v>
      </c>
      <c r="T510" s="27">
        <v>0</v>
      </c>
      <c r="U510" s="27">
        <v>0</v>
      </c>
      <c r="V510" s="27">
        <v>0.2</v>
      </c>
      <c r="W510" s="27">
        <v>0</v>
      </c>
      <c r="X510" s="27">
        <v>0</v>
      </c>
      <c r="Y510" s="27">
        <v>0.2</v>
      </c>
      <c r="Z510" s="27">
        <v>0</v>
      </c>
      <c r="AA510" s="27">
        <v>0.1</v>
      </c>
      <c r="AB510" s="27">
        <v>0</v>
      </c>
      <c r="AC510" s="27">
        <v>0</v>
      </c>
      <c r="AD510" s="17">
        <v>49</v>
      </c>
      <c r="AE510" s="17">
        <v>24</v>
      </c>
      <c r="AF510" s="27">
        <v>1</v>
      </c>
      <c r="AG510" s="27">
        <v>10</v>
      </c>
      <c r="AH510" s="27">
        <v>0</v>
      </c>
      <c r="AI510" s="27">
        <v>0.1</v>
      </c>
      <c r="AJ510" s="27">
        <v>0</v>
      </c>
      <c r="AK510" s="27">
        <v>0</v>
      </c>
      <c r="AL510" s="27">
        <v>0</v>
      </c>
      <c r="AM510" s="27">
        <v>0</v>
      </c>
    </row>
    <row r="511" spans="1:39" x14ac:dyDescent="0.25">
      <c r="A511" s="10">
        <v>510</v>
      </c>
      <c r="B511" s="9" t="s">
        <v>623</v>
      </c>
      <c r="C511" s="9" t="s">
        <v>624</v>
      </c>
      <c r="D511" s="10">
        <v>1</v>
      </c>
      <c r="E511" s="11">
        <v>51</v>
      </c>
      <c r="F511" s="17">
        <v>92</v>
      </c>
      <c r="G511" s="17">
        <v>0.2</v>
      </c>
      <c r="H511" s="17">
        <v>0.5</v>
      </c>
      <c r="I511" s="17">
        <v>7.4</v>
      </c>
      <c r="J511" s="17">
        <v>0</v>
      </c>
      <c r="K511" s="17">
        <v>0</v>
      </c>
      <c r="L511" s="17">
        <v>0</v>
      </c>
      <c r="M511" s="19">
        <v>0</v>
      </c>
      <c r="N511" s="19">
        <v>0</v>
      </c>
      <c r="O511" s="19">
        <v>0</v>
      </c>
      <c r="P511" s="28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0.5</v>
      </c>
      <c r="Z511" s="17">
        <v>0</v>
      </c>
      <c r="AA511" s="17">
        <v>0</v>
      </c>
      <c r="AB511" s="17">
        <v>0</v>
      </c>
      <c r="AC511" s="17">
        <v>6</v>
      </c>
      <c r="AD511" s="17">
        <v>4</v>
      </c>
      <c r="AE511" s="17">
        <v>27</v>
      </c>
      <c r="AF511" s="17">
        <v>4</v>
      </c>
      <c r="AG511" s="17">
        <v>14</v>
      </c>
      <c r="AH511" s="17">
        <v>6</v>
      </c>
      <c r="AI511" s="17">
        <v>0</v>
      </c>
      <c r="AJ511" s="17">
        <v>0</v>
      </c>
      <c r="AK511" s="17">
        <v>0</v>
      </c>
      <c r="AL511" s="17">
        <v>0.6</v>
      </c>
      <c r="AM511" s="17">
        <v>6.4</v>
      </c>
    </row>
    <row r="512" spans="1:39" x14ac:dyDescent="0.25">
      <c r="A512" s="10">
        <v>511</v>
      </c>
      <c r="B512" s="9" t="s">
        <v>623</v>
      </c>
      <c r="C512" s="9" t="s">
        <v>625</v>
      </c>
      <c r="D512" s="10">
        <v>1</v>
      </c>
      <c r="E512" s="11">
        <v>77</v>
      </c>
      <c r="F512" s="27">
        <v>90</v>
      </c>
      <c r="G512" s="27">
        <v>0.2</v>
      </c>
      <c r="H512" s="17">
        <v>0.2</v>
      </c>
      <c r="I512" s="27">
        <v>2.6</v>
      </c>
      <c r="J512" s="27">
        <v>1</v>
      </c>
      <c r="K512" s="27">
        <v>0</v>
      </c>
      <c r="L512" s="27">
        <v>0</v>
      </c>
      <c r="M512" s="28">
        <v>0</v>
      </c>
      <c r="N512" s="28">
        <v>0</v>
      </c>
      <c r="O512" s="28">
        <v>0</v>
      </c>
      <c r="P512" s="28">
        <v>0</v>
      </c>
      <c r="Q512" s="27">
        <v>0</v>
      </c>
      <c r="R512" s="27">
        <v>0</v>
      </c>
      <c r="S512" s="27">
        <v>0</v>
      </c>
      <c r="T512" s="27">
        <v>0</v>
      </c>
      <c r="U512" s="27">
        <v>0</v>
      </c>
      <c r="V512" s="27">
        <v>0.4</v>
      </c>
      <c r="W512" s="27">
        <v>0</v>
      </c>
      <c r="X512" s="27">
        <v>0</v>
      </c>
      <c r="Y512" s="27">
        <v>0.1</v>
      </c>
      <c r="Z512" s="27">
        <v>0.1</v>
      </c>
      <c r="AA512" s="27">
        <v>0</v>
      </c>
      <c r="AB512" s="27">
        <v>0</v>
      </c>
      <c r="AC512" s="17">
        <v>0.2</v>
      </c>
      <c r="AD512" s="17">
        <v>6.1</v>
      </c>
      <c r="AE512" s="27">
        <v>71</v>
      </c>
      <c r="AF512" s="17">
        <v>5.5</v>
      </c>
      <c r="AG512" s="27">
        <v>18</v>
      </c>
      <c r="AH512" s="17">
        <v>8.5</v>
      </c>
      <c r="AI512" s="17">
        <v>0.3</v>
      </c>
      <c r="AJ512" s="17">
        <v>0.1</v>
      </c>
      <c r="AK512" s="27">
        <v>0</v>
      </c>
      <c r="AL512" s="27">
        <v>0.1</v>
      </c>
      <c r="AM512" s="17">
        <v>7</v>
      </c>
    </row>
    <row r="513" spans="1:39" x14ac:dyDescent="0.25">
      <c r="A513" s="10">
        <v>512</v>
      </c>
      <c r="B513" s="9" t="s">
        <v>623</v>
      </c>
      <c r="C513" s="9" t="s">
        <v>626</v>
      </c>
      <c r="D513" s="10">
        <v>1</v>
      </c>
      <c r="E513" s="11">
        <v>325</v>
      </c>
      <c r="F513" s="17">
        <v>31</v>
      </c>
      <c r="G513" s="17">
        <v>0.1</v>
      </c>
      <c r="H513" s="17">
        <v>0.1</v>
      </c>
      <c r="I513" s="17">
        <v>52.5</v>
      </c>
      <c r="J513" s="17">
        <v>38.299999999999997</v>
      </c>
      <c r="K513" s="17">
        <v>0</v>
      </c>
      <c r="L513" s="17">
        <v>0.3</v>
      </c>
      <c r="M513" s="19">
        <v>0.11</v>
      </c>
      <c r="N513" s="19">
        <v>0.02</v>
      </c>
      <c r="O513" s="19">
        <v>0.11</v>
      </c>
      <c r="P513" s="28">
        <v>0</v>
      </c>
      <c r="Q513" s="17">
        <v>0</v>
      </c>
      <c r="R513" s="17">
        <v>0</v>
      </c>
      <c r="S513" s="17">
        <v>0</v>
      </c>
      <c r="T513" s="17">
        <v>0</v>
      </c>
      <c r="U513" s="17">
        <v>0</v>
      </c>
      <c r="V513" s="17">
        <v>0</v>
      </c>
      <c r="W513" s="17">
        <v>0</v>
      </c>
      <c r="X513" s="17">
        <v>0</v>
      </c>
      <c r="Y513" s="17">
        <v>0.1</v>
      </c>
      <c r="Z513" s="17">
        <v>0</v>
      </c>
      <c r="AA513" s="17">
        <v>0</v>
      </c>
      <c r="AB513" s="17">
        <v>0</v>
      </c>
      <c r="AC513" s="17">
        <v>0</v>
      </c>
      <c r="AD513" s="17">
        <v>8</v>
      </c>
      <c r="AE513" s="17">
        <v>30</v>
      </c>
      <c r="AF513" s="17">
        <v>1</v>
      </c>
      <c r="AG513" s="17">
        <v>6</v>
      </c>
      <c r="AH513" s="17">
        <v>3</v>
      </c>
      <c r="AI513" s="17">
        <v>0.1</v>
      </c>
      <c r="AJ513" s="17">
        <v>0</v>
      </c>
      <c r="AK513" s="17">
        <v>0</v>
      </c>
      <c r="AL513" s="17">
        <v>0.4</v>
      </c>
      <c r="AM513" s="17">
        <v>16</v>
      </c>
    </row>
    <row r="514" spans="1:39" x14ac:dyDescent="0.25">
      <c r="A514" s="10">
        <v>513</v>
      </c>
      <c r="B514" s="9" t="s">
        <v>623</v>
      </c>
      <c r="C514" s="9" t="s">
        <v>627</v>
      </c>
      <c r="D514" s="10">
        <v>1</v>
      </c>
      <c r="E514" s="11">
        <v>351</v>
      </c>
      <c r="F514" s="17">
        <v>28.3</v>
      </c>
      <c r="G514" s="17">
        <v>0</v>
      </c>
      <c r="H514" s="17">
        <v>0</v>
      </c>
      <c r="I514" s="17">
        <v>71.400000000000006</v>
      </c>
      <c r="J514" s="17">
        <v>41.6</v>
      </c>
      <c r="K514" s="17">
        <v>0</v>
      </c>
      <c r="L514" s="17">
        <v>0.3</v>
      </c>
      <c r="M514" s="19">
        <v>0.01</v>
      </c>
      <c r="N514" s="19">
        <v>0.02</v>
      </c>
      <c r="O514" s="19">
        <v>0.17</v>
      </c>
      <c r="P514" s="28">
        <v>0</v>
      </c>
      <c r="Q514" s="17">
        <v>0</v>
      </c>
      <c r="R514" s="17">
        <v>0</v>
      </c>
      <c r="S514" s="17">
        <v>0</v>
      </c>
      <c r="T514" s="17">
        <v>0</v>
      </c>
      <c r="U514" s="17">
        <v>0</v>
      </c>
      <c r="V514" s="17">
        <v>0</v>
      </c>
      <c r="W514" s="17">
        <v>0</v>
      </c>
      <c r="X514" s="17">
        <v>0</v>
      </c>
      <c r="Y514" s="17">
        <v>0</v>
      </c>
      <c r="Z514" s="17">
        <v>0</v>
      </c>
      <c r="AA514" s="17">
        <v>0</v>
      </c>
      <c r="AB514" s="17">
        <v>0</v>
      </c>
      <c r="AC514" s="17">
        <v>0</v>
      </c>
      <c r="AD514" s="17">
        <v>5</v>
      </c>
      <c r="AE514" s="17">
        <v>0</v>
      </c>
      <c r="AF514" s="17">
        <v>0</v>
      </c>
      <c r="AG514" s="17">
        <v>0</v>
      </c>
      <c r="AH514" s="17">
        <v>0</v>
      </c>
      <c r="AI514" s="17">
        <v>0.1</v>
      </c>
      <c r="AJ514" s="17">
        <v>0</v>
      </c>
      <c r="AK514" s="17">
        <v>0.1</v>
      </c>
      <c r="AL514" s="17">
        <v>0.4</v>
      </c>
      <c r="AM514" s="17">
        <v>20.8</v>
      </c>
    </row>
    <row r="515" spans="1:39" x14ac:dyDescent="0.25">
      <c r="A515" s="10">
        <v>514</v>
      </c>
      <c r="B515" s="9" t="s">
        <v>623</v>
      </c>
      <c r="C515" s="9" t="s">
        <v>628</v>
      </c>
      <c r="D515" s="10">
        <v>1</v>
      </c>
      <c r="E515" s="11">
        <v>223</v>
      </c>
      <c r="F515" s="22" t="s">
        <v>100</v>
      </c>
      <c r="G515" s="22" t="s">
        <v>100</v>
      </c>
      <c r="H515" s="17">
        <v>0</v>
      </c>
      <c r="I515" s="22" t="s">
        <v>100</v>
      </c>
      <c r="J515" s="22" t="s">
        <v>100</v>
      </c>
      <c r="K515" s="22" t="s">
        <v>100</v>
      </c>
      <c r="L515" s="22" t="s">
        <v>100</v>
      </c>
      <c r="M515" s="22" t="s">
        <v>100</v>
      </c>
      <c r="N515" s="22" t="s">
        <v>100</v>
      </c>
      <c r="O515" s="22" t="s">
        <v>100</v>
      </c>
      <c r="P515" s="22" t="s">
        <v>100</v>
      </c>
      <c r="Q515" s="22" t="s">
        <v>100</v>
      </c>
      <c r="R515" s="22" t="s">
        <v>100</v>
      </c>
      <c r="S515" s="22" t="s">
        <v>100</v>
      </c>
      <c r="T515" s="22" t="s">
        <v>100</v>
      </c>
      <c r="U515" s="22" t="s">
        <v>100</v>
      </c>
      <c r="V515" s="22" t="s">
        <v>100</v>
      </c>
      <c r="W515" s="22" t="s">
        <v>100</v>
      </c>
      <c r="X515" s="22" t="s">
        <v>100</v>
      </c>
      <c r="Y515" s="22" t="s">
        <v>100</v>
      </c>
      <c r="Z515" s="22" t="s">
        <v>100</v>
      </c>
      <c r="AA515" s="22" t="s">
        <v>100</v>
      </c>
      <c r="AB515" s="22" t="s">
        <v>100</v>
      </c>
      <c r="AC515" s="22" t="s">
        <v>100</v>
      </c>
      <c r="AD515" s="17">
        <v>3</v>
      </c>
      <c r="AE515" s="22" t="s">
        <v>100</v>
      </c>
      <c r="AF515" s="22" t="s">
        <v>100</v>
      </c>
      <c r="AG515" s="22" t="s">
        <v>100</v>
      </c>
      <c r="AH515" s="17">
        <v>2</v>
      </c>
      <c r="AI515" s="22" t="s">
        <v>100</v>
      </c>
      <c r="AJ515" s="22" t="s">
        <v>100</v>
      </c>
      <c r="AK515" s="22" t="s">
        <v>100</v>
      </c>
      <c r="AL515" s="22" t="s">
        <v>100</v>
      </c>
      <c r="AM515" s="17">
        <v>12</v>
      </c>
    </row>
    <row r="516" spans="1:39" x14ac:dyDescent="0.25">
      <c r="A516" s="10">
        <v>515</v>
      </c>
      <c r="B516" s="9" t="s">
        <v>623</v>
      </c>
      <c r="C516" s="9" t="s">
        <v>629</v>
      </c>
      <c r="D516" s="10">
        <v>6</v>
      </c>
      <c r="E516" s="11">
        <v>210</v>
      </c>
      <c r="F516" s="27">
        <v>72</v>
      </c>
      <c r="G516" s="27">
        <v>0</v>
      </c>
      <c r="H516" s="17">
        <v>0</v>
      </c>
      <c r="I516" s="27">
        <v>0</v>
      </c>
      <c r="J516" s="27">
        <v>0</v>
      </c>
      <c r="K516" s="17">
        <v>0</v>
      </c>
      <c r="L516" s="17">
        <v>0</v>
      </c>
      <c r="M516" s="19">
        <v>0</v>
      </c>
      <c r="N516" s="28">
        <v>0</v>
      </c>
      <c r="O516" s="28">
        <v>0</v>
      </c>
      <c r="P516" s="28">
        <v>0</v>
      </c>
      <c r="Q516" s="27">
        <v>0</v>
      </c>
      <c r="R516" s="27">
        <v>0</v>
      </c>
      <c r="S516" s="27">
        <v>0</v>
      </c>
      <c r="T516" s="27">
        <v>0</v>
      </c>
      <c r="U516" s="27">
        <v>0</v>
      </c>
      <c r="V516" s="27">
        <v>0</v>
      </c>
      <c r="W516" s="27">
        <v>0</v>
      </c>
      <c r="X516" s="27">
        <v>0</v>
      </c>
      <c r="Y516" s="27">
        <v>0</v>
      </c>
      <c r="Z516" s="27">
        <v>0</v>
      </c>
      <c r="AA516" s="27">
        <v>0</v>
      </c>
      <c r="AB516" s="27">
        <v>0</v>
      </c>
      <c r="AC516" s="27">
        <v>0</v>
      </c>
      <c r="AD516" s="27">
        <v>1</v>
      </c>
      <c r="AE516" s="27">
        <v>2</v>
      </c>
      <c r="AF516" s="27">
        <v>0</v>
      </c>
      <c r="AG516" s="27">
        <v>4</v>
      </c>
      <c r="AH516" s="27">
        <v>0</v>
      </c>
      <c r="AI516" s="27">
        <v>0</v>
      </c>
      <c r="AJ516" s="27">
        <v>0</v>
      </c>
      <c r="AK516" s="27">
        <v>0</v>
      </c>
      <c r="AL516" s="27">
        <v>0</v>
      </c>
      <c r="AM516" s="17">
        <v>28</v>
      </c>
    </row>
    <row r="517" spans="1:39" x14ac:dyDescent="0.25">
      <c r="A517" s="10">
        <v>516</v>
      </c>
      <c r="B517" s="9" t="s">
        <v>623</v>
      </c>
      <c r="C517" s="9" t="s">
        <v>630</v>
      </c>
      <c r="D517" s="10">
        <v>3</v>
      </c>
      <c r="E517" s="11">
        <v>185</v>
      </c>
      <c r="F517" s="17">
        <v>88.9</v>
      </c>
      <c r="G517" s="17">
        <v>0</v>
      </c>
      <c r="H517" s="17">
        <v>0</v>
      </c>
      <c r="I517" s="17">
        <v>14.3</v>
      </c>
      <c r="J517" s="22" t="s">
        <v>100</v>
      </c>
      <c r="K517" s="22" t="s">
        <v>100</v>
      </c>
      <c r="L517" s="17">
        <v>0.1</v>
      </c>
      <c r="M517" s="22" t="s">
        <v>100</v>
      </c>
      <c r="N517" s="22" t="s">
        <v>100</v>
      </c>
      <c r="O517" s="22" t="s">
        <v>100</v>
      </c>
      <c r="P517" s="22" t="s">
        <v>100</v>
      </c>
      <c r="Q517" s="22" t="s">
        <v>100</v>
      </c>
      <c r="R517" s="22" t="s">
        <v>100</v>
      </c>
      <c r="S517" s="22" t="s">
        <v>100</v>
      </c>
      <c r="T517" s="22" t="s">
        <v>100</v>
      </c>
      <c r="U517" s="22" t="s">
        <v>100</v>
      </c>
      <c r="V517" s="22" t="s">
        <v>100</v>
      </c>
      <c r="W517" s="22" t="s">
        <v>100</v>
      </c>
      <c r="X517" s="22" t="s">
        <v>100</v>
      </c>
      <c r="Y517" s="22" t="s">
        <v>100</v>
      </c>
      <c r="Z517" s="22" t="s">
        <v>100</v>
      </c>
      <c r="AA517" s="22" t="s">
        <v>100</v>
      </c>
      <c r="AB517" s="22" t="s">
        <v>100</v>
      </c>
      <c r="AC517" s="22" t="s">
        <v>100</v>
      </c>
      <c r="AD517" s="22" t="s">
        <v>100</v>
      </c>
      <c r="AE517" s="22" t="s">
        <v>100</v>
      </c>
      <c r="AF517" s="22" t="s">
        <v>100</v>
      </c>
      <c r="AG517" s="22" t="s">
        <v>100</v>
      </c>
      <c r="AH517" s="22" t="s">
        <v>100</v>
      </c>
      <c r="AI517" s="22" t="s">
        <v>100</v>
      </c>
      <c r="AJ517" s="22" t="s">
        <v>100</v>
      </c>
      <c r="AK517" s="22" t="s">
        <v>100</v>
      </c>
      <c r="AL517" s="22" t="s">
        <v>100</v>
      </c>
      <c r="AM517" s="17">
        <v>16</v>
      </c>
    </row>
    <row r="518" spans="1:39" x14ac:dyDescent="0.25">
      <c r="A518" s="10">
        <v>517</v>
      </c>
      <c r="B518" s="9" t="s">
        <v>623</v>
      </c>
      <c r="C518" s="9" t="s">
        <v>631</v>
      </c>
      <c r="D518" s="10">
        <v>1</v>
      </c>
      <c r="E518" s="11">
        <v>231</v>
      </c>
      <c r="F518" s="17">
        <v>66.599999999999994</v>
      </c>
      <c r="G518" s="17">
        <v>0</v>
      </c>
      <c r="H518" s="17">
        <v>0</v>
      </c>
      <c r="I518" s="17">
        <v>33.4</v>
      </c>
      <c r="J518" s="17">
        <v>0</v>
      </c>
      <c r="K518" s="17">
        <v>0</v>
      </c>
      <c r="L518" s="17">
        <v>0</v>
      </c>
      <c r="M518" s="19">
        <v>0</v>
      </c>
      <c r="N518" s="19">
        <v>0</v>
      </c>
      <c r="O518" s="19">
        <v>0</v>
      </c>
      <c r="P518" s="28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0.01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1</v>
      </c>
      <c r="AE518" s="17">
        <v>2</v>
      </c>
      <c r="AF518" s="17">
        <v>0</v>
      </c>
      <c r="AG518" s="17">
        <v>5</v>
      </c>
      <c r="AH518" s="17">
        <v>0</v>
      </c>
      <c r="AI518" s="17">
        <v>0.1</v>
      </c>
      <c r="AJ518" s="17">
        <v>0.1</v>
      </c>
      <c r="AK518" s="17">
        <v>0</v>
      </c>
      <c r="AL518" s="17">
        <v>0</v>
      </c>
      <c r="AM518" s="17">
        <v>32</v>
      </c>
    </row>
    <row r="519" spans="1:39" x14ac:dyDescent="0.25">
      <c r="A519" s="10">
        <v>518</v>
      </c>
      <c r="B519" s="9" t="s">
        <v>623</v>
      </c>
      <c r="C519" s="9" t="s">
        <v>632</v>
      </c>
      <c r="D519" s="10">
        <v>1</v>
      </c>
      <c r="E519" s="11">
        <v>230</v>
      </c>
      <c r="F519" s="17">
        <v>66.599999999999994</v>
      </c>
      <c r="G519" s="17">
        <v>0</v>
      </c>
      <c r="H519" s="17">
        <v>0</v>
      </c>
      <c r="I519" s="17">
        <v>33.4</v>
      </c>
      <c r="J519" s="17">
        <v>0</v>
      </c>
      <c r="K519" s="17">
        <v>0</v>
      </c>
      <c r="L519" s="17">
        <v>0</v>
      </c>
      <c r="M519" s="19">
        <v>0</v>
      </c>
      <c r="N519" s="19">
        <v>0</v>
      </c>
      <c r="O519" s="19">
        <v>0</v>
      </c>
      <c r="P519" s="28">
        <v>0</v>
      </c>
      <c r="Q519" s="17">
        <v>0</v>
      </c>
      <c r="R519" s="22" t="s">
        <v>100</v>
      </c>
      <c r="S519" s="17">
        <v>0</v>
      </c>
      <c r="T519" s="22" t="s">
        <v>100</v>
      </c>
      <c r="U519" s="22" t="s">
        <v>100</v>
      </c>
      <c r="V519" s="22" t="s">
        <v>100</v>
      </c>
      <c r="W519" s="17">
        <v>0</v>
      </c>
      <c r="X519" s="17">
        <v>0.01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1</v>
      </c>
      <c r="AE519" s="17">
        <v>1</v>
      </c>
      <c r="AF519" s="17">
        <v>0</v>
      </c>
      <c r="AG519" s="17">
        <v>5</v>
      </c>
      <c r="AH519" s="17">
        <v>0</v>
      </c>
      <c r="AI519" s="17">
        <v>0</v>
      </c>
      <c r="AJ519" s="17">
        <v>0</v>
      </c>
      <c r="AK519" s="17">
        <v>0</v>
      </c>
      <c r="AL519" s="17">
        <v>0</v>
      </c>
      <c r="AM519" s="17">
        <v>32</v>
      </c>
    </row>
    <row r="520" spans="1:39" x14ac:dyDescent="0.25">
      <c r="A520" s="10">
        <v>519</v>
      </c>
      <c r="B520" s="9" t="s">
        <v>623</v>
      </c>
      <c r="C520" s="9" t="s">
        <v>633</v>
      </c>
      <c r="D520" s="10">
        <v>1</v>
      </c>
      <c r="E520" s="11">
        <v>240</v>
      </c>
      <c r="F520" s="17">
        <v>63.9</v>
      </c>
      <c r="G520" s="17">
        <v>0</v>
      </c>
      <c r="H520" s="17">
        <v>0</v>
      </c>
      <c r="I520" s="17">
        <v>36.1</v>
      </c>
      <c r="J520" s="17">
        <v>0.1</v>
      </c>
      <c r="K520" s="17">
        <v>0</v>
      </c>
      <c r="L520" s="17">
        <v>0</v>
      </c>
      <c r="M520" s="19">
        <v>0</v>
      </c>
      <c r="N520" s="19">
        <v>0</v>
      </c>
      <c r="O520" s="19">
        <v>0</v>
      </c>
      <c r="P520" s="28">
        <v>0</v>
      </c>
      <c r="Q520" s="17">
        <v>0</v>
      </c>
      <c r="R520" s="17">
        <v>0</v>
      </c>
      <c r="S520" s="17">
        <v>0</v>
      </c>
      <c r="T520" s="22" t="s">
        <v>100</v>
      </c>
      <c r="U520" s="22" t="s">
        <v>100</v>
      </c>
      <c r="V520" s="22" t="s">
        <v>100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  <c r="AE520" s="17">
        <v>1</v>
      </c>
      <c r="AF520" s="17">
        <v>0</v>
      </c>
      <c r="AG520" s="17">
        <v>3</v>
      </c>
      <c r="AH520" s="17">
        <v>0</v>
      </c>
      <c r="AI520" s="17">
        <v>0</v>
      </c>
      <c r="AJ520" s="17">
        <v>0</v>
      </c>
      <c r="AK520" s="17">
        <v>0</v>
      </c>
      <c r="AL520" s="17">
        <v>0</v>
      </c>
      <c r="AM520" s="17">
        <v>32</v>
      </c>
    </row>
    <row r="521" spans="1:39" x14ac:dyDescent="0.25">
      <c r="A521" s="10">
        <v>520</v>
      </c>
      <c r="B521" s="9" t="s">
        <v>623</v>
      </c>
      <c r="C521" s="9" t="s">
        <v>634</v>
      </c>
      <c r="D521" s="10">
        <v>1</v>
      </c>
      <c r="E521" s="11">
        <v>81</v>
      </c>
      <c r="F521" s="17">
        <v>86.9</v>
      </c>
      <c r="G521" s="17">
        <v>0.2</v>
      </c>
      <c r="H521" s="17">
        <v>0.1</v>
      </c>
      <c r="I521" s="17">
        <v>3.3</v>
      </c>
      <c r="J521" s="17">
        <v>1</v>
      </c>
      <c r="K521" s="17">
        <v>0</v>
      </c>
      <c r="L521" s="17">
        <v>0</v>
      </c>
      <c r="M521" s="19">
        <v>0</v>
      </c>
      <c r="N521" s="19">
        <v>0</v>
      </c>
      <c r="O521" s="19">
        <v>0</v>
      </c>
      <c r="P521" s="28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0.4</v>
      </c>
      <c r="W521" s="17">
        <v>0</v>
      </c>
      <c r="X521" s="17">
        <v>0</v>
      </c>
      <c r="Y521" s="17">
        <v>0.1</v>
      </c>
      <c r="Z521" s="17">
        <v>0.1</v>
      </c>
      <c r="AA521" s="17">
        <v>0</v>
      </c>
      <c r="AB521" s="17">
        <v>0</v>
      </c>
      <c r="AC521" s="17">
        <v>1</v>
      </c>
      <c r="AD521" s="17">
        <v>5</v>
      </c>
      <c r="AE521" s="17">
        <v>71</v>
      </c>
      <c r="AF521" s="17">
        <v>9</v>
      </c>
      <c r="AG521" s="17">
        <v>18</v>
      </c>
      <c r="AH521" s="17">
        <v>10</v>
      </c>
      <c r="AI521" s="17">
        <v>0.3</v>
      </c>
      <c r="AJ521" s="17">
        <v>0.1</v>
      </c>
      <c r="AK521" s="17">
        <v>0</v>
      </c>
      <c r="AL521" s="17">
        <v>0.1</v>
      </c>
      <c r="AM521" s="17">
        <v>9.6</v>
      </c>
    </row>
    <row r="522" spans="1:39" x14ac:dyDescent="0.25">
      <c r="A522" s="10">
        <v>521</v>
      </c>
      <c r="B522" s="9" t="s">
        <v>623</v>
      </c>
      <c r="C522" s="9" t="s">
        <v>635</v>
      </c>
      <c r="D522" s="10">
        <v>1</v>
      </c>
      <c r="E522" s="11">
        <v>82</v>
      </c>
      <c r="F522" s="17">
        <v>86.5</v>
      </c>
      <c r="G522" s="17">
        <v>0.3</v>
      </c>
      <c r="H522" s="17">
        <v>0.1</v>
      </c>
      <c r="I522" s="17">
        <v>3.6</v>
      </c>
      <c r="J522" s="17">
        <v>0.6</v>
      </c>
      <c r="K522" s="17">
        <v>0</v>
      </c>
      <c r="L522" s="17">
        <v>0</v>
      </c>
      <c r="M522" s="19">
        <v>0</v>
      </c>
      <c r="N522" s="19">
        <v>0</v>
      </c>
      <c r="O522" s="19">
        <v>0</v>
      </c>
      <c r="P522" s="28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0.4</v>
      </c>
      <c r="W522" s="17">
        <v>0</v>
      </c>
      <c r="X522" s="17">
        <v>0</v>
      </c>
      <c r="Y522" s="17">
        <v>0.2</v>
      </c>
      <c r="Z522" s="17">
        <v>0.1</v>
      </c>
      <c r="AA522" s="17">
        <v>0</v>
      </c>
      <c r="AB522" s="17">
        <v>0</v>
      </c>
      <c r="AC522" s="17">
        <v>1</v>
      </c>
      <c r="AD522" s="17">
        <v>4</v>
      </c>
      <c r="AE522" s="17">
        <v>127</v>
      </c>
      <c r="AF522" s="17">
        <v>8</v>
      </c>
      <c r="AG522" s="17">
        <v>23</v>
      </c>
      <c r="AH522" s="17">
        <v>12</v>
      </c>
      <c r="AI522" s="17">
        <v>0.5</v>
      </c>
      <c r="AJ522" s="17">
        <v>0.1</v>
      </c>
      <c r="AK522" s="17">
        <v>0</v>
      </c>
      <c r="AL522" s="17">
        <v>0.2</v>
      </c>
      <c r="AM522" s="17">
        <v>9.6</v>
      </c>
    </row>
    <row r="523" spans="1:39" x14ac:dyDescent="0.25">
      <c r="A523" s="10">
        <v>522</v>
      </c>
      <c r="B523" s="9" t="s">
        <v>623</v>
      </c>
      <c r="C523" s="9" t="s">
        <v>636</v>
      </c>
      <c r="D523" s="10">
        <v>3</v>
      </c>
      <c r="E523" s="11">
        <v>84</v>
      </c>
      <c r="F523" s="17">
        <v>97.3</v>
      </c>
      <c r="G523" s="17">
        <v>0.4</v>
      </c>
      <c r="H523" s="17">
        <v>0.1</v>
      </c>
      <c r="I523" s="17">
        <v>1.6</v>
      </c>
      <c r="J523" s="27">
        <v>0.2</v>
      </c>
      <c r="K523" s="27">
        <v>0</v>
      </c>
      <c r="L523" s="17">
        <v>0</v>
      </c>
      <c r="M523" s="28">
        <v>0</v>
      </c>
      <c r="N523" s="28">
        <v>0</v>
      </c>
      <c r="O523" s="28">
        <v>0</v>
      </c>
      <c r="P523" s="28">
        <v>0</v>
      </c>
      <c r="Q523" s="27">
        <v>0</v>
      </c>
      <c r="R523" s="27">
        <v>0</v>
      </c>
      <c r="S523" s="27">
        <v>0</v>
      </c>
      <c r="T523" s="27">
        <v>0</v>
      </c>
      <c r="U523" s="27">
        <v>0</v>
      </c>
      <c r="V523" s="27">
        <v>0.1</v>
      </c>
      <c r="W523" s="27">
        <v>0</v>
      </c>
      <c r="X523" s="27">
        <v>0</v>
      </c>
      <c r="Y523" s="27">
        <v>0.1</v>
      </c>
      <c r="Z523" s="27">
        <v>0</v>
      </c>
      <c r="AA523" s="27">
        <v>0</v>
      </c>
      <c r="AB523" s="27">
        <v>0</v>
      </c>
      <c r="AC523" s="27">
        <v>0.3</v>
      </c>
      <c r="AD523" s="27">
        <v>1.3</v>
      </c>
      <c r="AE523" s="27">
        <v>42.3</v>
      </c>
      <c r="AF523" s="27">
        <v>2.7</v>
      </c>
      <c r="AG523" s="27">
        <v>7.7</v>
      </c>
      <c r="AH523" s="27">
        <v>4</v>
      </c>
      <c r="AI523" s="27">
        <v>0.2</v>
      </c>
      <c r="AJ523" s="27">
        <v>0</v>
      </c>
      <c r="AK523" s="27">
        <v>0</v>
      </c>
      <c r="AL523" s="27">
        <v>0.1</v>
      </c>
      <c r="AM523" s="17">
        <v>9.6</v>
      </c>
    </row>
    <row r="524" spans="1:39" x14ac:dyDescent="0.25">
      <c r="A524" s="10">
        <v>523</v>
      </c>
      <c r="B524" s="9" t="s">
        <v>637</v>
      </c>
      <c r="C524" s="9" t="s">
        <v>638</v>
      </c>
      <c r="D524" s="10">
        <v>3</v>
      </c>
      <c r="E524" s="11">
        <v>500</v>
      </c>
      <c r="F524" s="17">
        <v>1.2</v>
      </c>
      <c r="G524" s="17">
        <v>3.3</v>
      </c>
      <c r="H524" s="17">
        <v>5.7</v>
      </c>
      <c r="I524" s="17">
        <v>59.7</v>
      </c>
      <c r="J524" s="17">
        <v>0.8</v>
      </c>
      <c r="K524" s="17">
        <v>3.6</v>
      </c>
      <c r="L524" s="17">
        <v>26.5</v>
      </c>
      <c r="M524" s="19">
        <v>2.2200000000000002</v>
      </c>
      <c r="N524" s="19">
        <v>16.39</v>
      </c>
      <c r="O524" s="19">
        <v>6.71</v>
      </c>
      <c r="P524" s="19">
        <v>0</v>
      </c>
      <c r="Q524" s="17">
        <v>0</v>
      </c>
      <c r="R524" s="27">
        <v>0</v>
      </c>
      <c r="S524" s="27">
        <v>21.7</v>
      </c>
      <c r="T524" s="27">
        <v>0</v>
      </c>
      <c r="U524" s="27">
        <v>10.5</v>
      </c>
      <c r="V524" s="27">
        <v>22.2</v>
      </c>
      <c r="W524" s="27">
        <v>0.2</v>
      </c>
      <c r="X524" s="27">
        <v>0.1</v>
      </c>
      <c r="Y524" s="27">
        <v>4.8</v>
      </c>
      <c r="Z524" s="27">
        <v>0.5</v>
      </c>
      <c r="AA524" s="27">
        <v>1</v>
      </c>
      <c r="AB524" s="27">
        <v>0</v>
      </c>
      <c r="AC524" s="27">
        <v>29.2</v>
      </c>
      <c r="AD524" s="17">
        <v>354</v>
      </c>
      <c r="AE524" s="27">
        <v>1204</v>
      </c>
      <c r="AF524" s="27">
        <v>21.1</v>
      </c>
      <c r="AG524" s="27">
        <v>154</v>
      </c>
      <c r="AH524" s="27">
        <v>63.4</v>
      </c>
      <c r="AI524" s="27">
        <v>1.3</v>
      </c>
      <c r="AJ524" s="27">
        <v>1.1000000000000001</v>
      </c>
      <c r="AK524" s="27">
        <v>0.2</v>
      </c>
      <c r="AL524" s="27">
        <v>2.5</v>
      </c>
      <c r="AM524" s="27">
        <v>0</v>
      </c>
    </row>
    <row r="525" spans="1:39" x14ac:dyDescent="0.25">
      <c r="A525" s="10">
        <v>524</v>
      </c>
      <c r="B525" s="9" t="s">
        <v>637</v>
      </c>
      <c r="C525" s="9" t="s">
        <v>639</v>
      </c>
      <c r="D525" s="10">
        <v>3</v>
      </c>
      <c r="E525" s="11">
        <v>485</v>
      </c>
      <c r="F525" s="17">
        <v>2.6</v>
      </c>
      <c r="G525" s="17">
        <v>3.5</v>
      </c>
      <c r="H525" s="17">
        <v>6.1</v>
      </c>
      <c r="I525" s="17">
        <v>57.8</v>
      </c>
      <c r="J525" s="17">
        <v>4.3</v>
      </c>
      <c r="K525" s="17">
        <v>4.5</v>
      </c>
      <c r="L525" s="17">
        <v>25.5</v>
      </c>
      <c r="M525" s="19">
        <v>1.68</v>
      </c>
      <c r="N525" s="19">
        <v>16.899999999999999</v>
      </c>
      <c r="O525" s="19">
        <v>1.45</v>
      </c>
      <c r="P525" s="19">
        <v>0.4</v>
      </c>
      <c r="Q525" s="17">
        <v>0.7</v>
      </c>
      <c r="R525" s="27">
        <v>13.9</v>
      </c>
      <c r="S525" s="27">
        <v>37</v>
      </c>
      <c r="T525" s="22" t="s">
        <v>100</v>
      </c>
      <c r="U525" s="22" t="s">
        <v>100</v>
      </c>
      <c r="V525" s="22" t="s">
        <v>100</v>
      </c>
      <c r="W525" s="27">
        <v>0.2</v>
      </c>
      <c r="X525" s="27">
        <v>0.2</v>
      </c>
      <c r="Y525" s="27">
        <v>4</v>
      </c>
      <c r="Z525" s="27">
        <v>0.7</v>
      </c>
      <c r="AA525" s="27">
        <v>0.8</v>
      </c>
      <c r="AB525" s="27">
        <v>1</v>
      </c>
      <c r="AC525" s="27">
        <v>61.5</v>
      </c>
      <c r="AD525" s="17">
        <v>418</v>
      </c>
      <c r="AE525" s="27">
        <v>1320.2</v>
      </c>
      <c r="AF525" s="27">
        <v>71.400000000000006</v>
      </c>
      <c r="AG525" s="27">
        <v>174.6</v>
      </c>
      <c r="AH525" s="27">
        <v>73.400000000000006</v>
      </c>
      <c r="AI525" s="27">
        <v>1.6</v>
      </c>
      <c r="AJ525" s="27">
        <v>1</v>
      </c>
      <c r="AK525" s="27">
        <v>0.3</v>
      </c>
      <c r="AL525" s="27">
        <v>8</v>
      </c>
      <c r="AM525" s="27">
        <v>0</v>
      </c>
    </row>
    <row r="526" spans="1:39" x14ac:dyDescent="0.25">
      <c r="A526" s="10">
        <v>525</v>
      </c>
      <c r="B526" s="9" t="s">
        <v>637</v>
      </c>
      <c r="C526" s="9" t="s">
        <v>640</v>
      </c>
      <c r="D526" s="10">
        <v>3</v>
      </c>
      <c r="E526" s="11">
        <v>510</v>
      </c>
      <c r="F526" s="17">
        <v>1</v>
      </c>
      <c r="G526" s="17">
        <v>1.9</v>
      </c>
      <c r="H526" s="17">
        <v>6.2</v>
      </c>
      <c r="I526" s="17">
        <v>64.5</v>
      </c>
      <c r="J526" s="17">
        <v>6.8</v>
      </c>
      <c r="K526" s="17">
        <v>1.2</v>
      </c>
      <c r="L526" s="17">
        <v>25.2</v>
      </c>
      <c r="M526" s="19">
        <v>3.18</v>
      </c>
      <c r="N526" s="19">
        <v>9.41</v>
      </c>
      <c r="O526" s="19">
        <v>11.48</v>
      </c>
      <c r="P526" s="19">
        <v>0</v>
      </c>
      <c r="Q526" s="17">
        <v>0</v>
      </c>
      <c r="R526" s="27">
        <v>44.9</v>
      </c>
      <c r="S526" s="27">
        <v>21.8</v>
      </c>
      <c r="T526" s="27">
        <v>0</v>
      </c>
      <c r="U526" s="27">
        <v>4.3</v>
      </c>
      <c r="V526" s="27">
        <v>1.1000000000000001</v>
      </c>
      <c r="W526" s="27">
        <v>0.6</v>
      </c>
      <c r="X526" s="27">
        <v>0.6</v>
      </c>
      <c r="Y526" s="27">
        <v>7.3</v>
      </c>
      <c r="Z526" s="27">
        <v>0.7</v>
      </c>
      <c r="AA526" s="22" t="s">
        <v>100</v>
      </c>
      <c r="AB526" s="27">
        <v>2.2000000000000002</v>
      </c>
      <c r="AC526" s="27">
        <v>99</v>
      </c>
      <c r="AD526" s="17">
        <v>468</v>
      </c>
      <c r="AE526" s="27">
        <v>291.89999999999998</v>
      </c>
      <c r="AF526" s="27">
        <v>364.4</v>
      </c>
      <c r="AG526" s="27">
        <v>364.4</v>
      </c>
      <c r="AH526" s="27">
        <v>41.8</v>
      </c>
      <c r="AI526" s="27">
        <v>1.3</v>
      </c>
      <c r="AJ526" s="27">
        <v>2.2000000000000002</v>
      </c>
      <c r="AK526" s="27">
        <v>0.1</v>
      </c>
      <c r="AL526" s="27">
        <v>9.8000000000000007</v>
      </c>
      <c r="AM526" s="27">
        <v>0</v>
      </c>
    </row>
    <row r="527" spans="1:39" x14ac:dyDescent="0.25">
      <c r="A527" s="10">
        <v>526</v>
      </c>
      <c r="B527" s="9" t="s">
        <v>641</v>
      </c>
      <c r="C527" s="9" t="s">
        <v>642</v>
      </c>
      <c r="D527" s="10">
        <v>1</v>
      </c>
      <c r="E527" s="11">
        <v>418</v>
      </c>
      <c r="F527" s="17">
        <v>39</v>
      </c>
      <c r="G527" s="17">
        <v>3.5</v>
      </c>
      <c r="H527" s="17">
        <v>9.8000000000000007</v>
      </c>
      <c r="I527" s="17">
        <v>8.3000000000000007</v>
      </c>
      <c r="J527" s="17">
        <v>6.3</v>
      </c>
      <c r="K527" s="17">
        <v>1.8</v>
      </c>
      <c r="L527" s="17">
        <v>37.6</v>
      </c>
      <c r="M527" s="19">
        <v>7.07</v>
      </c>
      <c r="N527" s="19">
        <v>22.16</v>
      </c>
      <c r="O527" s="19">
        <v>6.55</v>
      </c>
      <c r="P527" s="28">
        <v>0.4</v>
      </c>
      <c r="Q527" s="22" t="s">
        <v>100</v>
      </c>
      <c r="R527" s="17">
        <v>77</v>
      </c>
      <c r="S527" s="17">
        <v>0</v>
      </c>
      <c r="T527" s="22" t="s">
        <v>100</v>
      </c>
      <c r="U527" s="17">
        <v>7.3</v>
      </c>
      <c r="V527" s="17">
        <v>151.1</v>
      </c>
      <c r="W527" s="17">
        <v>0.2</v>
      </c>
      <c r="X527" s="17">
        <v>0.7</v>
      </c>
      <c r="Y527" s="17">
        <v>0.5</v>
      </c>
      <c r="Z527" s="17">
        <v>0.1</v>
      </c>
      <c r="AA527" s="17">
        <v>1.7</v>
      </c>
      <c r="AB527" s="22" t="s">
        <v>100</v>
      </c>
      <c r="AC527" s="17">
        <v>16</v>
      </c>
      <c r="AD527" s="17">
        <v>603</v>
      </c>
      <c r="AE527" s="17">
        <v>560</v>
      </c>
      <c r="AF527" s="17">
        <v>306</v>
      </c>
      <c r="AG527" s="17">
        <v>273</v>
      </c>
      <c r="AH527" s="17">
        <v>47</v>
      </c>
      <c r="AI527" s="17">
        <v>0.6</v>
      </c>
      <c r="AJ527" s="17">
        <v>1.3</v>
      </c>
      <c r="AK527" s="17">
        <v>0.1</v>
      </c>
      <c r="AL527" s="22" t="s">
        <v>100</v>
      </c>
      <c r="AM527" s="27">
        <v>0</v>
      </c>
    </row>
    <row r="528" spans="1:39" x14ac:dyDescent="0.25">
      <c r="A528" s="10">
        <v>527</v>
      </c>
      <c r="B528" s="9" t="s">
        <v>641</v>
      </c>
      <c r="C528" s="9" t="s">
        <v>643</v>
      </c>
      <c r="D528" s="10">
        <v>1</v>
      </c>
      <c r="E528" s="11">
        <v>172</v>
      </c>
      <c r="F528" s="17">
        <v>54.7</v>
      </c>
      <c r="G528" s="17">
        <v>3.1</v>
      </c>
      <c r="H528" s="17">
        <v>0.8</v>
      </c>
      <c r="I528" s="17">
        <v>39.9</v>
      </c>
      <c r="J528" s="17">
        <v>33.200000000000003</v>
      </c>
      <c r="K528" s="17">
        <v>0.9</v>
      </c>
      <c r="L528" s="17">
        <v>0.6</v>
      </c>
      <c r="M528" s="19">
        <v>0.05</v>
      </c>
      <c r="N528" s="19">
        <v>0.08</v>
      </c>
      <c r="O528" s="19">
        <v>0.1</v>
      </c>
      <c r="P528" s="28">
        <v>0</v>
      </c>
      <c r="Q528" s="17">
        <v>0</v>
      </c>
      <c r="R528" s="17">
        <v>11</v>
      </c>
      <c r="S528" s="17">
        <v>0.6</v>
      </c>
      <c r="T528" s="17">
        <v>0</v>
      </c>
      <c r="U528" s="17">
        <v>0.8</v>
      </c>
      <c r="V528" s="17">
        <v>1.8</v>
      </c>
      <c r="W528" s="17">
        <v>0</v>
      </c>
      <c r="X528" s="17">
        <v>0.1</v>
      </c>
      <c r="Y528" s="17">
        <v>0.6</v>
      </c>
      <c r="Z528" s="17">
        <v>0.1</v>
      </c>
      <c r="AA528" s="17">
        <v>0.2</v>
      </c>
      <c r="AB528" s="17">
        <v>0</v>
      </c>
      <c r="AC528" s="17">
        <v>2</v>
      </c>
      <c r="AD528" s="17">
        <v>1027</v>
      </c>
      <c r="AE528" s="17">
        <v>232</v>
      </c>
      <c r="AF528" s="17">
        <v>33</v>
      </c>
      <c r="AG528" s="17">
        <v>20</v>
      </c>
      <c r="AH528" s="17">
        <v>13</v>
      </c>
      <c r="AI528" s="17">
        <v>0.6</v>
      </c>
      <c r="AJ528" s="17">
        <v>0.2</v>
      </c>
      <c r="AK528" s="17">
        <v>0.1</v>
      </c>
      <c r="AL528" s="17">
        <v>1.3</v>
      </c>
      <c r="AM528" s="27">
        <v>0</v>
      </c>
    </row>
    <row r="529" spans="1:39" x14ac:dyDescent="0.25">
      <c r="A529" s="10">
        <v>528</v>
      </c>
      <c r="B529" s="9" t="s">
        <v>641</v>
      </c>
      <c r="C529" s="9" t="s">
        <v>644</v>
      </c>
      <c r="D529" s="10">
        <v>1</v>
      </c>
      <c r="E529" s="11">
        <v>105</v>
      </c>
      <c r="F529" s="17">
        <v>80.7</v>
      </c>
      <c r="G529" s="17">
        <v>1.5</v>
      </c>
      <c r="H529" s="17">
        <v>3.8</v>
      </c>
      <c r="I529" s="17">
        <v>7.3</v>
      </c>
      <c r="J529" s="17">
        <v>4.8</v>
      </c>
      <c r="K529" s="17">
        <v>0.1</v>
      </c>
      <c r="L529" s="17">
        <v>6.7</v>
      </c>
      <c r="M529" s="19">
        <v>2.15</v>
      </c>
      <c r="N529" s="19">
        <v>2.67</v>
      </c>
      <c r="O529" s="19">
        <v>1.59</v>
      </c>
      <c r="P529" s="28">
        <v>0.26</v>
      </c>
      <c r="Q529" s="17">
        <v>8</v>
      </c>
      <c r="R529" s="17">
        <v>73</v>
      </c>
      <c r="S529" s="17">
        <v>0.8</v>
      </c>
      <c r="T529" s="17">
        <v>1.2</v>
      </c>
      <c r="U529" s="17">
        <v>0.2</v>
      </c>
      <c r="V529" s="17">
        <v>0.6</v>
      </c>
      <c r="W529" s="17">
        <v>0.1</v>
      </c>
      <c r="X529" s="17">
        <v>0.2</v>
      </c>
      <c r="Y529" s="17">
        <v>0.3</v>
      </c>
      <c r="Z529" s="17">
        <v>0</v>
      </c>
      <c r="AA529" s="17">
        <v>0.3</v>
      </c>
      <c r="AB529" s="17">
        <v>0.3</v>
      </c>
      <c r="AC529" s="17">
        <v>9</v>
      </c>
      <c r="AD529" s="17">
        <v>328</v>
      </c>
      <c r="AE529" s="17">
        <v>163</v>
      </c>
      <c r="AF529" s="17">
        <v>126</v>
      </c>
      <c r="AG529" s="17">
        <v>101</v>
      </c>
      <c r="AH529" s="17">
        <v>15</v>
      </c>
      <c r="AI529" s="17">
        <v>0.2</v>
      </c>
      <c r="AJ529" s="17">
        <v>0.4</v>
      </c>
      <c r="AK529" s="17">
        <v>0</v>
      </c>
      <c r="AL529" s="17">
        <v>3.3</v>
      </c>
      <c r="AM529" s="27">
        <v>0</v>
      </c>
    </row>
    <row r="530" spans="1:39" x14ac:dyDescent="0.25">
      <c r="A530" s="10">
        <v>529</v>
      </c>
      <c r="B530" s="9" t="s">
        <v>641</v>
      </c>
      <c r="C530" s="9" t="s">
        <v>645</v>
      </c>
      <c r="D530" s="10">
        <v>1</v>
      </c>
      <c r="E530" s="11">
        <v>24</v>
      </c>
      <c r="F530" s="17">
        <v>91.3</v>
      </c>
      <c r="G530" s="17">
        <v>1.9</v>
      </c>
      <c r="H530" s="17">
        <v>1.2</v>
      </c>
      <c r="I530" s="17">
        <v>3.8</v>
      </c>
      <c r="J530" s="17">
        <v>3.6</v>
      </c>
      <c r="K530" s="17">
        <v>1.5</v>
      </c>
      <c r="L530" s="17">
        <v>0.3</v>
      </c>
      <c r="M530" s="19">
        <v>0.04</v>
      </c>
      <c r="N530" s="19">
        <v>0.05</v>
      </c>
      <c r="O530" s="19">
        <v>0.12</v>
      </c>
      <c r="P530" s="28">
        <v>0</v>
      </c>
      <c r="Q530" s="17">
        <v>0</v>
      </c>
      <c r="R530" s="17">
        <v>22</v>
      </c>
      <c r="S530" s="17">
        <v>7</v>
      </c>
      <c r="T530" s="17">
        <v>0</v>
      </c>
      <c r="U530" s="17">
        <v>1.4</v>
      </c>
      <c r="V530" s="17">
        <v>2.8</v>
      </c>
      <c r="W530" s="17">
        <v>0</v>
      </c>
      <c r="X530" s="17">
        <v>0.1</v>
      </c>
      <c r="Y530" s="17">
        <v>1</v>
      </c>
      <c r="Z530" s="17">
        <v>0.1</v>
      </c>
      <c r="AA530" s="17">
        <v>0.3</v>
      </c>
      <c r="AB530" s="17">
        <v>0</v>
      </c>
      <c r="AC530" s="17">
        <v>9</v>
      </c>
      <c r="AD530" s="17">
        <v>474</v>
      </c>
      <c r="AE530" s="17">
        <v>297</v>
      </c>
      <c r="AF530" s="17">
        <v>14</v>
      </c>
      <c r="AG530" s="17">
        <v>27</v>
      </c>
      <c r="AH530" s="17">
        <v>15</v>
      </c>
      <c r="AI530" s="17">
        <v>1</v>
      </c>
      <c r="AJ530" s="17">
        <v>0.2</v>
      </c>
      <c r="AK530" s="17">
        <v>0.1</v>
      </c>
      <c r="AL530" s="17">
        <v>0.6</v>
      </c>
      <c r="AM530" s="27">
        <v>0</v>
      </c>
    </row>
    <row r="531" spans="1:39" x14ac:dyDescent="0.25">
      <c r="A531" s="10">
        <v>530</v>
      </c>
      <c r="B531" s="9" t="s">
        <v>641</v>
      </c>
      <c r="C531" s="9" t="s">
        <v>646</v>
      </c>
      <c r="D531" s="10">
        <v>4</v>
      </c>
      <c r="E531" s="11">
        <v>47</v>
      </c>
      <c r="F531" s="27">
        <v>85</v>
      </c>
      <c r="G531" s="27">
        <v>1.9</v>
      </c>
      <c r="H531" s="17">
        <v>1.7</v>
      </c>
      <c r="I531" s="17">
        <v>9.6999999999999993</v>
      </c>
      <c r="J531" s="17">
        <v>9.4</v>
      </c>
      <c r="K531" s="27">
        <v>1.5</v>
      </c>
      <c r="L531" s="17">
        <v>0.2</v>
      </c>
      <c r="M531" s="28">
        <v>0.03</v>
      </c>
      <c r="N531" s="28">
        <v>0.03</v>
      </c>
      <c r="O531" s="28">
        <v>0.08</v>
      </c>
      <c r="P531" s="28">
        <v>0</v>
      </c>
      <c r="Q531" s="27">
        <v>0</v>
      </c>
      <c r="R531" s="27">
        <v>22</v>
      </c>
      <c r="S531" s="27">
        <v>7</v>
      </c>
      <c r="T531" s="27">
        <v>0</v>
      </c>
      <c r="U531" s="27">
        <v>1.4</v>
      </c>
      <c r="V531" s="27">
        <v>2.8</v>
      </c>
      <c r="W531" s="27">
        <v>0</v>
      </c>
      <c r="X531" s="27">
        <v>0.1</v>
      </c>
      <c r="Y531" s="27">
        <v>1</v>
      </c>
      <c r="Z531" s="27">
        <v>0.1</v>
      </c>
      <c r="AA531" s="27">
        <v>0.3</v>
      </c>
      <c r="AB531" s="27">
        <v>0</v>
      </c>
      <c r="AC531" s="27">
        <v>9</v>
      </c>
      <c r="AD531" s="17">
        <v>356</v>
      </c>
      <c r="AE531" s="27">
        <v>297</v>
      </c>
      <c r="AF531" s="27">
        <v>14</v>
      </c>
      <c r="AG531" s="27">
        <v>27</v>
      </c>
      <c r="AH531" s="27">
        <v>15</v>
      </c>
      <c r="AI531" s="27">
        <v>1</v>
      </c>
      <c r="AJ531" s="27">
        <v>0.2</v>
      </c>
      <c r="AK531" s="27">
        <v>0.1</v>
      </c>
      <c r="AL531" s="27">
        <v>0.6</v>
      </c>
      <c r="AM531" s="27">
        <v>0</v>
      </c>
    </row>
    <row r="532" spans="1:39" x14ac:dyDescent="0.25">
      <c r="A532" s="10">
        <v>531</v>
      </c>
      <c r="B532" s="9" t="s">
        <v>641</v>
      </c>
      <c r="C532" s="9" t="s">
        <v>647</v>
      </c>
      <c r="D532" s="10">
        <v>1</v>
      </c>
      <c r="E532" s="11">
        <v>42</v>
      </c>
      <c r="F532" s="17">
        <v>86.1</v>
      </c>
      <c r="G532" s="17">
        <v>2.2000000000000002</v>
      </c>
      <c r="H532" s="17">
        <v>1.6</v>
      </c>
      <c r="I532" s="17">
        <v>8.1999999999999993</v>
      </c>
      <c r="J532" s="27">
        <v>5.6</v>
      </c>
      <c r="K532" s="17">
        <v>1.8</v>
      </c>
      <c r="L532" s="17">
        <v>0.2</v>
      </c>
      <c r="M532" s="19">
        <v>0.03</v>
      </c>
      <c r="N532" s="19">
        <v>0.03</v>
      </c>
      <c r="O532" s="19">
        <v>0.08</v>
      </c>
      <c r="P532" s="28">
        <v>0</v>
      </c>
      <c r="Q532" s="17">
        <v>0</v>
      </c>
      <c r="R532" s="17">
        <v>43</v>
      </c>
      <c r="S532" s="17">
        <v>12.7</v>
      </c>
      <c r="T532" s="17">
        <v>0</v>
      </c>
      <c r="U532" s="27">
        <v>2.8</v>
      </c>
      <c r="V532" s="27">
        <v>15.9</v>
      </c>
      <c r="W532" s="17">
        <v>0.1</v>
      </c>
      <c r="X532" s="17">
        <v>0.1</v>
      </c>
      <c r="Y532" s="17">
        <v>1.2</v>
      </c>
      <c r="Z532" s="17">
        <v>0.3</v>
      </c>
      <c r="AA532" s="17">
        <v>0.4</v>
      </c>
      <c r="AB532" s="17">
        <v>0</v>
      </c>
      <c r="AC532" s="17">
        <v>22</v>
      </c>
      <c r="AD532" s="17">
        <v>551</v>
      </c>
      <c r="AE532" s="17">
        <v>413</v>
      </c>
      <c r="AF532" s="17">
        <v>17</v>
      </c>
      <c r="AG532" s="17">
        <v>39</v>
      </c>
      <c r="AH532" s="17">
        <v>19</v>
      </c>
      <c r="AI532" s="17">
        <v>0.9</v>
      </c>
      <c r="AJ532" s="17">
        <v>0.2</v>
      </c>
      <c r="AK532" s="17">
        <v>0.2</v>
      </c>
      <c r="AL532" s="17">
        <v>0.8</v>
      </c>
      <c r="AM532" s="27">
        <v>0</v>
      </c>
    </row>
    <row r="533" spans="1:39" x14ac:dyDescent="0.25">
      <c r="A533" s="10">
        <v>532</v>
      </c>
      <c r="B533" s="9" t="s">
        <v>641</v>
      </c>
      <c r="C533" s="9" t="s">
        <v>648</v>
      </c>
      <c r="D533" s="10">
        <v>1</v>
      </c>
      <c r="E533" s="11">
        <v>211</v>
      </c>
      <c r="F533" s="17">
        <v>67</v>
      </c>
      <c r="G533" s="17">
        <v>2</v>
      </c>
      <c r="H533" s="17">
        <v>1</v>
      </c>
      <c r="I533" s="17">
        <v>12.8</v>
      </c>
      <c r="J533" s="17">
        <v>4.3</v>
      </c>
      <c r="K533" s="17">
        <v>0.5</v>
      </c>
      <c r="L533" s="17">
        <v>16.7</v>
      </c>
      <c r="M533" s="19">
        <v>3.33</v>
      </c>
      <c r="N533" s="19">
        <v>3.61</v>
      </c>
      <c r="O533" s="19">
        <v>9.0399999999999991</v>
      </c>
      <c r="P533" s="22" t="s">
        <v>100</v>
      </c>
      <c r="Q533" s="17">
        <v>7</v>
      </c>
      <c r="R533" s="17">
        <v>11</v>
      </c>
      <c r="S533" s="17">
        <v>2.2999999999999998</v>
      </c>
      <c r="T533" s="17">
        <v>0</v>
      </c>
      <c r="U533" s="17">
        <v>1.7</v>
      </c>
      <c r="V533" s="17">
        <v>50.4</v>
      </c>
      <c r="W533" s="17">
        <v>0</v>
      </c>
      <c r="X533" s="17">
        <v>0</v>
      </c>
      <c r="Y533" s="17">
        <v>0.1</v>
      </c>
      <c r="Z533" s="17">
        <v>0</v>
      </c>
      <c r="AA533" s="17">
        <v>0.1</v>
      </c>
      <c r="AB533" s="17">
        <v>0</v>
      </c>
      <c r="AC533" s="17">
        <v>5</v>
      </c>
      <c r="AD533" s="17">
        <v>667</v>
      </c>
      <c r="AE533" s="17">
        <v>68</v>
      </c>
      <c r="AF533" s="17">
        <v>26</v>
      </c>
      <c r="AG533" s="17">
        <v>17</v>
      </c>
      <c r="AH533" s="17">
        <v>6</v>
      </c>
      <c r="AI533" s="17">
        <v>0.3</v>
      </c>
      <c r="AJ533" s="17">
        <v>0.1</v>
      </c>
      <c r="AK533" s="17">
        <v>0</v>
      </c>
      <c r="AL533" s="17">
        <v>0.9</v>
      </c>
      <c r="AM533" s="27">
        <v>0</v>
      </c>
    </row>
    <row r="534" spans="1:39" x14ac:dyDescent="0.25">
      <c r="A534" s="10">
        <v>533</v>
      </c>
      <c r="B534" s="9" t="s">
        <v>641</v>
      </c>
      <c r="C534" s="9" t="s">
        <v>649</v>
      </c>
      <c r="D534" s="10">
        <v>1</v>
      </c>
      <c r="E534" s="11">
        <v>89</v>
      </c>
      <c r="F534" s="17">
        <v>67.7</v>
      </c>
      <c r="G534" s="17">
        <v>10.4</v>
      </c>
      <c r="H534" s="17">
        <v>5.9</v>
      </c>
      <c r="I534" s="17">
        <v>15.8</v>
      </c>
      <c r="J534" s="17">
        <v>14.1</v>
      </c>
      <c r="K534" s="17">
        <v>0.1</v>
      </c>
      <c r="L534" s="17">
        <v>0</v>
      </c>
      <c r="M534" s="19">
        <v>0</v>
      </c>
      <c r="N534" s="19">
        <v>0</v>
      </c>
      <c r="O534" s="19">
        <v>0</v>
      </c>
      <c r="P534" s="28">
        <v>0</v>
      </c>
      <c r="Q534" s="17">
        <v>0</v>
      </c>
      <c r="R534" s="17">
        <v>0</v>
      </c>
      <c r="S534" s="17">
        <v>0</v>
      </c>
      <c r="T534" s="17">
        <v>0</v>
      </c>
      <c r="U534" s="17">
        <v>0</v>
      </c>
      <c r="V534" s="17">
        <v>0</v>
      </c>
      <c r="W534" s="17">
        <v>0</v>
      </c>
      <c r="X534" s="17">
        <v>0.1</v>
      </c>
      <c r="Y534" s="17">
        <v>1.3</v>
      </c>
      <c r="Z534" s="17">
        <v>0.1</v>
      </c>
      <c r="AA534" s="17">
        <v>0.2</v>
      </c>
      <c r="AB534" s="17">
        <v>0</v>
      </c>
      <c r="AC534" s="17">
        <v>8</v>
      </c>
      <c r="AD534" s="17">
        <v>3833</v>
      </c>
      <c r="AE534" s="17">
        <v>225</v>
      </c>
      <c r="AF534" s="17">
        <v>25</v>
      </c>
      <c r="AG534" s="17">
        <v>154</v>
      </c>
      <c r="AH534" s="17">
        <v>61</v>
      </c>
      <c r="AI534" s="17">
        <v>1.7</v>
      </c>
      <c r="AJ534" s="17">
        <v>0.1</v>
      </c>
      <c r="AK534" s="17">
        <v>0.1</v>
      </c>
      <c r="AL534" s="17">
        <v>1.1000000000000001</v>
      </c>
      <c r="AM534" s="27">
        <v>0</v>
      </c>
    </row>
    <row r="535" spans="1:39" x14ac:dyDescent="0.25">
      <c r="A535" s="10">
        <v>534</v>
      </c>
      <c r="B535" s="9" t="s">
        <v>641</v>
      </c>
      <c r="C535" s="9" t="s">
        <v>650</v>
      </c>
      <c r="D535" s="10">
        <v>1</v>
      </c>
      <c r="E535" s="11">
        <v>38</v>
      </c>
      <c r="F535" s="17">
        <v>89.5</v>
      </c>
      <c r="G535" s="17">
        <v>2.1</v>
      </c>
      <c r="H535" s="17">
        <v>1.1000000000000001</v>
      </c>
      <c r="I535" s="17">
        <v>4.5</v>
      </c>
      <c r="J535" s="17">
        <v>3.5</v>
      </c>
      <c r="K535" s="17">
        <v>1.9</v>
      </c>
      <c r="L535" s="17">
        <v>0.9</v>
      </c>
      <c r="M535" s="19">
        <v>0</v>
      </c>
      <c r="N535" s="19">
        <v>0</v>
      </c>
      <c r="O535" s="19">
        <v>0</v>
      </c>
      <c r="P535" s="22" t="s">
        <v>100</v>
      </c>
      <c r="Q535" s="17">
        <v>0</v>
      </c>
      <c r="R535" s="17">
        <v>11</v>
      </c>
      <c r="S535" s="17">
        <v>12.3</v>
      </c>
      <c r="T535" s="17">
        <v>0</v>
      </c>
      <c r="U535" s="17">
        <v>0.4</v>
      </c>
      <c r="V535" s="17">
        <v>13.6</v>
      </c>
      <c r="W535" s="17">
        <v>0</v>
      </c>
      <c r="X535" s="17">
        <v>0</v>
      </c>
      <c r="Y535" s="17">
        <v>1.6</v>
      </c>
      <c r="Z535" s="17">
        <v>0.1</v>
      </c>
      <c r="AA535" s="17">
        <v>0.2</v>
      </c>
      <c r="AB535" s="17">
        <v>0</v>
      </c>
      <c r="AC535" s="17">
        <v>8</v>
      </c>
      <c r="AD535" s="17">
        <v>600</v>
      </c>
      <c r="AE535" s="17">
        <v>259</v>
      </c>
      <c r="AF535" s="17">
        <v>9</v>
      </c>
      <c r="AG535" s="17">
        <v>41</v>
      </c>
      <c r="AH535" s="17">
        <v>19</v>
      </c>
      <c r="AI535" s="17">
        <v>0.7</v>
      </c>
      <c r="AJ535" s="17">
        <v>0.3</v>
      </c>
      <c r="AK535" s="17">
        <v>0.1</v>
      </c>
      <c r="AL535" s="17">
        <v>0.8</v>
      </c>
      <c r="AM535" s="27">
        <v>0</v>
      </c>
    </row>
    <row r="536" spans="1:39" x14ac:dyDescent="0.25">
      <c r="A536" s="10">
        <v>535</v>
      </c>
      <c r="B536" s="9" t="s">
        <v>651</v>
      </c>
      <c r="C536" s="9" t="s">
        <v>652</v>
      </c>
      <c r="D536" s="10">
        <v>1</v>
      </c>
      <c r="E536" s="11">
        <v>331</v>
      </c>
      <c r="F536" s="17">
        <v>6.5</v>
      </c>
      <c r="G536" s="17">
        <v>3.5</v>
      </c>
      <c r="H536" s="17">
        <v>16.600000000000001</v>
      </c>
      <c r="I536" s="17">
        <v>63.7</v>
      </c>
      <c r="J536" s="17">
        <v>2.4</v>
      </c>
      <c r="K536" s="17">
        <v>9</v>
      </c>
      <c r="L536" s="17">
        <v>0.7</v>
      </c>
      <c r="M536" s="19">
        <v>0.25</v>
      </c>
      <c r="N536" s="19">
        <v>0.12</v>
      </c>
      <c r="O536" s="19">
        <v>0.18</v>
      </c>
      <c r="P536" s="28">
        <v>0</v>
      </c>
      <c r="Q536" s="17">
        <v>0</v>
      </c>
      <c r="R536" s="17">
        <v>0</v>
      </c>
      <c r="S536" s="17">
        <v>1.2</v>
      </c>
      <c r="T536" s="17">
        <v>0</v>
      </c>
      <c r="U536" s="17">
        <v>0.7</v>
      </c>
      <c r="V536" s="17">
        <v>0.4</v>
      </c>
      <c r="W536" s="17">
        <v>0.4</v>
      </c>
      <c r="X536" s="17">
        <v>0.1</v>
      </c>
      <c r="Y536" s="17">
        <v>0.8</v>
      </c>
      <c r="Z536" s="17">
        <v>1.7</v>
      </c>
      <c r="AA536" s="17">
        <v>0.7</v>
      </c>
      <c r="AB536" s="17">
        <v>0</v>
      </c>
      <c r="AC536" s="17">
        <v>47</v>
      </c>
      <c r="AD536" s="17">
        <v>60</v>
      </c>
      <c r="AE536" s="17">
        <v>1193</v>
      </c>
      <c r="AF536" s="17">
        <v>79</v>
      </c>
      <c r="AG536" s="17">
        <v>414</v>
      </c>
      <c r="AH536" s="17">
        <v>77</v>
      </c>
      <c r="AI536" s="17">
        <v>5.7</v>
      </c>
      <c r="AJ536" s="17">
        <v>3</v>
      </c>
      <c r="AK536" s="17">
        <v>0.5</v>
      </c>
      <c r="AL536" s="17">
        <v>23.9</v>
      </c>
      <c r="AM536" s="27">
        <v>0</v>
      </c>
    </row>
    <row r="537" spans="1:39" x14ac:dyDescent="0.25">
      <c r="A537" s="10">
        <v>536</v>
      </c>
      <c r="B537" s="9" t="s">
        <v>651</v>
      </c>
      <c r="C537" s="9" t="s">
        <v>653</v>
      </c>
      <c r="D537" s="10">
        <v>1</v>
      </c>
      <c r="E537" s="11">
        <v>23</v>
      </c>
      <c r="F537" s="17">
        <v>92.1</v>
      </c>
      <c r="G537" s="17">
        <v>1.5</v>
      </c>
      <c r="H537" s="17">
        <v>3.2</v>
      </c>
      <c r="I537" s="17">
        <v>1.1000000000000001</v>
      </c>
      <c r="J537" s="17">
        <v>0.3</v>
      </c>
      <c r="K537" s="17">
        <v>1.6</v>
      </c>
      <c r="L537" s="17">
        <v>0.6</v>
      </c>
      <c r="M537" s="19">
        <v>0.04</v>
      </c>
      <c r="N537" s="19">
        <v>0.09</v>
      </c>
      <c r="O537" s="19">
        <v>0.39</v>
      </c>
      <c r="P537" s="28">
        <v>0</v>
      </c>
      <c r="Q537" s="17">
        <v>0</v>
      </c>
      <c r="R537" s="17">
        <v>264</v>
      </c>
      <c r="S537" s="17">
        <v>18</v>
      </c>
      <c r="T537" s="17">
        <v>0</v>
      </c>
      <c r="U537" s="17">
        <v>0.8</v>
      </c>
      <c r="V537" s="17">
        <v>414.8</v>
      </c>
      <c r="W537" s="17">
        <v>0</v>
      </c>
      <c r="X537" s="17">
        <v>0.1</v>
      </c>
      <c r="Y537" s="17">
        <v>0.9</v>
      </c>
      <c r="Z537" s="17">
        <v>0.2</v>
      </c>
      <c r="AA537" s="17">
        <v>0.2</v>
      </c>
      <c r="AB537" s="17">
        <v>0</v>
      </c>
      <c r="AC537" s="17">
        <v>68</v>
      </c>
      <c r="AD537" s="17">
        <v>4</v>
      </c>
      <c r="AE537" s="17">
        <v>295</v>
      </c>
      <c r="AF537" s="17">
        <v>177</v>
      </c>
      <c r="AG537" s="17">
        <v>56</v>
      </c>
      <c r="AH537" s="17">
        <v>64</v>
      </c>
      <c r="AI537" s="17">
        <v>3.2</v>
      </c>
      <c r="AJ537" s="17">
        <v>0.8</v>
      </c>
      <c r="AK537" s="17">
        <v>0.4</v>
      </c>
      <c r="AL537" s="17">
        <v>0.3</v>
      </c>
      <c r="AM537" s="27">
        <v>0</v>
      </c>
    </row>
    <row r="538" spans="1:39" x14ac:dyDescent="0.25">
      <c r="A538" s="10">
        <v>537</v>
      </c>
      <c r="B538" s="9" t="s">
        <v>651</v>
      </c>
      <c r="C538" s="9" t="s">
        <v>654</v>
      </c>
      <c r="D538" s="10">
        <v>1</v>
      </c>
      <c r="E538" s="11">
        <v>233</v>
      </c>
      <c r="F538" s="17">
        <v>10.4</v>
      </c>
      <c r="G538" s="17">
        <v>14.9</v>
      </c>
      <c r="H538" s="17">
        <v>23</v>
      </c>
      <c r="I538" s="17">
        <v>10.1</v>
      </c>
      <c r="J538" s="17">
        <v>1.7</v>
      </c>
      <c r="K538" s="17">
        <v>37.700000000000003</v>
      </c>
      <c r="L538" s="17">
        <v>4.0999999999999996</v>
      </c>
      <c r="M538" s="19">
        <v>2.16</v>
      </c>
      <c r="N538" s="19">
        <v>1.24</v>
      </c>
      <c r="O538" s="19">
        <v>0.5</v>
      </c>
      <c r="P538" s="28">
        <v>0</v>
      </c>
      <c r="Q538" s="17">
        <v>0</v>
      </c>
      <c r="R538" s="17">
        <v>37</v>
      </c>
      <c r="S538" s="17">
        <v>0.8</v>
      </c>
      <c r="T538" s="17">
        <v>0</v>
      </c>
      <c r="U538" s="17">
        <v>10.7</v>
      </c>
      <c r="V538" s="17">
        <v>1714.5</v>
      </c>
      <c r="W538" s="17">
        <v>0.1</v>
      </c>
      <c r="X538" s="17">
        <v>1.2</v>
      </c>
      <c r="Y538" s="17">
        <v>4.9000000000000004</v>
      </c>
      <c r="Z538" s="17">
        <v>1.3</v>
      </c>
      <c r="AA538" s="17">
        <v>0.8</v>
      </c>
      <c r="AB538" s="17">
        <v>0</v>
      </c>
      <c r="AC538" s="17">
        <v>310</v>
      </c>
      <c r="AD538" s="17">
        <v>76</v>
      </c>
      <c r="AE538" s="17">
        <v>2630</v>
      </c>
      <c r="AF538" s="17">
        <v>2240</v>
      </c>
      <c r="AG538" s="17">
        <v>274</v>
      </c>
      <c r="AH538" s="17">
        <v>711</v>
      </c>
      <c r="AI538" s="17">
        <v>89.8</v>
      </c>
      <c r="AJ538" s="17">
        <v>7.1</v>
      </c>
      <c r="AK538" s="17">
        <v>2.1</v>
      </c>
      <c r="AL538" s="17">
        <v>3</v>
      </c>
      <c r="AM538" s="27">
        <v>0</v>
      </c>
    </row>
    <row r="539" spans="1:39" x14ac:dyDescent="0.25">
      <c r="A539" s="10">
        <v>538</v>
      </c>
      <c r="B539" s="9" t="s">
        <v>651</v>
      </c>
      <c r="C539" s="9" t="s">
        <v>655</v>
      </c>
      <c r="D539" s="10">
        <v>1</v>
      </c>
      <c r="E539" s="11">
        <v>310</v>
      </c>
      <c r="F539" s="17">
        <v>11.9</v>
      </c>
      <c r="G539" s="17">
        <v>5.5</v>
      </c>
      <c r="H539" s="17">
        <v>11.4</v>
      </c>
      <c r="I539" s="17">
        <v>61.5</v>
      </c>
      <c r="J539" s="22" t="s">
        <v>100</v>
      </c>
      <c r="K539" s="17">
        <v>3.9</v>
      </c>
      <c r="L539" s="17">
        <v>5.9</v>
      </c>
      <c r="M539" s="19">
        <v>1.59</v>
      </c>
      <c r="N539" s="19">
        <v>0.43</v>
      </c>
      <c r="O539" s="19">
        <v>2.0699999999999998</v>
      </c>
      <c r="P539" s="28">
        <v>0</v>
      </c>
      <c r="Q539" s="17">
        <v>0</v>
      </c>
      <c r="R539" s="17">
        <v>27</v>
      </c>
      <c r="S539" s="17">
        <v>80.8</v>
      </c>
      <c r="T539" s="17">
        <v>0</v>
      </c>
      <c r="U539" s="22" t="s">
        <v>100</v>
      </c>
      <c r="V539" s="22" t="s">
        <v>100</v>
      </c>
      <c r="W539" s="17">
        <v>0.1</v>
      </c>
      <c r="X539" s="17">
        <v>0.3</v>
      </c>
      <c r="Y539" s="17">
        <v>1.5</v>
      </c>
      <c r="Z539" s="17">
        <v>1</v>
      </c>
      <c r="AA539" s="22" t="s">
        <v>100</v>
      </c>
      <c r="AB539" s="17">
        <v>0</v>
      </c>
      <c r="AC539" s="17">
        <v>93</v>
      </c>
      <c r="AD539" s="17">
        <v>148</v>
      </c>
      <c r="AE539" s="17">
        <v>1724</v>
      </c>
      <c r="AF539" s="17">
        <v>111</v>
      </c>
      <c r="AG539" s="17">
        <v>252</v>
      </c>
      <c r="AH539" s="17">
        <v>264</v>
      </c>
      <c r="AI539" s="17">
        <v>11.1</v>
      </c>
      <c r="AJ539" s="17">
        <v>1.1000000000000001</v>
      </c>
      <c r="AK539" s="17">
        <v>0.3</v>
      </c>
      <c r="AL539" s="17">
        <v>5.6</v>
      </c>
      <c r="AM539" s="27">
        <v>0</v>
      </c>
    </row>
    <row r="540" spans="1:39" x14ac:dyDescent="0.25">
      <c r="A540" s="10">
        <v>539</v>
      </c>
      <c r="B540" s="9" t="s">
        <v>651</v>
      </c>
      <c r="C540" s="9" t="s">
        <v>656</v>
      </c>
      <c r="D540" s="10">
        <v>1</v>
      </c>
      <c r="E540" s="11">
        <v>247</v>
      </c>
      <c r="F540" s="17">
        <v>10.6</v>
      </c>
      <c r="G540" s="17">
        <v>3.6</v>
      </c>
      <c r="H540" s="17">
        <v>4</v>
      </c>
      <c r="I540" s="17">
        <v>27.5</v>
      </c>
      <c r="J540" s="17">
        <v>2.2000000000000002</v>
      </c>
      <c r="K540" s="17">
        <v>53.1</v>
      </c>
      <c r="L540" s="17">
        <v>1.2</v>
      </c>
      <c r="M540" s="19">
        <v>0.35</v>
      </c>
      <c r="N540" s="19">
        <v>0.25</v>
      </c>
      <c r="O540" s="19">
        <v>7.0000000000000007E-2</v>
      </c>
      <c r="P540" s="28">
        <v>0</v>
      </c>
      <c r="Q540" s="17">
        <v>0</v>
      </c>
      <c r="R540" s="17">
        <v>15</v>
      </c>
      <c r="S540" s="17">
        <v>3.8</v>
      </c>
      <c r="T540" s="17">
        <v>0</v>
      </c>
      <c r="U540" s="17">
        <v>2.2999999999999998</v>
      </c>
      <c r="V540" s="17">
        <v>31.2</v>
      </c>
      <c r="W540" s="17">
        <v>0</v>
      </c>
      <c r="X540" s="17">
        <v>0</v>
      </c>
      <c r="Y540" s="17">
        <v>1.3</v>
      </c>
      <c r="Z540" s="17">
        <v>0.2</v>
      </c>
      <c r="AA540" s="17">
        <v>0.4</v>
      </c>
      <c r="AB540" s="17">
        <v>0</v>
      </c>
      <c r="AC540" s="17">
        <v>6</v>
      </c>
      <c r="AD540" s="17">
        <v>10</v>
      </c>
      <c r="AE540" s="17">
        <v>431</v>
      </c>
      <c r="AF540" s="17">
        <v>1002</v>
      </c>
      <c r="AG540" s="17">
        <v>64</v>
      </c>
      <c r="AH540" s="17">
        <v>60</v>
      </c>
      <c r="AI540" s="17">
        <v>8.3000000000000007</v>
      </c>
      <c r="AJ540" s="17">
        <v>1.8</v>
      </c>
      <c r="AK540" s="17">
        <v>0.3</v>
      </c>
      <c r="AL540" s="17">
        <v>3.1</v>
      </c>
      <c r="AM540" s="27">
        <v>0</v>
      </c>
    </row>
    <row r="541" spans="1:39" x14ac:dyDescent="0.25">
      <c r="A541" s="10">
        <v>540</v>
      </c>
      <c r="B541" s="9" t="s">
        <v>651</v>
      </c>
      <c r="C541" s="9" t="s">
        <v>657</v>
      </c>
      <c r="D541" s="10">
        <v>1</v>
      </c>
      <c r="E541" s="11">
        <v>311</v>
      </c>
      <c r="F541" s="17">
        <v>8.3000000000000007</v>
      </c>
      <c r="G541" s="17">
        <v>5.8</v>
      </c>
      <c r="H541" s="17">
        <v>10.8</v>
      </c>
      <c r="I541" s="17">
        <v>40.5</v>
      </c>
      <c r="J541" s="22" t="s">
        <v>100</v>
      </c>
      <c r="K541" s="17">
        <v>28</v>
      </c>
      <c r="L541" s="17">
        <v>6.7</v>
      </c>
      <c r="M541" s="19">
        <v>0.68</v>
      </c>
      <c r="N541" s="19">
        <v>0.87</v>
      </c>
      <c r="O541" s="19">
        <v>0.43</v>
      </c>
      <c r="P541" s="28">
        <v>0</v>
      </c>
      <c r="Q541" s="17">
        <v>0</v>
      </c>
      <c r="R541" s="17">
        <v>0</v>
      </c>
      <c r="S541" s="17">
        <v>21</v>
      </c>
      <c r="T541" s="17">
        <v>0</v>
      </c>
      <c r="U541" s="22" t="s">
        <v>100</v>
      </c>
      <c r="V541" s="22" t="s">
        <v>100</v>
      </c>
      <c r="W541" s="17">
        <v>0.2</v>
      </c>
      <c r="X541" s="17">
        <v>0.2</v>
      </c>
      <c r="Y541" s="17">
        <v>1.1000000000000001</v>
      </c>
      <c r="Z541" s="17">
        <v>0.2</v>
      </c>
      <c r="AA541" s="22" t="s">
        <v>100</v>
      </c>
      <c r="AB541" s="17">
        <v>0</v>
      </c>
      <c r="AC541" s="22" t="s">
        <v>100</v>
      </c>
      <c r="AD541" s="17">
        <v>18</v>
      </c>
      <c r="AE541" s="17">
        <v>1119</v>
      </c>
      <c r="AF541" s="17">
        <v>383</v>
      </c>
      <c r="AG541" s="17">
        <v>178</v>
      </c>
      <c r="AH541" s="17">
        <v>229</v>
      </c>
      <c r="AI541" s="17">
        <v>14</v>
      </c>
      <c r="AJ541" s="17">
        <v>7.5</v>
      </c>
      <c r="AK541" s="17">
        <v>0.4</v>
      </c>
      <c r="AL541" s="22" t="s">
        <v>100</v>
      </c>
      <c r="AM541" s="27">
        <v>0</v>
      </c>
    </row>
    <row r="542" spans="1:39" x14ac:dyDescent="0.25">
      <c r="A542" s="10">
        <v>541</v>
      </c>
      <c r="B542" s="9" t="s">
        <v>651</v>
      </c>
      <c r="C542" s="9" t="s">
        <v>658</v>
      </c>
      <c r="D542" s="10">
        <v>1</v>
      </c>
      <c r="E542" s="11">
        <v>341</v>
      </c>
      <c r="F542" s="17">
        <v>5.4</v>
      </c>
      <c r="G542" s="17">
        <v>4</v>
      </c>
      <c r="H542" s="17">
        <v>10.4</v>
      </c>
      <c r="I542" s="17">
        <v>63.9</v>
      </c>
      <c r="J542" s="17">
        <v>6.6</v>
      </c>
      <c r="K542" s="17">
        <v>15.2</v>
      </c>
      <c r="L542" s="17">
        <v>1</v>
      </c>
      <c r="M542" s="19">
        <v>0.22</v>
      </c>
      <c r="N542" s="19">
        <v>0.2</v>
      </c>
      <c r="O542" s="19">
        <v>0.31</v>
      </c>
      <c r="P542" s="28">
        <v>0</v>
      </c>
      <c r="Q542" s="17">
        <v>0</v>
      </c>
      <c r="R542" s="17">
        <v>0</v>
      </c>
      <c r="S542" s="17">
        <v>23.4</v>
      </c>
      <c r="T542" s="17">
        <v>0</v>
      </c>
      <c r="U542" s="17">
        <v>0.3</v>
      </c>
      <c r="V542" s="17">
        <v>4.0999999999999996</v>
      </c>
      <c r="W542" s="17">
        <v>0.5</v>
      </c>
      <c r="X542" s="17">
        <v>0.1</v>
      </c>
      <c r="Y542" s="17">
        <v>0.3</v>
      </c>
      <c r="Z542" s="17">
        <v>0.7</v>
      </c>
      <c r="AA542" s="17">
        <v>0.7</v>
      </c>
      <c r="AB542" s="17">
        <v>0</v>
      </c>
      <c r="AC542" s="17">
        <v>64</v>
      </c>
      <c r="AD542" s="17">
        <v>73</v>
      </c>
      <c r="AE542" s="17">
        <v>985</v>
      </c>
      <c r="AF542" s="17">
        <v>384</v>
      </c>
      <c r="AG542" s="17">
        <v>322</v>
      </c>
      <c r="AH542" s="17">
        <v>113</v>
      </c>
      <c r="AI542" s="17">
        <v>3.9</v>
      </c>
      <c r="AJ542" s="17">
        <v>4.0999999999999996</v>
      </c>
      <c r="AK542" s="17">
        <v>0.6</v>
      </c>
      <c r="AL542" s="17">
        <v>14.3</v>
      </c>
      <c r="AM542" s="27">
        <v>0</v>
      </c>
    </row>
    <row r="543" spans="1:39" x14ac:dyDescent="0.25">
      <c r="A543" s="10">
        <v>542</v>
      </c>
      <c r="B543" s="9" t="s">
        <v>651</v>
      </c>
      <c r="C543" s="9" t="s">
        <v>659</v>
      </c>
      <c r="D543" s="10">
        <v>1</v>
      </c>
      <c r="E543" s="11">
        <v>274</v>
      </c>
      <c r="F543" s="17">
        <v>9.9</v>
      </c>
      <c r="G543" s="17">
        <v>5.6</v>
      </c>
      <c r="H543" s="17">
        <v>6</v>
      </c>
      <c r="I543" s="17">
        <v>31.6</v>
      </c>
      <c r="J543" s="17">
        <v>2.4</v>
      </c>
      <c r="K543" s="17">
        <v>33.9</v>
      </c>
      <c r="L543" s="17">
        <v>13</v>
      </c>
      <c r="M543" s="19">
        <v>3.95</v>
      </c>
      <c r="N543" s="19">
        <v>1.39</v>
      </c>
      <c r="O543" s="19">
        <v>3.61</v>
      </c>
      <c r="P543" s="28">
        <v>0.25</v>
      </c>
      <c r="Q543" s="17">
        <v>0</v>
      </c>
      <c r="R543" s="17">
        <v>8</v>
      </c>
      <c r="S543" s="17">
        <v>0.2</v>
      </c>
      <c r="T543" s="17">
        <v>0</v>
      </c>
      <c r="U543" s="17">
        <v>8.8000000000000007</v>
      </c>
      <c r="V543" s="17">
        <v>141.80000000000001</v>
      </c>
      <c r="W543" s="17">
        <v>0.2</v>
      </c>
      <c r="X543" s="17">
        <v>0.2</v>
      </c>
      <c r="Y543" s="17">
        <v>1.6</v>
      </c>
      <c r="Z543" s="17">
        <v>0.4</v>
      </c>
      <c r="AA543" s="17">
        <v>0.5</v>
      </c>
      <c r="AB543" s="17">
        <v>0</v>
      </c>
      <c r="AC543" s="17">
        <v>25</v>
      </c>
      <c r="AD543" s="17">
        <v>277</v>
      </c>
      <c r="AE543" s="17">
        <v>1020</v>
      </c>
      <c r="AF543" s="17">
        <v>632</v>
      </c>
      <c r="AG543" s="17">
        <v>104</v>
      </c>
      <c r="AH543" s="17">
        <v>259</v>
      </c>
      <c r="AI543" s="17">
        <v>11.8</v>
      </c>
      <c r="AJ543" s="17">
        <v>2.2999999999999998</v>
      </c>
      <c r="AK543" s="17">
        <v>0.4</v>
      </c>
      <c r="AL543" s="17">
        <v>7.2</v>
      </c>
      <c r="AM543" s="27">
        <v>0</v>
      </c>
    </row>
    <row r="544" spans="1:39" x14ac:dyDescent="0.25">
      <c r="A544" s="10">
        <v>543</v>
      </c>
      <c r="B544" s="9" t="s">
        <v>651</v>
      </c>
      <c r="C544" s="9" t="s">
        <v>660</v>
      </c>
      <c r="D544" s="10">
        <v>1</v>
      </c>
      <c r="E544" s="11">
        <v>312</v>
      </c>
      <c r="F544" s="17">
        <v>12.9</v>
      </c>
      <c r="G544" s="17">
        <v>7.1</v>
      </c>
      <c r="H544" s="17">
        <v>9.6999999999999993</v>
      </c>
      <c r="I544" s="17">
        <v>44.4</v>
      </c>
      <c r="J544" s="17">
        <v>3.2</v>
      </c>
      <c r="K544" s="17">
        <v>22.7</v>
      </c>
      <c r="L544" s="17">
        <v>3.3</v>
      </c>
      <c r="M544" s="19">
        <v>1.84</v>
      </c>
      <c r="N544" s="19">
        <v>0.45</v>
      </c>
      <c r="O544" s="19">
        <v>0.76</v>
      </c>
      <c r="P544" s="28">
        <v>0.06</v>
      </c>
      <c r="Q544" s="17">
        <v>0</v>
      </c>
      <c r="R544" s="17">
        <v>0</v>
      </c>
      <c r="S544" s="17">
        <v>0.7</v>
      </c>
      <c r="T544" s="17">
        <v>0</v>
      </c>
      <c r="U544" s="17">
        <v>4.4000000000000004</v>
      </c>
      <c r="V544" s="17">
        <v>13.4</v>
      </c>
      <c r="W544" s="17">
        <v>0.1</v>
      </c>
      <c r="X544" s="17">
        <v>0.2</v>
      </c>
      <c r="Y544" s="17">
        <v>1.4</v>
      </c>
      <c r="Z544" s="17">
        <v>0.1</v>
      </c>
      <c r="AA544" s="17">
        <v>0.5</v>
      </c>
      <c r="AB544" s="17">
        <v>0</v>
      </c>
      <c r="AC544" s="17">
        <v>20</v>
      </c>
      <c r="AD544" s="17">
        <v>27</v>
      </c>
      <c r="AE544" s="17">
        <v>2080</v>
      </c>
      <c r="AF544" s="17">
        <v>168</v>
      </c>
      <c r="AG544" s="17">
        <v>299</v>
      </c>
      <c r="AH544" s="17">
        <v>208</v>
      </c>
      <c r="AI544" s="17">
        <v>55</v>
      </c>
      <c r="AJ544" s="17">
        <v>4.5</v>
      </c>
      <c r="AK544" s="17">
        <v>1.3</v>
      </c>
      <c r="AL544" s="17">
        <v>6.2</v>
      </c>
      <c r="AM544" s="27">
        <v>0</v>
      </c>
    </row>
    <row r="545" spans="1:39" x14ac:dyDescent="0.25">
      <c r="A545" s="10">
        <v>544</v>
      </c>
      <c r="B545" s="9" t="s">
        <v>651</v>
      </c>
      <c r="C545" s="9" t="s">
        <v>661</v>
      </c>
      <c r="D545" s="10">
        <v>1</v>
      </c>
      <c r="E545" s="11">
        <v>325</v>
      </c>
      <c r="F545" s="17">
        <v>8.8000000000000007</v>
      </c>
      <c r="G545" s="17">
        <v>7.1</v>
      </c>
      <c r="H545" s="17">
        <v>14.3</v>
      </c>
      <c r="I545" s="17">
        <v>2.6</v>
      </c>
      <c r="J545" s="17">
        <v>2.6</v>
      </c>
      <c r="K545" s="17">
        <v>53.2</v>
      </c>
      <c r="L545" s="17">
        <v>14</v>
      </c>
      <c r="M545" s="19">
        <v>1.65</v>
      </c>
      <c r="N545" s="19">
        <v>8.7799999999999994</v>
      </c>
      <c r="O545" s="19">
        <v>3.06</v>
      </c>
      <c r="P545" s="28">
        <v>0</v>
      </c>
      <c r="Q545" s="17">
        <v>0</v>
      </c>
      <c r="R545" s="17">
        <v>1</v>
      </c>
      <c r="S545" s="17">
        <v>0.7</v>
      </c>
      <c r="T545" s="17">
        <v>0</v>
      </c>
      <c r="U545" s="17">
        <v>25.2</v>
      </c>
      <c r="V545" s="17">
        <v>99.8</v>
      </c>
      <c r="W545" s="17">
        <v>0.2</v>
      </c>
      <c r="X545" s="17">
        <v>0.2</v>
      </c>
      <c r="Y545" s="17">
        <v>3.3</v>
      </c>
      <c r="Z545" s="17">
        <v>0.1</v>
      </c>
      <c r="AA545" s="17">
        <v>1.1000000000000001</v>
      </c>
      <c r="AB545" s="17">
        <v>0</v>
      </c>
      <c r="AC545" s="17">
        <v>56</v>
      </c>
      <c r="AD545" s="17">
        <v>52</v>
      </c>
      <c r="AE545" s="17">
        <v>1170</v>
      </c>
      <c r="AF545" s="17">
        <v>525</v>
      </c>
      <c r="AG545" s="17">
        <v>367</v>
      </c>
      <c r="AH545" s="17">
        <v>255</v>
      </c>
      <c r="AI545" s="17">
        <v>19.100000000000001</v>
      </c>
      <c r="AJ545" s="17">
        <v>4.7</v>
      </c>
      <c r="AK545" s="17">
        <v>1.2</v>
      </c>
      <c r="AL545" s="17">
        <v>40.299999999999997</v>
      </c>
      <c r="AM545" s="27">
        <v>0</v>
      </c>
    </row>
    <row r="546" spans="1:39" x14ac:dyDescent="0.25">
      <c r="A546" s="10">
        <v>545</v>
      </c>
      <c r="B546" s="9" t="s">
        <v>651</v>
      </c>
      <c r="C546" s="9" t="s">
        <v>662</v>
      </c>
      <c r="D546" s="10">
        <v>1</v>
      </c>
      <c r="E546" s="11">
        <v>43</v>
      </c>
      <c r="F546" s="17">
        <v>86</v>
      </c>
      <c r="G546" s="17">
        <v>2.5</v>
      </c>
      <c r="H546" s="17">
        <v>3.5</v>
      </c>
      <c r="I546" s="17">
        <v>4.9000000000000004</v>
      </c>
      <c r="J546" s="22" t="s">
        <v>100</v>
      </c>
      <c r="K546" s="17">
        <v>2.1</v>
      </c>
      <c r="L546" s="17">
        <v>1.1000000000000001</v>
      </c>
      <c r="M546" s="19">
        <v>0.06</v>
      </c>
      <c r="N546" s="19">
        <v>0.8</v>
      </c>
      <c r="O546" s="19">
        <v>0.1</v>
      </c>
      <c r="P546" s="28">
        <v>0</v>
      </c>
      <c r="Q546" s="17">
        <v>0</v>
      </c>
      <c r="R546" s="17">
        <v>386</v>
      </c>
      <c r="S546" s="17">
        <v>85</v>
      </c>
      <c r="T546" s="17">
        <v>0</v>
      </c>
      <c r="U546" s="22" t="s">
        <v>100</v>
      </c>
      <c r="V546" s="22" t="s">
        <v>100</v>
      </c>
      <c r="W546" s="17">
        <v>0.1</v>
      </c>
      <c r="X546" s="17">
        <v>0.3</v>
      </c>
      <c r="Y546" s="17">
        <v>1.6</v>
      </c>
      <c r="Z546" s="17">
        <v>0.2</v>
      </c>
      <c r="AA546" s="17">
        <v>0.4</v>
      </c>
      <c r="AB546" s="17">
        <v>0</v>
      </c>
      <c r="AC546" s="17">
        <v>150</v>
      </c>
      <c r="AD546" s="17">
        <v>61</v>
      </c>
      <c r="AE546" s="17">
        <v>738</v>
      </c>
      <c r="AF546" s="17">
        <v>208</v>
      </c>
      <c r="AG546" s="17">
        <v>66</v>
      </c>
      <c r="AH546" s="17">
        <v>55</v>
      </c>
      <c r="AI546" s="17">
        <v>6.6</v>
      </c>
      <c r="AJ546" s="17">
        <v>0.9</v>
      </c>
      <c r="AK546" s="17">
        <v>0.1</v>
      </c>
      <c r="AL546" s="22" t="s">
        <v>100</v>
      </c>
      <c r="AM546" s="27">
        <v>0</v>
      </c>
    </row>
    <row r="547" spans="1:39" x14ac:dyDescent="0.25">
      <c r="A547" s="10">
        <v>546</v>
      </c>
      <c r="B547" s="9" t="s">
        <v>651</v>
      </c>
      <c r="C547" s="9" t="s">
        <v>663</v>
      </c>
      <c r="D547" s="10">
        <v>1</v>
      </c>
      <c r="E547" s="11">
        <v>253</v>
      </c>
      <c r="F547" s="17">
        <v>7.3</v>
      </c>
      <c r="G547" s="17">
        <v>12.6</v>
      </c>
      <c r="H547" s="17">
        <v>20</v>
      </c>
      <c r="I547" s="17">
        <v>42.2</v>
      </c>
      <c r="J547" s="22" t="s">
        <v>100</v>
      </c>
      <c r="K547" s="17">
        <v>13.6</v>
      </c>
      <c r="L547" s="17">
        <v>4.4000000000000004</v>
      </c>
      <c r="M547" s="19">
        <v>0.23</v>
      </c>
      <c r="N547" s="22" t="s">
        <v>100</v>
      </c>
      <c r="O547" s="22" t="s">
        <v>100</v>
      </c>
      <c r="P547" s="28">
        <v>0</v>
      </c>
      <c r="Q547" s="17">
        <v>0</v>
      </c>
      <c r="R547" s="17">
        <v>293</v>
      </c>
      <c r="S547" s="17">
        <v>50</v>
      </c>
      <c r="T547" s="17">
        <v>0</v>
      </c>
      <c r="U547" s="22" t="s">
        <v>100</v>
      </c>
      <c r="V547" s="22" t="s">
        <v>100</v>
      </c>
      <c r="W547" s="17">
        <v>0.4</v>
      </c>
      <c r="X547" s="17">
        <v>0.3</v>
      </c>
      <c r="Y547" s="17">
        <v>2.8</v>
      </c>
      <c r="Z547" s="17">
        <v>1.7</v>
      </c>
      <c r="AA547" s="22" t="s">
        <v>100</v>
      </c>
      <c r="AB547" s="17">
        <v>0</v>
      </c>
      <c r="AC547" s="22" t="s">
        <v>100</v>
      </c>
      <c r="AD547" s="17">
        <v>208</v>
      </c>
      <c r="AE547" s="17">
        <v>3308</v>
      </c>
      <c r="AF547" s="17">
        <v>1784</v>
      </c>
      <c r="AG547" s="17">
        <v>543</v>
      </c>
      <c r="AH547" s="17">
        <v>451</v>
      </c>
      <c r="AI547" s="17">
        <v>48.8</v>
      </c>
      <c r="AJ547" s="17">
        <v>3.3</v>
      </c>
      <c r="AK547" s="17">
        <v>0.5</v>
      </c>
      <c r="AL547" s="22" t="s">
        <v>100</v>
      </c>
      <c r="AM547" s="27">
        <v>0</v>
      </c>
    </row>
    <row r="548" spans="1:39" x14ac:dyDescent="0.25">
      <c r="A548" s="10">
        <v>547</v>
      </c>
      <c r="B548" s="9" t="s">
        <v>651</v>
      </c>
      <c r="C548" s="9" t="s">
        <v>664</v>
      </c>
      <c r="D548" s="10">
        <v>1</v>
      </c>
      <c r="E548" s="11">
        <v>295</v>
      </c>
      <c r="F548" s="17">
        <v>7.7</v>
      </c>
      <c r="G548" s="17">
        <v>12</v>
      </c>
      <c r="H548" s="17">
        <v>22.8</v>
      </c>
      <c r="I548" s="17">
        <v>42.8</v>
      </c>
      <c r="J548" s="22" t="s">
        <v>100</v>
      </c>
      <c r="K548" s="17">
        <v>7.4</v>
      </c>
      <c r="L548" s="17">
        <v>7.2</v>
      </c>
      <c r="M548" s="19">
        <v>1.88</v>
      </c>
      <c r="N548" s="19">
        <v>0.47</v>
      </c>
      <c r="O548" s="19">
        <v>3.7</v>
      </c>
      <c r="P548" s="28">
        <v>0</v>
      </c>
      <c r="Q548" s="17">
        <v>0</v>
      </c>
      <c r="R548" s="17">
        <v>210</v>
      </c>
      <c r="S548" s="17">
        <v>50</v>
      </c>
      <c r="T548" s="17">
        <v>0</v>
      </c>
      <c r="U548" s="22" t="s">
        <v>100</v>
      </c>
      <c r="V548" s="22" t="s">
        <v>100</v>
      </c>
      <c r="W548" s="17">
        <v>0.3</v>
      </c>
      <c r="X548" s="17">
        <v>1.3</v>
      </c>
      <c r="Y548" s="17">
        <v>9</v>
      </c>
      <c r="Z548" s="17">
        <v>2.4</v>
      </c>
      <c r="AA548" s="22" t="s">
        <v>100</v>
      </c>
      <c r="AB548" s="17">
        <v>0</v>
      </c>
      <c r="AC548" s="17">
        <v>274</v>
      </c>
      <c r="AD548" s="17">
        <v>62</v>
      </c>
      <c r="AE548" s="17">
        <v>3020</v>
      </c>
      <c r="AF548" s="17">
        <v>1139</v>
      </c>
      <c r="AG548" s="17">
        <v>313</v>
      </c>
      <c r="AH548" s="17">
        <v>347</v>
      </c>
      <c r="AI548" s="17">
        <v>32.299999999999997</v>
      </c>
      <c r="AJ548" s="17">
        <v>3.9</v>
      </c>
      <c r="AK548" s="17">
        <v>0.7</v>
      </c>
      <c r="AL548" s="17">
        <v>4.4000000000000004</v>
      </c>
      <c r="AM548" s="27">
        <v>0</v>
      </c>
    </row>
    <row r="549" spans="1:39" x14ac:dyDescent="0.25">
      <c r="A549" s="10">
        <v>548</v>
      </c>
      <c r="B549" s="9" t="s">
        <v>651</v>
      </c>
      <c r="C549" s="9" t="s">
        <v>665</v>
      </c>
      <c r="D549" s="10">
        <v>1</v>
      </c>
      <c r="E549" s="11">
        <v>70</v>
      </c>
      <c r="F549" s="17">
        <v>78.7</v>
      </c>
      <c r="G549" s="17">
        <v>1.8</v>
      </c>
      <c r="H549" s="17">
        <v>3.8</v>
      </c>
      <c r="I549" s="17">
        <v>6.9</v>
      </c>
      <c r="J549" s="22" t="s">
        <v>100</v>
      </c>
      <c r="K549" s="17">
        <v>8</v>
      </c>
      <c r="L549" s="17">
        <v>0.9</v>
      </c>
      <c r="M549" s="19">
        <v>0.25</v>
      </c>
      <c r="N549" s="19">
        <v>0.03</v>
      </c>
      <c r="O549" s="19">
        <v>0.51</v>
      </c>
      <c r="P549" s="28">
        <v>0</v>
      </c>
      <c r="Q549" s="17">
        <v>0</v>
      </c>
      <c r="R549" s="17">
        <v>212</v>
      </c>
      <c r="S549" s="17">
        <v>31.8</v>
      </c>
      <c r="T549" s="17">
        <v>0</v>
      </c>
      <c r="U549" s="22" t="s">
        <v>100</v>
      </c>
      <c r="V549" s="22" t="s">
        <v>100</v>
      </c>
      <c r="W549" s="17">
        <v>0.1</v>
      </c>
      <c r="X549" s="17">
        <v>0.3</v>
      </c>
      <c r="Y549" s="17">
        <v>1.7</v>
      </c>
      <c r="Z549" s="17">
        <v>0.1</v>
      </c>
      <c r="AA549" s="17">
        <v>0.3</v>
      </c>
      <c r="AB549" s="17">
        <v>0</v>
      </c>
      <c r="AC549" s="17">
        <v>114</v>
      </c>
      <c r="AD549" s="17">
        <v>31</v>
      </c>
      <c r="AE549" s="17">
        <v>569</v>
      </c>
      <c r="AF549" s="17">
        <v>243</v>
      </c>
      <c r="AG549" s="17">
        <v>73</v>
      </c>
      <c r="AH549" s="17">
        <v>80</v>
      </c>
      <c r="AI549" s="17">
        <v>5.0999999999999996</v>
      </c>
      <c r="AJ549" s="17">
        <v>1.1000000000000001</v>
      </c>
      <c r="AK549" s="17">
        <v>0.3</v>
      </c>
      <c r="AL549" s="22" t="s">
        <v>100</v>
      </c>
      <c r="AM549" s="27">
        <v>0</v>
      </c>
    </row>
    <row r="550" spans="1:39" x14ac:dyDescent="0.25">
      <c r="A550" s="10">
        <v>549</v>
      </c>
      <c r="B550" s="9" t="s">
        <v>651</v>
      </c>
      <c r="C550" s="9" t="s">
        <v>666</v>
      </c>
      <c r="D550" s="10">
        <v>1</v>
      </c>
      <c r="E550" s="11">
        <v>335</v>
      </c>
      <c r="F550" s="17">
        <v>9.9</v>
      </c>
      <c r="G550" s="17">
        <v>5.2</v>
      </c>
      <c r="H550" s="17">
        <v>9</v>
      </c>
      <c r="I550" s="17">
        <v>57.5</v>
      </c>
      <c r="J550" s="17">
        <v>3.4</v>
      </c>
      <c r="K550" s="17">
        <v>14.1</v>
      </c>
      <c r="L550" s="17">
        <v>4.2</v>
      </c>
      <c r="M550" s="19">
        <v>2.6</v>
      </c>
      <c r="N550" s="19">
        <v>0.48</v>
      </c>
      <c r="O550" s="19">
        <v>0.93</v>
      </c>
      <c r="P550" s="28">
        <v>0</v>
      </c>
      <c r="Q550" s="17">
        <v>0</v>
      </c>
      <c r="R550" s="17">
        <v>2</v>
      </c>
      <c r="S550" s="17">
        <v>0.7</v>
      </c>
      <c r="T550" s="17">
        <v>0</v>
      </c>
      <c r="U550" s="17">
        <v>0</v>
      </c>
      <c r="V550" s="17">
        <v>0.8</v>
      </c>
      <c r="W550" s="17">
        <v>0</v>
      </c>
      <c r="X550" s="17">
        <v>0.2</v>
      </c>
      <c r="Y550" s="17">
        <v>9.6</v>
      </c>
      <c r="Z550" s="17">
        <v>0.6</v>
      </c>
      <c r="AA550" s="17">
        <v>0.5</v>
      </c>
      <c r="AB550" s="17">
        <v>0</v>
      </c>
      <c r="AC550" s="17">
        <v>13</v>
      </c>
      <c r="AD550" s="17">
        <v>27</v>
      </c>
      <c r="AE550" s="17">
        <v>1320</v>
      </c>
      <c r="AF550" s="17">
        <v>114</v>
      </c>
      <c r="AG550" s="17">
        <v>168</v>
      </c>
      <c r="AH550" s="17">
        <v>214</v>
      </c>
      <c r="AI550" s="17">
        <v>19.8</v>
      </c>
      <c r="AJ550" s="17">
        <v>3.6</v>
      </c>
      <c r="AK550" s="17">
        <v>0.5</v>
      </c>
      <c r="AL550" s="17">
        <v>55.8</v>
      </c>
      <c r="AM550" s="27">
        <v>0</v>
      </c>
    </row>
    <row r="551" spans="1:39" x14ac:dyDescent="0.25">
      <c r="A551" s="10">
        <v>550</v>
      </c>
      <c r="B551" s="9" t="s">
        <v>651</v>
      </c>
      <c r="C551" s="9" t="s">
        <v>667</v>
      </c>
      <c r="D551" s="10">
        <v>1</v>
      </c>
      <c r="E551" s="11">
        <v>313</v>
      </c>
      <c r="F551" s="17">
        <v>5.4</v>
      </c>
      <c r="G551" s="17">
        <v>3.6</v>
      </c>
      <c r="H551" s="17">
        <v>7.6</v>
      </c>
      <c r="I551" s="17">
        <v>48.7</v>
      </c>
      <c r="J551" s="22" t="s">
        <v>100</v>
      </c>
      <c r="K551" s="17">
        <v>26.3</v>
      </c>
      <c r="L551" s="17">
        <v>8.4</v>
      </c>
      <c r="M551" s="19">
        <v>2.2799999999999998</v>
      </c>
      <c r="N551" s="19">
        <v>1.64</v>
      </c>
      <c r="O551" s="19">
        <v>2.29</v>
      </c>
      <c r="P551" s="28">
        <v>0</v>
      </c>
      <c r="Q551" s="17">
        <v>0</v>
      </c>
      <c r="R551" s="17">
        <v>309</v>
      </c>
      <c r="S551" s="17">
        <v>46.5</v>
      </c>
      <c r="T551" s="17">
        <v>0</v>
      </c>
      <c r="U551" s="22" t="s">
        <v>100</v>
      </c>
      <c r="V551" s="22" t="s">
        <v>100</v>
      </c>
      <c r="W551" s="17">
        <v>0</v>
      </c>
      <c r="X551" s="17">
        <v>0.4</v>
      </c>
      <c r="Y551" s="17">
        <v>2</v>
      </c>
      <c r="Z551" s="17">
        <v>1.7</v>
      </c>
      <c r="AA551" s="22" t="s">
        <v>100</v>
      </c>
      <c r="AB551" s="17">
        <v>0</v>
      </c>
      <c r="AC551" s="17">
        <v>180</v>
      </c>
      <c r="AD551" s="17">
        <v>23</v>
      </c>
      <c r="AE551" s="17">
        <v>529</v>
      </c>
      <c r="AF551" s="17">
        <v>834</v>
      </c>
      <c r="AG551" s="17">
        <v>113</v>
      </c>
      <c r="AH551" s="17">
        <v>120</v>
      </c>
      <c r="AI551" s="17">
        <v>43</v>
      </c>
      <c r="AJ551" s="17">
        <v>3.7</v>
      </c>
      <c r="AK551" s="17">
        <v>0.4</v>
      </c>
      <c r="AL551" s="17">
        <v>2.8</v>
      </c>
      <c r="AM551" s="27">
        <v>0</v>
      </c>
    </row>
    <row r="552" spans="1:39" x14ac:dyDescent="0.25">
      <c r="A552" s="10">
        <v>551</v>
      </c>
      <c r="B552" s="9" t="s">
        <v>651</v>
      </c>
      <c r="C552" s="9" t="s">
        <v>668</v>
      </c>
      <c r="D552" s="10">
        <v>3</v>
      </c>
      <c r="E552" s="11">
        <v>363</v>
      </c>
      <c r="F552" s="17">
        <v>4.2</v>
      </c>
      <c r="G552" s="17">
        <v>8.5</v>
      </c>
      <c r="H552" s="17">
        <v>9.6</v>
      </c>
      <c r="I552" s="17">
        <v>74.900000000000006</v>
      </c>
      <c r="J552" s="27">
        <v>7.7</v>
      </c>
      <c r="K552" s="22" t="s">
        <v>100</v>
      </c>
      <c r="L552" s="17">
        <v>2.8</v>
      </c>
      <c r="M552" s="28">
        <v>0.48</v>
      </c>
      <c r="N552" s="28">
        <v>0.63</v>
      </c>
      <c r="O552" s="28">
        <v>1.57</v>
      </c>
      <c r="P552" s="28">
        <v>0</v>
      </c>
      <c r="Q552" s="27">
        <v>0</v>
      </c>
      <c r="R552" s="27">
        <v>1591.8</v>
      </c>
      <c r="S552" s="27">
        <v>0.8</v>
      </c>
      <c r="T552" s="27">
        <v>0</v>
      </c>
      <c r="U552" s="27">
        <v>40.9</v>
      </c>
      <c r="V552" s="27">
        <v>113.5</v>
      </c>
      <c r="W552" s="27">
        <v>0.3</v>
      </c>
      <c r="X552" s="27">
        <v>1</v>
      </c>
      <c r="Y552" s="27">
        <v>12.5</v>
      </c>
      <c r="Z552" s="27">
        <v>2.2000000000000002</v>
      </c>
      <c r="AA552" s="27">
        <v>1</v>
      </c>
      <c r="AB552" s="27">
        <v>0</v>
      </c>
      <c r="AC552" s="27">
        <v>30.1</v>
      </c>
      <c r="AD552" s="17">
        <v>227</v>
      </c>
      <c r="AE552" s="27">
        <v>2093.1</v>
      </c>
      <c r="AF552" s="27">
        <v>354.2</v>
      </c>
      <c r="AG552" s="27">
        <v>322</v>
      </c>
      <c r="AH552" s="27">
        <v>159.9</v>
      </c>
      <c r="AI552" s="27">
        <v>18.600000000000001</v>
      </c>
      <c r="AJ552" s="27">
        <v>4.5999999999999996</v>
      </c>
      <c r="AK552" s="27">
        <v>1.1000000000000001</v>
      </c>
      <c r="AL552" s="27">
        <v>21.9</v>
      </c>
      <c r="AM552" s="27">
        <v>0</v>
      </c>
    </row>
    <row r="553" spans="1:39" x14ac:dyDescent="0.25">
      <c r="A553" s="10">
        <v>552</v>
      </c>
      <c r="B553" s="9" t="s">
        <v>651</v>
      </c>
      <c r="C553" s="9" t="s">
        <v>669</v>
      </c>
      <c r="D553" s="10">
        <v>3</v>
      </c>
      <c r="E553" s="11">
        <v>23</v>
      </c>
      <c r="F553" s="17">
        <v>90</v>
      </c>
      <c r="G553" s="17">
        <v>0.2</v>
      </c>
      <c r="H553" s="17">
        <v>1.5</v>
      </c>
      <c r="I553" s="17">
        <v>3.7</v>
      </c>
      <c r="J553" s="17">
        <v>2.4</v>
      </c>
      <c r="K553" s="17">
        <v>4.4000000000000004</v>
      </c>
      <c r="L553" s="17">
        <v>0.2</v>
      </c>
      <c r="M553" s="28">
        <v>0.02</v>
      </c>
      <c r="N553" s="28">
        <v>0.01</v>
      </c>
      <c r="O553" s="28">
        <v>0.11</v>
      </c>
      <c r="P553" s="28">
        <v>0</v>
      </c>
      <c r="Q553" s="27">
        <v>0</v>
      </c>
      <c r="R553" s="27">
        <v>40.1</v>
      </c>
      <c r="S553" s="17">
        <v>1.1000000000000001</v>
      </c>
      <c r="T553" s="27">
        <v>0</v>
      </c>
      <c r="U553" s="27">
        <v>0.6</v>
      </c>
      <c r="V553" s="27">
        <v>11.7</v>
      </c>
      <c r="W553" s="27">
        <v>0.1</v>
      </c>
      <c r="X553" s="27">
        <v>0.1</v>
      </c>
      <c r="Y553" s="27">
        <v>1</v>
      </c>
      <c r="Z553" s="27">
        <v>0.4</v>
      </c>
      <c r="AA553" s="27">
        <v>0.2</v>
      </c>
      <c r="AB553" s="27">
        <v>0</v>
      </c>
      <c r="AC553" s="27">
        <v>19.2</v>
      </c>
      <c r="AD553" s="17">
        <v>20</v>
      </c>
      <c r="AE553" s="27">
        <v>268.8</v>
      </c>
      <c r="AF553" s="27">
        <v>11.7</v>
      </c>
      <c r="AG553" s="27">
        <v>35.9</v>
      </c>
      <c r="AH553" s="27">
        <v>19.2</v>
      </c>
      <c r="AI553" s="27">
        <v>0.9</v>
      </c>
      <c r="AJ553" s="27">
        <v>0.2</v>
      </c>
      <c r="AK553" s="27">
        <v>0.1</v>
      </c>
      <c r="AL553" s="27">
        <v>0.4</v>
      </c>
      <c r="AM553" s="27">
        <v>0</v>
      </c>
    </row>
    <row r="554" spans="1:39" x14ac:dyDescent="0.25">
      <c r="A554" s="10">
        <v>553</v>
      </c>
      <c r="B554" s="9" t="s">
        <v>651</v>
      </c>
      <c r="C554" s="9" t="s">
        <v>670</v>
      </c>
      <c r="D554" s="10">
        <v>1</v>
      </c>
      <c r="E554" s="11">
        <v>44</v>
      </c>
      <c r="F554" s="17">
        <v>85.6</v>
      </c>
      <c r="G554" s="17">
        <v>2</v>
      </c>
      <c r="H554" s="17">
        <v>3.3</v>
      </c>
      <c r="I554" s="17">
        <v>1.6</v>
      </c>
      <c r="J554" s="22" t="s">
        <v>100</v>
      </c>
      <c r="K554" s="17">
        <v>6.8</v>
      </c>
      <c r="L554" s="17">
        <v>0.7</v>
      </c>
      <c r="M554" s="19">
        <v>0.19</v>
      </c>
      <c r="N554" s="19">
        <v>0.03</v>
      </c>
      <c r="O554" s="19">
        <v>0.39</v>
      </c>
      <c r="P554" s="28">
        <v>0</v>
      </c>
      <c r="Q554" s="17">
        <v>0</v>
      </c>
      <c r="R554" s="17">
        <v>203</v>
      </c>
      <c r="S554" s="17">
        <v>13.3</v>
      </c>
      <c r="T554" s="17">
        <v>0</v>
      </c>
      <c r="U554" s="22" t="s">
        <v>100</v>
      </c>
      <c r="V554" s="22" t="s">
        <v>100</v>
      </c>
      <c r="W554" s="17">
        <v>0.1</v>
      </c>
      <c r="X554" s="17">
        <v>0.2</v>
      </c>
      <c r="Y554" s="17">
        <v>0.9</v>
      </c>
      <c r="Z554" s="17">
        <v>0.2</v>
      </c>
      <c r="AA554" s="17">
        <v>0.3</v>
      </c>
      <c r="AB554" s="17">
        <v>0</v>
      </c>
      <c r="AC554" s="17">
        <v>105</v>
      </c>
      <c r="AD554" s="17">
        <v>30</v>
      </c>
      <c r="AE554" s="17">
        <v>458</v>
      </c>
      <c r="AF554" s="17">
        <v>199</v>
      </c>
      <c r="AG554" s="17">
        <v>60</v>
      </c>
      <c r="AH554" s="17">
        <v>63</v>
      </c>
      <c r="AI554" s="17">
        <v>11.9</v>
      </c>
      <c r="AJ554" s="17">
        <v>1.1000000000000001</v>
      </c>
      <c r="AK554" s="17">
        <v>0.2</v>
      </c>
      <c r="AL554" s="22" t="s">
        <v>100</v>
      </c>
      <c r="AM554" s="27">
        <v>0</v>
      </c>
    </row>
    <row r="555" spans="1:39" x14ac:dyDescent="0.25">
      <c r="A555" s="10">
        <v>554</v>
      </c>
      <c r="B555" s="9" t="s">
        <v>651</v>
      </c>
      <c r="C555" s="9" t="s">
        <v>671</v>
      </c>
      <c r="D555" s="10">
        <v>1</v>
      </c>
      <c r="E555" s="11">
        <v>285</v>
      </c>
      <c r="F555" s="17">
        <v>11.3</v>
      </c>
      <c r="G555" s="17">
        <v>10.7</v>
      </c>
      <c r="H555" s="17">
        <v>19.899999999999999</v>
      </c>
      <c r="I555" s="17">
        <v>22.2</v>
      </c>
      <c r="J555" s="22" t="s">
        <v>100</v>
      </c>
      <c r="K555" s="17">
        <v>29.8</v>
      </c>
      <c r="L555" s="17">
        <v>6</v>
      </c>
      <c r="M555" s="19">
        <v>1.58</v>
      </c>
      <c r="N555" s="19">
        <v>0.21</v>
      </c>
      <c r="O555" s="19">
        <v>3.26</v>
      </c>
      <c r="P555" s="28">
        <v>0</v>
      </c>
      <c r="Q555" s="17">
        <v>0</v>
      </c>
      <c r="R555" s="17">
        <v>529</v>
      </c>
      <c r="S555" s="17">
        <v>0</v>
      </c>
      <c r="T555" s="17">
        <v>0</v>
      </c>
      <c r="U555" s="22" t="s">
        <v>100</v>
      </c>
      <c r="V555" s="22" t="s">
        <v>100</v>
      </c>
      <c r="W555" s="17">
        <v>0.3</v>
      </c>
      <c r="X555" s="17">
        <v>1.4</v>
      </c>
      <c r="Y555" s="17">
        <v>6.6</v>
      </c>
      <c r="Z555" s="17">
        <v>2.6</v>
      </c>
      <c r="AA555" s="17">
        <v>1.4</v>
      </c>
      <c r="AB555" s="17">
        <v>0</v>
      </c>
      <c r="AC555" s="17">
        <v>530</v>
      </c>
      <c r="AD555" s="17">
        <v>344</v>
      </c>
      <c r="AE555" s="17">
        <v>1924</v>
      </c>
      <c r="AF555" s="17">
        <v>1488</v>
      </c>
      <c r="AG555" s="17">
        <v>276</v>
      </c>
      <c r="AH555" s="17">
        <v>602</v>
      </c>
      <c r="AI555" s="17">
        <v>87.5</v>
      </c>
      <c r="AJ555" s="17">
        <v>2.4</v>
      </c>
      <c r="AK555" s="17">
        <v>1.5</v>
      </c>
      <c r="AL555" s="22" t="s">
        <v>100</v>
      </c>
      <c r="AM555" s="27">
        <v>0</v>
      </c>
    </row>
    <row r="556" spans="1:39" x14ac:dyDescent="0.25">
      <c r="A556" s="10">
        <v>555</v>
      </c>
      <c r="B556" s="9" t="s">
        <v>651</v>
      </c>
      <c r="C556" s="9" t="s">
        <v>672</v>
      </c>
      <c r="D556" s="10">
        <v>3</v>
      </c>
      <c r="E556" s="11">
        <v>156</v>
      </c>
      <c r="F556" s="17">
        <v>11.7</v>
      </c>
      <c r="G556" s="17">
        <v>21.7</v>
      </c>
      <c r="H556" s="17">
        <v>10.199999999999999</v>
      </c>
      <c r="I556" s="17">
        <v>20.5</v>
      </c>
      <c r="J556" s="27">
        <v>7.1</v>
      </c>
      <c r="K556" s="17">
        <v>32.299999999999997</v>
      </c>
      <c r="L556" s="17">
        <v>3.6</v>
      </c>
      <c r="M556" s="28">
        <v>0.62</v>
      </c>
      <c r="N556" s="28">
        <v>0.81</v>
      </c>
      <c r="O556" s="28">
        <v>2.02</v>
      </c>
      <c r="P556" s="28">
        <v>0</v>
      </c>
      <c r="Q556" s="27">
        <v>0</v>
      </c>
      <c r="R556" s="27">
        <v>1467.2</v>
      </c>
      <c r="S556" s="27">
        <v>0.7</v>
      </c>
      <c r="T556" s="27">
        <v>0</v>
      </c>
      <c r="U556" s="27">
        <v>37.700000000000003</v>
      </c>
      <c r="V556" s="27">
        <v>104.6</v>
      </c>
      <c r="W556" s="27">
        <v>0.2</v>
      </c>
      <c r="X556" s="27">
        <v>0.9</v>
      </c>
      <c r="Y556" s="27">
        <v>11.5</v>
      </c>
      <c r="Z556" s="27">
        <v>2.1</v>
      </c>
      <c r="AA556" s="27">
        <v>0.9</v>
      </c>
      <c r="AB556" s="27">
        <v>0</v>
      </c>
      <c r="AC556" s="27">
        <v>27.7</v>
      </c>
      <c r="AD556" s="17">
        <v>7440</v>
      </c>
      <c r="AE556" s="27">
        <v>1929.2</v>
      </c>
      <c r="AF556" s="27">
        <v>326.5</v>
      </c>
      <c r="AG556" s="27">
        <v>296.8</v>
      </c>
      <c r="AH556" s="27">
        <v>147.4</v>
      </c>
      <c r="AI556" s="27">
        <v>17.100000000000001</v>
      </c>
      <c r="AJ556" s="27">
        <v>4.3</v>
      </c>
      <c r="AK556" s="27">
        <v>1</v>
      </c>
      <c r="AL556" s="27">
        <v>20.2</v>
      </c>
      <c r="AM556" s="27">
        <v>0</v>
      </c>
    </row>
    <row r="557" spans="1:39" x14ac:dyDescent="0.25">
      <c r="A557" s="10">
        <v>556</v>
      </c>
      <c r="B557" s="9" t="s">
        <v>651</v>
      </c>
      <c r="C557" s="9" t="s">
        <v>673</v>
      </c>
      <c r="D557" s="10">
        <v>1</v>
      </c>
      <c r="E557" s="11">
        <v>525</v>
      </c>
      <c r="F557" s="17">
        <v>6.2</v>
      </c>
      <c r="G557" s="17">
        <v>2.2999999999999998</v>
      </c>
      <c r="H557" s="17">
        <v>5.8</v>
      </c>
      <c r="I557" s="17">
        <v>28.5</v>
      </c>
      <c r="J557" s="17">
        <v>3</v>
      </c>
      <c r="K557" s="17">
        <v>20.8</v>
      </c>
      <c r="L557" s="17">
        <v>36.299999999999997</v>
      </c>
      <c r="M557" s="19">
        <v>25.94</v>
      </c>
      <c r="N557" s="19">
        <v>3.22</v>
      </c>
      <c r="O557" s="19">
        <v>0.35</v>
      </c>
      <c r="P557" s="28">
        <v>0</v>
      </c>
      <c r="Q557" s="17">
        <v>0</v>
      </c>
      <c r="R557" s="17">
        <v>5</v>
      </c>
      <c r="S557" s="17">
        <v>3</v>
      </c>
      <c r="T557" s="17">
        <v>0</v>
      </c>
      <c r="U557" s="17">
        <v>0</v>
      </c>
      <c r="V557" s="17">
        <v>0</v>
      </c>
      <c r="W557" s="17">
        <v>0.3</v>
      </c>
      <c r="X557" s="17">
        <v>0.1</v>
      </c>
      <c r="Y557" s="17">
        <v>1.3</v>
      </c>
      <c r="Z557" s="17">
        <v>0.2</v>
      </c>
      <c r="AA557" s="22" t="s">
        <v>100</v>
      </c>
      <c r="AB557" s="17">
        <v>0</v>
      </c>
      <c r="AC557" s="17">
        <v>76</v>
      </c>
      <c r="AD557" s="17">
        <v>16</v>
      </c>
      <c r="AE557" s="17">
        <v>350</v>
      </c>
      <c r="AF557" s="17">
        <v>184</v>
      </c>
      <c r="AG557" s="17">
        <v>213</v>
      </c>
      <c r="AH557" s="17">
        <v>183</v>
      </c>
      <c r="AI557" s="17">
        <v>3</v>
      </c>
      <c r="AJ557" s="17">
        <v>2.2000000000000002</v>
      </c>
      <c r="AK557" s="17">
        <v>1</v>
      </c>
      <c r="AL557" s="17">
        <v>1.6</v>
      </c>
      <c r="AM557" s="27">
        <v>0</v>
      </c>
    </row>
    <row r="558" spans="1:39" x14ac:dyDescent="0.25">
      <c r="A558" s="10">
        <v>557</v>
      </c>
      <c r="B558" s="9" t="s">
        <v>651</v>
      </c>
      <c r="C558" s="9" t="s">
        <v>674</v>
      </c>
      <c r="D558" s="10">
        <v>1</v>
      </c>
      <c r="E558" s="11">
        <v>265</v>
      </c>
      <c r="F558" s="17">
        <v>9.9</v>
      </c>
      <c r="G558" s="17">
        <v>7.9</v>
      </c>
      <c r="H558" s="17">
        <v>9</v>
      </c>
      <c r="I558" s="17">
        <v>26.4</v>
      </c>
      <c r="J558" s="17">
        <v>4.0999999999999996</v>
      </c>
      <c r="K558" s="17">
        <v>42.5</v>
      </c>
      <c r="L558" s="17">
        <v>4.3</v>
      </c>
      <c r="M558" s="19">
        <v>1.55</v>
      </c>
      <c r="N558" s="19">
        <v>0.72</v>
      </c>
      <c r="O558" s="19">
        <v>1.37</v>
      </c>
      <c r="P558" s="28">
        <v>0</v>
      </c>
      <c r="Q558" s="17">
        <v>0</v>
      </c>
      <c r="R558" s="17">
        <v>85</v>
      </c>
      <c r="S558" s="17">
        <v>2.2999999999999998</v>
      </c>
      <c r="T558" s="17">
        <v>0</v>
      </c>
      <c r="U558" s="17">
        <v>18.3</v>
      </c>
      <c r="V558" s="17">
        <v>621.70000000000005</v>
      </c>
      <c r="W558" s="17">
        <v>0.2</v>
      </c>
      <c r="X558" s="17">
        <v>0.5</v>
      </c>
      <c r="Y558" s="17">
        <v>4.5999999999999996</v>
      </c>
      <c r="Z558" s="17">
        <v>1</v>
      </c>
      <c r="AA558" s="17">
        <v>0.9</v>
      </c>
      <c r="AB558" s="17">
        <v>0</v>
      </c>
      <c r="AC558" s="17">
        <v>237</v>
      </c>
      <c r="AD558" s="17">
        <v>25</v>
      </c>
      <c r="AE558" s="17">
        <v>1260</v>
      </c>
      <c r="AF558" s="17">
        <v>1597</v>
      </c>
      <c r="AG558" s="17">
        <v>148</v>
      </c>
      <c r="AH558" s="17">
        <v>270</v>
      </c>
      <c r="AI558" s="17">
        <v>36.799999999999997</v>
      </c>
      <c r="AJ558" s="17">
        <v>2.7</v>
      </c>
      <c r="AK558" s="17">
        <v>0.6</v>
      </c>
      <c r="AL558" s="17">
        <v>4.5</v>
      </c>
      <c r="AM558" s="27">
        <v>0</v>
      </c>
    </row>
    <row r="559" spans="1:39" x14ac:dyDescent="0.25">
      <c r="A559" s="10">
        <v>558</v>
      </c>
      <c r="B559" s="9" t="s">
        <v>651</v>
      </c>
      <c r="C559" s="9" t="s">
        <v>675</v>
      </c>
      <c r="D559" s="10">
        <v>1</v>
      </c>
      <c r="E559" s="11">
        <v>282</v>
      </c>
      <c r="F559" s="17">
        <v>11.2</v>
      </c>
      <c r="G559" s="17">
        <v>7.7</v>
      </c>
      <c r="H559" s="17">
        <v>14.1</v>
      </c>
      <c r="I559" s="17">
        <v>19.100000000000001</v>
      </c>
      <c r="J559" s="17">
        <v>10.3</v>
      </c>
      <c r="K559" s="17">
        <v>34.9</v>
      </c>
      <c r="L559" s="17">
        <v>12.9</v>
      </c>
      <c r="M559" s="19">
        <v>2.14</v>
      </c>
      <c r="N559" s="19">
        <v>1.7</v>
      </c>
      <c r="O559" s="19">
        <v>7.77</v>
      </c>
      <c r="P559" s="28">
        <v>0</v>
      </c>
      <c r="Q559" s="17">
        <v>0</v>
      </c>
      <c r="R559" s="17">
        <v>2463</v>
      </c>
      <c r="S559" s="17">
        <v>0.9</v>
      </c>
      <c r="T559" s="17">
        <v>0</v>
      </c>
      <c r="U559" s="17">
        <v>29.1</v>
      </c>
      <c r="V559" s="17">
        <v>80.3</v>
      </c>
      <c r="W559" s="17">
        <v>0.3</v>
      </c>
      <c r="X559" s="17">
        <v>1.2</v>
      </c>
      <c r="Y559" s="17">
        <v>10.1</v>
      </c>
      <c r="Z559" s="17">
        <v>2.1</v>
      </c>
      <c r="AA559" s="17">
        <v>2.5</v>
      </c>
      <c r="AB559" s="17">
        <v>0</v>
      </c>
      <c r="AC559" s="17">
        <v>49</v>
      </c>
      <c r="AD559" s="17">
        <v>68</v>
      </c>
      <c r="AE559" s="17">
        <v>2280</v>
      </c>
      <c r="AF559" s="17">
        <v>229</v>
      </c>
      <c r="AG559" s="17">
        <v>314</v>
      </c>
      <c r="AH559" s="17">
        <v>178</v>
      </c>
      <c r="AI559" s="17">
        <v>21.1</v>
      </c>
      <c r="AJ559" s="17">
        <v>4.3</v>
      </c>
      <c r="AK559" s="17">
        <v>0.7</v>
      </c>
      <c r="AL559" s="17">
        <v>6.3</v>
      </c>
      <c r="AM559" s="27">
        <v>0</v>
      </c>
    </row>
    <row r="560" spans="1:39" x14ac:dyDescent="0.25">
      <c r="A560" s="10">
        <v>559</v>
      </c>
      <c r="B560" s="9" t="s">
        <v>651</v>
      </c>
      <c r="C560" s="9" t="s">
        <v>676</v>
      </c>
      <c r="D560" s="10">
        <v>3</v>
      </c>
      <c r="E560" s="11">
        <v>249</v>
      </c>
      <c r="F560" s="17">
        <v>14</v>
      </c>
      <c r="G560" s="17">
        <v>4.3</v>
      </c>
      <c r="H560" s="17">
        <v>8.3000000000000007</v>
      </c>
      <c r="I560" s="17">
        <v>52.3</v>
      </c>
      <c r="J560" s="17">
        <v>36</v>
      </c>
      <c r="K560" s="17">
        <v>20.399999999999999</v>
      </c>
      <c r="L560" s="17">
        <v>0.7</v>
      </c>
      <c r="M560" s="28">
        <v>0.12</v>
      </c>
      <c r="N560" s="28">
        <v>0.09</v>
      </c>
      <c r="O560" s="28">
        <v>0.42</v>
      </c>
      <c r="P560" s="28">
        <v>0</v>
      </c>
      <c r="Q560" s="27">
        <v>0</v>
      </c>
      <c r="R560" s="27">
        <v>2386.4</v>
      </c>
      <c r="S560" s="27">
        <v>0.9</v>
      </c>
      <c r="T560" s="27">
        <v>0</v>
      </c>
      <c r="U560" s="27">
        <v>28.2</v>
      </c>
      <c r="V560" s="27">
        <v>77.8</v>
      </c>
      <c r="W560" s="27">
        <v>0.3</v>
      </c>
      <c r="X560" s="27">
        <v>1.2</v>
      </c>
      <c r="Y560" s="27">
        <v>9.6999999999999993</v>
      </c>
      <c r="Z560" s="27">
        <v>2.1</v>
      </c>
      <c r="AA560" s="27">
        <v>2.4</v>
      </c>
      <c r="AB560" s="27">
        <v>0</v>
      </c>
      <c r="AC560" s="27">
        <v>47.5</v>
      </c>
      <c r="AD560" s="17">
        <v>42</v>
      </c>
      <c r="AE560" s="27">
        <v>2209.1</v>
      </c>
      <c r="AF560" s="27">
        <v>221.9</v>
      </c>
      <c r="AG560" s="27">
        <v>304.2</v>
      </c>
      <c r="AH560" s="27">
        <v>172.5</v>
      </c>
      <c r="AI560" s="27">
        <v>20.5</v>
      </c>
      <c r="AJ560" s="27">
        <v>4.2</v>
      </c>
      <c r="AK560" s="27">
        <v>0.7</v>
      </c>
      <c r="AL560" s="27">
        <v>6.1</v>
      </c>
      <c r="AM560" s="27">
        <v>0</v>
      </c>
    </row>
    <row r="561" spans="1:39" x14ac:dyDescent="0.25">
      <c r="A561" s="10">
        <v>560</v>
      </c>
      <c r="B561" s="9" t="s">
        <v>651</v>
      </c>
      <c r="C561" s="9" t="s">
        <v>677</v>
      </c>
      <c r="D561" s="10">
        <v>1</v>
      </c>
      <c r="E561" s="11">
        <v>36</v>
      </c>
      <c r="F561" s="17">
        <v>87.71</v>
      </c>
      <c r="G561" s="17">
        <v>2.2000000000000002</v>
      </c>
      <c r="H561" s="17">
        <v>2.97</v>
      </c>
      <c r="I561" s="17">
        <v>3.03</v>
      </c>
      <c r="J561" s="17">
        <v>0.85</v>
      </c>
      <c r="K561" s="17">
        <v>3.3</v>
      </c>
      <c r="L561" s="17">
        <v>0.79</v>
      </c>
      <c r="M561" s="19">
        <v>0.13200000000000001</v>
      </c>
      <c r="N561" s="19">
        <v>0.29499999999999998</v>
      </c>
      <c r="O561" s="19">
        <v>0.124</v>
      </c>
      <c r="P561" s="28">
        <v>0</v>
      </c>
      <c r="Q561" s="17">
        <v>0</v>
      </c>
      <c r="R561" s="17">
        <v>421</v>
      </c>
      <c r="S561" s="17">
        <v>133</v>
      </c>
      <c r="T561" s="17">
        <v>0</v>
      </c>
      <c r="U561" s="17">
        <v>0.75</v>
      </c>
      <c r="V561" s="17">
        <v>1640</v>
      </c>
      <c r="W561" s="17">
        <v>8.5999999999999993E-2</v>
      </c>
      <c r="X561" s="17">
        <v>9.8000000000000004E-2</v>
      </c>
      <c r="Y561" s="17">
        <v>1.3129999999999999</v>
      </c>
      <c r="Z561" s="17">
        <v>0.09</v>
      </c>
      <c r="AA561" s="17">
        <v>0.4</v>
      </c>
      <c r="AB561" s="17">
        <v>0</v>
      </c>
      <c r="AC561" s="17">
        <v>152</v>
      </c>
      <c r="AD561" s="17">
        <v>56</v>
      </c>
      <c r="AE561" s="17">
        <v>554</v>
      </c>
      <c r="AF561" s="17">
        <v>138</v>
      </c>
      <c r="AG561" s="17">
        <v>58</v>
      </c>
      <c r="AH561" s="17">
        <v>50</v>
      </c>
      <c r="AI561" s="17">
        <v>6.2</v>
      </c>
      <c r="AJ561" s="17">
        <v>1.07</v>
      </c>
      <c r="AK561" s="17">
        <v>0.14899999999999999</v>
      </c>
      <c r="AL561" s="17">
        <v>0.1</v>
      </c>
      <c r="AM561" s="27">
        <v>0</v>
      </c>
    </row>
    <row r="562" spans="1:39" x14ac:dyDescent="0.25">
      <c r="A562" s="10">
        <v>561</v>
      </c>
      <c r="B562" s="9" t="s">
        <v>651</v>
      </c>
      <c r="C562" s="9" t="s">
        <v>678</v>
      </c>
      <c r="D562" s="10">
        <v>1</v>
      </c>
      <c r="E562" s="11">
        <v>292</v>
      </c>
      <c r="F562" s="17">
        <v>5.9</v>
      </c>
      <c r="G562" s="17">
        <v>11.4</v>
      </c>
      <c r="H562" s="17">
        <v>26.6</v>
      </c>
      <c r="I562" s="17">
        <v>23.9</v>
      </c>
      <c r="J562" s="17">
        <v>7.3</v>
      </c>
      <c r="K562" s="17">
        <v>26.7</v>
      </c>
      <c r="L562" s="17">
        <v>5.5</v>
      </c>
      <c r="M562" s="19">
        <v>1.38</v>
      </c>
      <c r="N562" s="19">
        <v>0.76</v>
      </c>
      <c r="O562" s="19">
        <v>3.12</v>
      </c>
      <c r="P562" s="28">
        <v>0</v>
      </c>
      <c r="Q562" s="17">
        <v>0</v>
      </c>
      <c r="R562" s="17">
        <v>97</v>
      </c>
      <c r="S562" s="17">
        <v>125</v>
      </c>
      <c r="T562" s="17">
        <v>0</v>
      </c>
      <c r="U562" s="17">
        <v>9</v>
      </c>
      <c r="V562" s="17">
        <v>1359.5</v>
      </c>
      <c r="W562" s="17">
        <v>0.2</v>
      </c>
      <c r="X562" s="17">
        <v>2.4</v>
      </c>
      <c r="Y562" s="17">
        <v>9.9</v>
      </c>
      <c r="Z562" s="17">
        <v>0.9</v>
      </c>
      <c r="AA562" s="17">
        <v>1.1000000000000001</v>
      </c>
      <c r="AB562" s="17">
        <v>0</v>
      </c>
      <c r="AC562" s="17">
        <v>180</v>
      </c>
      <c r="AD562" s="17">
        <v>452</v>
      </c>
      <c r="AE562" s="17">
        <v>2683</v>
      </c>
      <c r="AF562" s="17">
        <v>1140</v>
      </c>
      <c r="AG562" s="17">
        <v>436</v>
      </c>
      <c r="AH562" s="17">
        <v>400</v>
      </c>
      <c r="AI562" s="17">
        <v>22</v>
      </c>
      <c r="AJ562" s="17">
        <v>5.4</v>
      </c>
      <c r="AK562" s="17">
        <v>0.8</v>
      </c>
      <c r="AL562" s="17">
        <v>14.1</v>
      </c>
      <c r="AM562" s="27">
        <v>0</v>
      </c>
    </row>
    <row r="563" spans="1:39" x14ac:dyDescent="0.25">
      <c r="A563" s="10">
        <v>562</v>
      </c>
      <c r="B563" s="9" t="s">
        <v>651</v>
      </c>
      <c r="C563" s="9" t="s">
        <v>679</v>
      </c>
      <c r="D563" s="10">
        <v>1</v>
      </c>
      <c r="E563" s="11">
        <v>296</v>
      </c>
      <c r="F563" s="17">
        <v>11.4</v>
      </c>
      <c r="G563" s="17">
        <v>1.6</v>
      </c>
      <c r="H563" s="17">
        <v>10.4</v>
      </c>
      <c r="I563" s="17">
        <v>48.3</v>
      </c>
      <c r="J563" s="22" t="s">
        <v>100</v>
      </c>
      <c r="K563" s="17">
        <v>26.2</v>
      </c>
      <c r="L563" s="17">
        <v>2.1</v>
      </c>
      <c r="M563" s="19">
        <v>0.63</v>
      </c>
      <c r="N563" s="19">
        <v>0.79</v>
      </c>
      <c r="O563" s="19">
        <v>0.62</v>
      </c>
      <c r="P563" s="28">
        <v>0</v>
      </c>
      <c r="Q563" s="17">
        <v>0</v>
      </c>
      <c r="R563" s="17">
        <v>0</v>
      </c>
      <c r="S563" s="17">
        <v>21</v>
      </c>
      <c r="T563" s="17">
        <v>0</v>
      </c>
      <c r="U563" s="22" t="s">
        <v>100</v>
      </c>
      <c r="V563" s="22" t="s">
        <v>100</v>
      </c>
      <c r="W563" s="17">
        <v>0</v>
      </c>
      <c r="X563" s="17">
        <v>0.1</v>
      </c>
      <c r="Y563" s="17">
        <v>0.2</v>
      </c>
      <c r="Z563" s="17">
        <v>0.1</v>
      </c>
      <c r="AA563" s="22" t="s">
        <v>100</v>
      </c>
      <c r="AB563" s="17">
        <v>0</v>
      </c>
      <c r="AC563" s="17">
        <v>10</v>
      </c>
      <c r="AD563" s="17">
        <v>5</v>
      </c>
      <c r="AE563" s="17">
        <v>73</v>
      </c>
      <c r="AF563" s="17">
        <v>265</v>
      </c>
      <c r="AG563" s="17">
        <v>176</v>
      </c>
      <c r="AH563" s="17">
        <v>90</v>
      </c>
      <c r="AI563" s="17">
        <v>14.3</v>
      </c>
      <c r="AJ563" s="17">
        <v>1.1000000000000001</v>
      </c>
      <c r="AK563" s="17">
        <v>0.9</v>
      </c>
      <c r="AL563" s="17">
        <v>3.1</v>
      </c>
      <c r="AM563" s="27">
        <v>0</v>
      </c>
    </row>
    <row r="564" spans="1:39" x14ac:dyDescent="0.25">
      <c r="A564" s="10">
        <v>563</v>
      </c>
      <c r="B564" s="9" t="s">
        <v>651</v>
      </c>
      <c r="C564" s="9" t="s">
        <v>680</v>
      </c>
      <c r="D564" s="10">
        <v>1</v>
      </c>
      <c r="E564" s="11">
        <v>251</v>
      </c>
      <c r="F564" s="17">
        <v>12.5</v>
      </c>
      <c r="G564" s="17">
        <v>4.5</v>
      </c>
      <c r="H564" s="17">
        <v>10.4</v>
      </c>
      <c r="I564" s="17">
        <v>44.1</v>
      </c>
      <c r="J564" s="17">
        <v>0.6</v>
      </c>
      <c r="K564" s="17">
        <v>25.3</v>
      </c>
      <c r="L564" s="17">
        <v>3.3</v>
      </c>
      <c r="M564" s="19">
        <v>1.39</v>
      </c>
      <c r="N564" s="19">
        <v>0.74</v>
      </c>
      <c r="O564" s="19">
        <v>1</v>
      </c>
      <c r="P564" s="28">
        <v>0</v>
      </c>
      <c r="Q564" s="17">
        <v>0</v>
      </c>
      <c r="R564" s="17">
        <v>27</v>
      </c>
      <c r="S564" s="17">
        <v>0</v>
      </c>
      <c r="T564" s="17">
        <v>0</v>
      </c>
      <c r="U564" s="17">
        <v>1</v>
      </c>
      <c r="V564" s="17">
        <v>163.69999999999999</v>
      </c>
      <c r="W564" s="17">
        <v>0.1</v>
      </c>
      <c r="X564" s="17">
        <v>0.2</v>
      </c>
      <c r="Y564" s="17">
        <v>1.1000000000000001</v>
      </c>
      <c r="Z564" s="17">
        <v>0.3</v>
      </c>
      <c r="AA564" s="17">
        <v>1.4</v>
      </c>
      <c r="AB564" s="17">
        <v>0</v>
      </c>
      <c r="AC564" s="17">
        <v>17</v>
      </c>
      <c r="AD564" s="17">
        <v>20</v>
      </c>
      <c r="AE564" s="17">
        <v>1329</v>
      </c>
      <c r="AF564" s="17">
        <v>443</v>
      </c>
      <c r="AG564" s="17">
        <v>158</v>
      </c>
      <c r="AH564" s="17">
        <v>171</v>
      </c>
      <c r="AI564" s="17">
        <v>9.6999999999999993</v>
      </c>
      <c r="AJ564" s="17">
        <v>1.2</v>
      </c>
      <c r="AK564" s="17">
        <v>1.3</v>
      </c>
      <c r="AL564" s="17">
        <v>4.9000000000000004</v>
      </c>
      <c r="AM564" s="27">
        <v>0</v>
      </c>
    </row>
    <row r="565" spans="1:39" x14ac:dyDescent="0.25">
      <c r="A565" s="10">
        <v>564</v>
      </c>
      <c r="B565" s="9" t="s">
        <v>651</v>
      </c>
      <c r="C565" s="9" t="s">
        <v>681</v>
      </c>
      <c r="D565" s="10">
        <v>1</v>
      </c>
      <c r="E565" s="11">
        <v>318</v>
      </c>
      <c r="F565" s="17">
        <v>8.1</v>
      </c>
      <c r="G565" s="17">
        <v>6</v>
      </c>
      <c r="H565" s="17">
        <v>12</v>
      </c>
      <c r="I565" s="17">
        <v>29.4</v>
      </c>
      <c r="J565" s="17">
        <v>10.3</v>
      </c>
      <c r="K565" s="17">
        <v>27.2</v>
      </c>
      <c r="L565" s="17">
        <v>17.3</v>
      </c>
      <c r="M565" s="19">
        <v>3.26</v>
      </c>
      <c r="N565" s="19">
        <v>2.75</v>
      </c>
      <c r="O565" s="19">
        <v>8.3699999999999992</v>
      </c>
      <c r="P565" s="28">
        <v>0</v>
      </c>
      <c r="Q565" s="17">
        <v>0</v>
      </c>
      <c r="R565" s="17">
        <v>2081</v>
      </c>
      <c r="S565" s="17">
        <v>76.400000000000006</v>
      </c>
      <c r="T565" s="17">
        <v>0</v>
      </c>
      <c r="U565" s="17">
        <v>29.8</v>
      </c>
      <c r="V565" s="17">
        <v>80.3</v>
      </c>
      <c r="W565" s="17">
        <v>0.3</v>
      </c>
      <c r="X565" s="17">
        <v>0.9</v>
      </c>
      <c r="Y565" s="17">
        <v>8.6999999999999993</v>
      </c>
      <c r="Z565" s="17">
        <v>2.5</v>
      </c>
      <c r="AA565" s="22" t="s">
        <v>100</v>
      </c>
      <c r="AB565" s="17">
        <v>0</v>
      </c>
      <c r="AC565" s="17">
        <v>106</v>
      </c>
      <c r="AD565" s="17">
        <v>30</v>
      </c>
      <c r="AE565" s="17">
        <v>2014</v>
      </c>
      <c r="AF565" s="17">
        <v>148</v>
      </c>
      <c r="AG565" s="17">
        <v>293</v>
      </c>
      <c r="AH565" s="17">
        <v>152</v>
      </c>
      <c r="AI565" s="17">
        <v>7.8</v>
      </c>
      <c r="AJ565" s="17">
        <v>2.5</v>
      </c>
      <c r="AK565" s="17">
        <v>0.4</v>
      </c>
      <c r="AL565" s="17">
        <v>8.8000000000000007</v>
      </c>
      <c r="AM565" s="27">
        <v>0</v>
      </c>
    </row>
    <row r="566" spans="1:39" x14ac:dyDescent="0.25">
      <c r="A566" s="10">
        <v>565</v>
      </c>
      <c r="B566" s="9" t="s">
        <v>651</v>
      </c>
      <c r="C566" s="9" t="s">
        <v>682</v>
      </c>
      <c r="D566" s="10">
        <v>1</v>
      </c>
      <c r="E566" s="11">
        <v>131</v>
      </c>
      <c r="F566" s="17">
        <v>67.8</v>
      </c>
      <c r="G566" s="17">
        <v>2.4</v>
      </c>
      <c r="H566" s="17">
        <v>3.3</v>
      </c>
      <c r="I566" s="17">
        <v>6.6</v>
      </c>
      <c r="J566" s="22" t="s">
        <v>100</v>
      </c>
      <c r="K566" s="17">
        <v>14.1</v>
      </c>
      <c r="L566" s="17">
        <v>5.9</v>
      </c>
      <c r="M566" s="19">
        <v>2.84</v>
      </c>
      <c r="N566" s="19">
        <v>1.1599999999999999</v>
      </c>
      <c r="O566" s="19">
        <v>0.9</v>
      </c>
      <c r="P566" s="28">
        <v>0</v>
      </c>
      <c r="Q566" s="17">
        <v>0</v>
      </c>
      <c r="R566" s="17">
        <v>146</v>
      </c>
      <c r="S566" s="17">
        <v>21.8</v>
      </c>
      <c r="T566" s="17">
        <v>0</v>
      </c>
      <c r="U566" s="22" t="s">
        <v>100</v>
      </c>
      <c r="V566" s="22" t="s">
        <v>100</v>
      </c>
      <c r="W566" s="17">
        <v>0</v>
      </c>
      <c r="X566" s="17">
        <v>0.2</v>
      </c>
      <c r="Y566" s="17">
        <v>0.9</v>
      </c>
      <c r="Z566" s="17">
        <v>0.3</v>
      </c>
      <c r="AA566" s="17">
        <v>0.8</v>
      </c>
      <c r="AB566" s="17">
        <v>0</v>
      </c>
      <c r="AC566" s="17">
        <v>109</v>
      </c>
      <c r="AD566" s="17">
        <v>26</v>
      </c>
      <c r="AE566" s="17">
        <v>668</v>
      </c>
      <c r="AF566" s="17">
        <v>317</v>
      </c>
      <c r="AG566" s="17">
        <v>66</v>
      </c>
      <c r="AH566" s="17">
        <v>91</v>
      </c>
      <c r="AI566" s="17">
        <v>6.7</v>
      </c>
      <c r="AJ566" s="17">
        <v>0.9</v>
      </c>
      <c r="AK566" s="17">
        <v>0.3</v>
      </c>
      <c r="AL566" s="22" t="s">
        <v>100</v>
      </c>
      <c r="AM566" s="27">
        <v>0</v>
      </c>
    </row>
    <row r="567" spans="1:39" x14ac:dyDescent="0.25">
      <c r="A567" s="10">
        <v>566</v>
      </c>
      <c r="B567" s="9" t="s">
        <v>651</v>
      </c>
      <c r="C567" s="9" t="s">
        <v>683</v>
      </c>
      <c r="D567" s="10">
        <v>1</v>
      </c>
      <c r="E567" s="11">
        <v>331</v>
      </c>
      <c r="F567" s="17">
        <v>9.3000000000000007</v>
      </c>
      <c r="G567" s="17">
        <v>6.5</v>
      </c>
      <c r="H567" s="17">
        <v>4.9000000000000004</v>
      </c>
      <c r="I567" s="17">
        <v>21.5</v>
      </c>
      <c r="J567" s="22" t="s">
        <v>100</v>
      </c>
      <c r="K567" s="17">
        <v>42.6</v>
      </c>
      <c r="L567" s="17">
        <v>15.2</v>
      </c>
      <c r="M567" s="19">
        <v>7.37</v>
      </c>
      <c r="N567" s="19">
        <v>3.01</v>
      </c>
      <c r="O567" s="19">
        <v>2.34</v>
      </c>
      <c r="P567" s="28">
        <v>0</v>
      </c>
      <c r="Q567" s="17">
        <v>0</v>
      </c>
      <c r="R567" s="17">
        <v>156</v>
      </c>
      <c r="S567" s="17">
        <v>61.2</v>
      </c>
      <c r="T567" s="17">
        <v>0</v>
      </c>
      <c r="U567" s="22" t="s">
        <v>100</v>
      </c>
      <c r="V567" s="22" t="s">
        <v>100</v>
      </c>
      <c r="W567" s="17">
        <v>0.5</v>
      </c>
      <c r="X567" s="17">
        <v>0.4</v>
      </c>
      <c r="Y567" s="17">
        <v>1</v>
      </c>
      <c r="Z567" s="17">
        <v>1.7</v>
      </c>
      <c r="AA567" s="22" t="s">
        <v>100</v>
      </c>
      <c r="AB567" s="17">
        <v>0</v>
      </c>
      <c r="AC567" s="17">
        <v>307</v>
      </c>
      <c r="AD567" s="17">
        <v>50</v>
      </c>
      <c r="AE567" s="17">
        <v>955</v>
      </c>
      <c r="AF567" s="17">
        <v>1280</v>
      </c>
      <c r="AG567" s="17">
        <v>70</v>
      </c>
      <c r="AH567" s="17">
        <v>220</v>
      </c>
      <c r="AI567" s="17">
        <v>29.3</v>
      </c>
      <c r="AJ567" s="17">
        <v>3.2</v>
      </c>
      <c r="AK567" s="17">
        <v>0.6</v>
      </c>
      <c r="AL567" s="17">
        <v>4.5999999999999996</v>
      </c>
      <c r="AM567" s="27">
        <v>0</v>
      </c>
    </row>
    <row r="568" spans="1:39" x14ac:dyDescent="0.25">
      <c r="A568" s="10">
        <v>567</v>
      </c>
      <c r="B568" s="9" t="s">
        <v>651</v>
      </c>
      <c r="C568" s="9" t="s">
        <v>684</v>
      </c>
      <c r="D568" s="10">
        <v>3</v>
      </c>
      <c r="E568" s="11">
        <v>0</v>
      </c>
      <c r="F568" s="17">
        <v>5</v>
      </c>
      <c r="G568" s="17">
        <v>95</v>
      </c>
      <c r="H568" s="17">
        <v>0</v>
      </c>
      <c r="I568" s="17">
        <v>0</v>
      </c>
      <c r="J568" s="27">
        <v>0</v>
      </c>
      <c r="K568" s="22" t="s">
        <v>100</v>
      </c>
      <c r="L568" s="17">
        <v>0</v>
      </c>
      <c r="M568" s="28">
        <v>0</v>
      </c>
      <c r="N568" s="28">
        <v>0</v>
      </c>
      <c r="O568" s="28">
        <v>0</v>
      </c>
      <c r="P568" s="28">
        <v>0</v>
      </c>
      <c r="Q568" s="27">
        <v>0</v>
      </c>
      <c r="R568" s="27">
        <v>0</v>
      </c>
      <c r="S568" s="27">
        <v>0</v>
      </c>
      <c r="T568" s="27">
        <v>0</v>
      </c>
      <c r="U568" s="27">
        <v>0</v>
      </c>
      <c r="V568" s="27">
        <v>0</v>
      </c>
      <c r="W568" s="27">
        <v>0</v>
      </c>
      <c r="X568" s="27">
        <v>0</v>
      </c>
      <c r="Y568" s="27">
        <v>0</v>
      </c>
      <c r="Z568" s="27">
        <v>0</v>
      </c>
      <c r="AA568" s="27">
        <v>0</v>
      </c>
      <c r="AB568" s="27">
        <v>0</v>
      </c>
      <c r="AC568" s="27">
        <v>0</v>
      </c>
      <c r="AD568" s="17">
        <v>35983</v>
      </c>
      <c r="AE568" s="17">
        <v>114</v>
      </c>
      <c r="AF568" s="27">
        <v>22.8</v>
      </c>
      <c r="AG568" s="27">
        <v>0</v>
      </c>
      <c r="AH568" s="27">
        <v>1</v>
      </c>
      <c r="AI568" s="27">
        <v>0.3</v>
      </c>
      <c r="AJ568" s="27">
        <v>0.1</v>
      </c>
      <c r="AK568" s="27">
        <v>0</v>
      </c>
      <c r="AL568" s="27">
        <v>0.1</v>
      </c>
      <c r="AM568" s="27">
        <v>0</v>
      </c>
    </row>
    <row r="569" spans="1:39" x14ac:dyDescent="0.25">
      <c r="A569" s="10">
        <v>568</v>
      </c>
      <c r="B569" s="9" t="s">
        <v>651</v>
      </c>
      <c r="C569" s="9" t="s">
        <v>685</v>
      </c>
      <c r="D569" s="10">
        <v>1</v>
      </c>
      <c r="E569" s="11">
        <v>0</v>
      </c>
      <c r="F569" s="17">
        <v>0.2</v>
      </c>
      <c r="G569" s="17">
        <v>99.8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9">
        <v>0</v>
      </c>
      <c r="N569" s="19">
        <v>0</v>
      </c>
      <c r="O569" s="19">
        <v>0</v>
      </c>
      <c r="P569" s="28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38758</v>
      </c>
      <c r="AE569" s="17">
        <v>8</v>
      </c>
      <c r="AF569" s="17">
        <v>24</v>
      </c>
      <c r="AG569" s="17">
        <v>0</v>
      </c>
      <c r="AH569" s="17">
        <v>1</v>
      </c>
      <c r="AI569" s="17">
        <v>0.3</v>
      </c>
      <c r="AJ569" s="17">
        <v>0.1</v>
      </c>
      <c r="AK569" s="17">
        <v>0</v>
      </c>
      <c r="AL569" s="17">
        <v>0.1</v>
      </c>
      <c r="AM569" s="27">
        <v>0</v>
      </c>
    </row>
    <row r="570" spans="1:39" x14ac:dyDescent="0.25">
      <c r="A570" s="10">
        <v>569</v>
      </c>
      <c r="B570" s="9" t="s">
        <v>651</v>
      </c>
      <c r="C570" s="9" t="s">
        <v>686</v>
      </c>
      <c r="D570" s="10">
        <v>1</v>
      </c>
      <c r="E570" s="11">
        <v>525</v>
      </c>
      <c r="F570" s="17">
        <v>6</v>
      </c>
      <c r="G570" s="17">
        <v>6.4</v>
      </c>
      <c r="H570" s="17">
        <v>18</v>
      </c>
      <c r="I570" s="17">
        <v>8.6</v>
      </c>
      <c r="J570" s="17">
        <v>3</v>
      </c>
      <c r="K570" s="17">
        <v>19.5</v>
      </c>
      <c r="L570" s="17">
        <v>41.6</v>
      </c>
      <c r="M570" s="19">
        <v>4.5199999999999996</v>
      </c>
      <c r="N570" s="19">
        <v>5.98</v>
      </c>
      <c r="O570" s="19">
        <v>28.57</v>
      </c>
      <c r="P570" s="28">
        <v>0</v>
      </c>
      <c r="Q570" s="17">
        <v>0</v>
      </c>
      <c r="R570" s="17">
        <v>0</v>
      </c>
      <c r="S570" s="17">
        <v>1</v>
      </c>
      <c r="T570" s="17">
        <v>0</v>
      </c>
      <c r="U570" s="17">
        <v>1.8</v>
      </c>
      <c r="V570" s="17">
        <v>0</v>
      </c>
      <c r="W570" s="17">
        <v>0.9</v>
      </c>
      <c r="X570" s="17">
        <v>0.1</v>
      </c>
      <c r="Y570" s="17">
        <v>0.9</v>
      </c>
      <c r="Z570" s="17">
        <v>0.2</v>
      </c>
      <c r="AA570" s="17">
        <v>0.3</v>
      </c>
      <c r="AB570" s="17">
        <v>0</v>
      </c>
      <c r="AC570" s="17">
        <v>82</v>
      </c>
      <c r="AD570" s="17">
        <v>26</v>
      </c>
      <c r="AE570" s="17">
        <v>719</v>
      </c>
      <c r="AF570" s="17">
        <v>1438</v>
      </c>
      <c r="AG570" s="17">
        <v>870</v>
      </c>
      <c r="AH570" s="17">
        <v>347</v>
      </c>
      <c r="AI570" s="17">
        <v>9.8000000000000007</v>
      </c>
      <c r="AJ570" s="17">
        <v>7.9</v>
      </c>
      <c r="AK570" s="17">
        <v>1.6</v>
      </c>
      <c r="AL570" s="17">
        <v>13.5</v>
      </c>
      <c r="AM570" s="27">
        <v>0</v>
      </c>
    </row>
    <row r="571" spans="1:39" x14ac:dyDescent="0.25">
      <c r="A571" s="10">
        <v>570</v>
      </c>
      <c r="B571" s="9" t="s">
        <v>651</v>
      </c>
      <c r="C571" s="9" t="s">
        <v>687</v>
      </c>
      <c r="D571" s="10">
        <v>1</v>
      </c>
      <c r="E571" s="11">
        <v>375</v>
      </c>
      <c r="F571" s="17">
        <v>8.1</v>
      </c>
      <c r="G571" s="17">
        <v>7.6</v>
      </c>
      <c r="H571" s="17">
        <v>17.8</v>
      </c>
      <c r="I571" s="17">
        <v>33.700000000000003</v>
      </c>
      <c r="J571" s="17">
        <v>2.2999999999999998</v>
      </c>
      <c r="K571" s="17">
        <v>10.5</v>
      </c>
      <c r="L571" s="17">
        <v>22.3</v>
      </c>
      <c r="M571" s="19">
        <v>1.54</v>
      </c>
      <c r="N571" s="19">
        <v>14.04</v>
      </c>
      <c r="O571" s="19">
        <v>3.28</v>
      </c>
      <c r="P571" s="28">
        <v>0</v>
      </c>
      <c r="Q571" s="17">
        <v>0</v>
      </c>
      <c r="R571" s="17">
        <v>64</v>
      </c>
      <c r="S571" s="17">
        <v>7.7</v>
      </c>
      <c r="T571" s="17">
        <v>0</v>
      </c>
      <c r="U571" s="17">
        <v>3.3</v>
      </c>
      <c r="V571" s="17">
        <v>5.4</v>
      </c>
      <c r="W571" s="17">
        <v>0.6</v>
      </c>
      <c r="X571" s="17">
        <v>0.3</v>
      </c>
      <c r="Y571" s="17">
        <v>4.5999999999999996</v>
      </c>
      <c r="Z571" s="17">
        <v>0.4</v>
      </c>
      <c r="AA571" s="22" t="s">
        <v>100</v>
      </c>
      <c r="AB571" s="17">
        <v>0</v>
      </c>
      <c r="AC571" s="17">
        <v>10</v>
      </c>
      <c r="AD571" s="17">
        <v>168</v>
      </c>
      <c r="AE571" s="17">
        <v>1788</v>
      </c>
      <c r="AF571" s="17">
        <v>931</v>
      </c>
      <c r="AG571" s="17">
        <v>499</v>
      </c>
      <c r="AH571" s="17">
        <v>366</v>
      </c>
      <c r="AI571" s="17">
        <v>66.400000000000006</v>
      </c>
      <c r="AJ571" s="17">
        <v>4.8</v>
      </c>
      <c r="AK571" s="17">
        <v>0.9</v>
      </c>
      <c r="AL571" s="17">
        <v>5.2</v>
      </c>
      <c r="AM571" s="27">
        <v>0</v>
      </c>
    </row>
    <row r="572" spans="1:39" x14ac:dyDescent="0.25">
      <c r="A572" s="10">
        <v>571</v>
      </c>
      <c r="B572" s="9" t="s">
        <v>651</v>
      </c>
      <c r="C572" s="9" t="s">
        <v>688</v>
      </c>
      <c r="D572" s="10">
        <v>1</v>
      </c>
      <c r="E572" s="11">
        <v>345</v>
      </c>
      <c r="F572" s="17">
        <v>8.8000000000000007</v>
      </c>
      <c r="G572" s="17">
        <v>8.1999999999999993</v>
      </c>
      <c r="H572" s="17">
        <v>15.8</v>
      </c>
      <c r="I572" s="17">
        <v>12.5</v>
      </c>
      <c r="J572" s="22" t="s">
        <v>100</v>
      </c>
      <c r="K572" s="17">
        <v>39.799999999999997</v>
      </c>
      <c r="L572" s="17">
        <v>14.9</v>
      </c>
      <c r="M572" s="19">
        <v>0.48</v>
      </c>
      <c r="N572" s="19">
        <v>9.91</v>
      </c>
      <c r="O572" s="19">
        <v>1.69</v>
      </c>
      <c r="P572" s="28">
        <v>0</v>
      </c>
      <c r="Q572" s="17">
        <v>0</v>
      </c>
      <c r="R572" s="17">
        <v>7</v>
      </c>
      <c r="S572" s="17">
        <v>21</v>
      </c>
      <c r="T572" s="17">
        <v>0</v>
      </c>
      <c r="U572" s="22" t="s">
        <v>100</v>
      </c>
      <c r="V572" s="22" t="s">
        <v>100</v>
      </c>
      <c r="W572" s="17">
        <v>0.4</v>
      </c>
      <c r="X572" s="17">
        <v>0.4</v>
      </c>
      <c r="Y572" s="17">
        <v>6.1</v>
      </c>
      <c r="Z572" s="17">
        <v>0.5</v>
      </c>
      <c r="AA572" s="22" t="s">
        <v>100</v>
      </c>
      <c r="AB572" s="17">
        <v>0</v>
      </c>
      <c r="AC572" s="22" t="s">
        <v>100</v>
      </c>
      <c r="AD572" s="17">
        <v>88</v>
      </c>
      <c r="AE572" s="17">
        <v>1694</v>
      </c>
      <c r="AF572" s="17">
        <v>1196</v>
      </c>
      <c r="AG572" s="17">
        <v>487</v>
      </c>
      <c r="AH572" s="17">
        <v>385</v>
      </c>
      <c r="AI572" s="17">
        <v>18.5</v>
      </c>
      <c r="AJ572" s="17">
        <v>3.7</v>
      </c>
      <c r="AK572" s="17">
        <v>1.1000000000000001</v>
      </c>
      <c r="AL572" s="22" t="s">
        <v>100</v>
      </c>
      <c r="AM572" s="27">
        <v>0</v>
      </c>
    </row>
    <row r="573" spans="1:39" x14ac:dyDescent="0.25">
      <c r="A573" s="10">
        <v>572</v>
      </c>
      <c r="B573" s="9" t="s">
        <v>651</v>
      </c>
      <c r="C573" s="9" t="s">
        <v>689</v>
      </c>
      <c r="D573" s="10">
        <v>1</v>
      </c>
      <c r="E573" s="11">
        <v>508</v>
      </c>
      <c r="F573" s="17">
        <v>5.3</v>
      </c>
      <c r="G573" s="17">
        <v>4.3</v>
      </c>
      <c r="H573" s="17">
        <v>26.1</v>
      </c>
      <c r="I573" s="17">
        <v>15.9</v>
      </c>
      <c r="J573" s="17">
        <v>6.8</v>
      </c>
      <c r="K573" s="17">
        <v>12.2</v>
      </c>
      <c r="L573" s="17">
        <v>36.200000000000003</v>
      </c>
      <c r="M573" s="19">
        <v>1.99</v>
      </c>
      <c r="N573" s="19">
        <v>22.52</v>
      </c>
      <c r="O573" s="19">
        <v>10.09</v>
      </c>
      <c r="P573" s="28">
        <v>0</v>
      </c>
      <c r="Q573" s="17">
        <v>0</v>
      </c>
      <c r="R573" s="17">
        <v>2</v>
      </c>
      <c r="S573" s="17">
        <v>7.1</v>
      </c>
      <c r="T573" s="17">
        <v>0</v>
      </c>
      <c r="U573" s="17">
        <v>5.0999999999999996</v>
      </c>
      <c r="V573" s="17">
        <v>5.4</v>
      </c>
      <c r="W573" s="17">
        <v>0.8</v>
      </c>
      <c r="X573" s="17">
        <v>0.3</v>
      </c>
      <c r="Y573" s="17">
        <v>4.7</v>
      </c>
      <c r="Z573" s="17">
        <v>0.4</v>
      </c>
      <c r="AA573" s="17">
        <v>0.8</v>
      </c>
      <c r="AB573" s="17">
        <v>0</v>
      </c>
      <c r="AC573" s="17">
        <v>162</v>
      </c>
      <c r="AD573" s="17">
        <v>13</v>
      </c>
      <c r="AE573" s="17">
        <v>738</v>
      </c>
      <c r="AF573" s="17">
        <v>266</v>
      </c>
      <c r="AG573" s="17">
        <v>828</v>
      </c>
      <c r="AH573" s="17">
        <v>370</v>
      </c>
      <c r="AI573" s="17">
        <v>9.1999999999999993</v>
      </c>
      <c r="AJ573" s="17">
        <v>6.1</v>
      </c>
      <c r="AK573" s="17">
        <v>0.6</v>
      </c>
      <c r="AL573" s="17">
        <v>208.1</v>
      </c>
      <c r="AM573" s="27">
        <v>0</v>
      </c>
    </row>
    <row r="574" spans="1:39" x14ac:dyDescent="0.25">
      <c r="A574" s="10">
        <v>573</v>
      </c>
      <c r="B574" s="9" t="s">
        <v>651</v>
      </c>
      <c r="C574" s="9" t="s">
        <v>690</v>
      </c>
      <c r="D574" s="10">
        <v>1</v>
      </c>
      <c r="E574" s="11">
        <v>101</v>
      </c>
      <c r="F574" s="17">
        <v>65.099999999999994</v>
      </c>
      <c r="G574" s="17">
        <v>3.2</v>
      </c>
      <c r="H574" s="17">
        <v>5.6</v>
      </c>
      <c r="I574" s="17">
        <v>10.5</v>
      </c>
      <c r="J574" s="22" t="s">
        <v>100</v>
      </c>
      <c r="K574" s="17">
        <v>14</v>
      </c>
      <c r="L574" s="17">
        <v>1.7</v>
      </c>
      <c r="M574" s="19">
        <v>0.47</v>
      </c>
      <c r="N574" s="19">
        <v>0.08</v>
      </c>
      <c r="O574" s="19">
        <v>0.53</v>
      </c>
      <c r="P574" s="28">
        <v>0</v>
      </c>
      <c r="Q574" s="17">
        <v>0</v>
      </c>
      <c r="R574" s="17">
        <v>238</v>
      </c>
      <c r="S574" s="17">
        <v>160.1</v>
      </c>
      <c r="T574" s="17">
        <v>0</v>
      </c>
      <c r="U574" s="22" t="s">
        <v>100</v>
      </c>
      <c r="V574" s="22" t="s">
        <v>100</v>
      </c>
      <c r="W574" s="17">
        <v>0</v>
      </c>
      <c r="X574" s="17">
        <v>0.5</v>
      </c>
      <c r="Y574" s="17">
        <v>1.8</v>
      </c>
      <c r="Z574" s="17">
        <v>0.3</v>
      </c>
      <c r="AA574" s="17">
        <v>0.4</v>
      </c>
      <c r="AB574" s="17">
        <v>0</v>
      </c>
      <c r="AC574" s="17">
        <v>45</v>
      </c>
      <c r="AD574" s="17">
        <v>9</v>
      </c>
      <c r="AE574" s="17">
        <v>609</v>
      </c>
      <c r="AF574" s="17">
        <v>405</v>
      </c>
      <c r="AG574" s="17">
        <v>106</v>
      </c>
      <c r="AH574" s="17">
        <v>160</v>
      </c>
      <c r="AI574" s="17">
        <v>17.5</v>
      </c>
      <c r="AJ574" s="17">
        <v>1.8</v>
      </c>
      <c r="AK574" s="17">
        <v>0.6</v>
      </c>
      <c r="AL574" s="22" t="s">
        <v>100</v>
      </c>
      <c r="AM574" s="27">
        <v>0</v>
      </c>
    </row>
    <row r="575" spans="1:39" x14ac:dyDescent="0.25">
      <c r="A575" s="10">
        <v>574</v>
      </c>
      <c r="B575" s="9" t="s">
        <v>651</v>
      </c>
      <c r="C575" s="9" t="s">
        <v>691</v>
      </c>
      <c r="D575" s="10">
        <v>1</v>
      </c>
      <c r="E575" s="11">
        <v>276</v>
      </c>
      <c r="F575" s="17">
        <v>7.8</v>
      </c>
      <c r="G575" s="17">
        <v>11.7</v>
      </c>
      <c r="H575" s="17">
        <v>9.1</v>
      </c>
      <c r="I575" s="17">
        <v>26.9</v>
      </c>
      <c r="J575" s="17">
        <v>1.7</v>
      </c>
      <c r="K575" s="17">
        <v>37</v>
      </c>
      <c r="L575" s="17">
        <v>7.4</v>
      </c>
      <c r="M575" s="19">
        <v>2.73</v>
      </c>
      <c r="N575" s="19">
        <v>0.47</v>
      </c>
      <c r="O575" s="19">
        <v>1.19</v>
      </c>
      <c r="P575" s="28">
        <v>0</v>
      </c>
      <c r="Q575" s="17">
        <v>0</v>
      </c>
      <c r="R575" s="17">
        <v>190</v>
      </c>
      <c r="S575" s="17">
        <v>50</v>
      </c>
      <c r="T575" s="17">
        <v>0</v>
      </c>
      <c r="U575" s="17">
        <v>7.5</v>
      </c>
      <c r="V575" s="17">
        <v>1714.5</v>
      </c>
      <c r="W575" s="17">
        <v>0.5</v>
      </c>
      <c r="X575" s="17">
        <v>0.4</v>
      </c>
      <c r="Y575" s="17">
        <v>4.9000000000000004</v>
      </c>
      <c r="Z575" s="17">
        <v>0.6</v>
      </c>
      <c r="AA575" s="22" t="s">
        <v>100</v>
      </c>
      <c r="AB575" s="17">
        <v>0</v>
      </c>
      <c r="AC575" s="17">
        <v>274</v>
      </c>
      <c r="AD575" s="17">
        <v>55</v>
      </c>
      <c r="AE575" s="17">
        <v>814</v>
      </c>
      <c r="AF575" s="17">
        <v>1890</v>
      </c>
      <c r="AG575" s="17">
        <v>201</v>
      </c>
      <c r="AH575" s="17">
        <v>220</v>
      </c>
      <c r="AI575" s="17">
        <v>123.6</v>
      </c>
      <c r="AJ575" s="17">
        <v>6.2</v>
      </c>
      <c r="AK575" s="17">
        <v>0.9</v>
      </c>
      <c r="AL575" s="17">
        <v>4.5999999999999996</v>
      </c>
      <c r="AM575" s="27">
        <v>0</v>
      </c>
    </row>
    <row r="576" spans="1:39" x14ac:dyDescent="0.25">
      <c r="A576" s="10">
        <v>575</v>
      </c>
      <c r="B576" s="9" t="s">
        <v>692</v>
      </c>
      <c r="C576" s="9" t="s">
        <v>693</v>
      </c>
      <c r="D576" s="10">
        <v>3</v>
      </c>
      <c r="E576" s="11">
        <v>153</v>
      </c>
      <c r="F576" s="17">
        <v>61.9</v>
      </c>
      <c r="G576" s="17">
        <v>0.1</v>
      </c>
      <c r="H576" s="17">
        <v>0.1</v>
      </c>
      <c r="I576" s="17">
        <v>37.9</v>
      </c>
      <c r="J576" s="27">
        <v>33.6</v>
      </c>
      <c r="K576" s="22" t="s">
        <v>100</v>
      </c>
      <c r="L576" s="17">
        <v>0</v>
      </c>
      <c r="M576" s="28">
        <v>0</v>
      </c>
      <c r="N576" s="28">
        <v>0</v>
      </c>
      <c r="O576" s="28">
        <v>0</v>
      </c>
      <c r="P576" s="28">
        <v>0</v>
      </c>
      <c r="Q576" s="27">
        <v>0</v>
      </c>
      <c r="R576" s="27">
        <v>4</v>
      </c>
      <c r="S576" s="27">
        <v>8.4</v>
      </c>
      <c r="T576" s="27">
        <v>0</v>
      </c>
      <c r="U576" s="27">
        <v>0.5</v>
      </c>
      <c r="V576" s="27">
        <v>11.1</v>
      </c>
      <c r="W576" s="27">
        <v>0.1</v>
      </c>
      <c r="X576" s="27">
        <v>0.1</v>
      </c>
      <c r="Y576" s="27">
        <v>0.3</v>
      </c>
      <c r="Z576" s="27">
        <v>0.1</v>
      </c>
      <c r="AA576" s="22" t="s">
        <v>100</v>
      </c>
      <c r="AB576" s="27">
        <v>0</v>
      </c>
      <c r="AC576" s="27">
        <v>14.8</v>
      </c>
      <c r="AD576" s="17">
        <v>20</v>
      </c>
      <c r="AE576" s="27">
        <v>2</v>
      </c>
      <c r="AF576" s="27">
        <v>0.5</v>
      </c>
      <c r="AG576" s="27">
        <v>0.5</v>
      </c>
      <c r="AH576" s="27">
        <v>0.5</v>
      </c>
      <c r="AI576" s="27">
        <v>0</v>
      </c>
      <c r="AJ576" s="27">
        <v>0</v>
      </c>
      <c r="AK576" s="27">
        <v>0</v>
      </c>
      <c r="AL576" s="27">
        <v>0.8</v>
      </c>
      <c r="AM576" s="27">
        <v>0</v>
      </c>
    </row>
    <row r="577" spans="1:39" x14ac:dyDescent="0.25">
      <c r="A577" s="10">
        <v>576</v>
      </c>
      <c r="B577" s="9" t="s">
        <v>692</v>
      </c>
      <c r="C577" s="9" t="s">
        <v>694</v>
      </c>
      <c r="D577" s="10">
        <v>3</v>
      </c>
      <c r="E577" s="11">
        <v>371</v>
      </c>
      <c r="F577" s="17">
        <v>6.7</v>
      </c>
      <c r="G577" s="17">
        <v>0.5</v>
      </c>
      <c r="H577" s="17">
        <v>0.4</v>
      </c>
      <c r="I577" s="17">
        <v>92.4</v>
      </c>
      <c r="J577" s="22" t="s">
        <v>100</v>
      </c>
      <c r="K577" s="22" t="s">
        <v>100</v>
      </c>
      <c r="L577" s="17">
        <v>0</v>
      </c>
      <c r="M577" s="22" t="s">
        <v>100</v>
      </c>
      <c r="N577" s="22" t="s">
        <v>100</v>
      </c>
      <c r="O577" s="22" t="s">
        <v>100</v>
      </c>
      <c r="P577" s="28">
        <v>0</v>
      </c>
      <c r="Q577" s="22" t="s">
        <v>100</v>
      </c>
      <c r="R577" s="22" t="s">
        <v>100</v>
      </c>
      <c r="S577" s="22" t="s">
        <v>100</v>
      </c>
      <c r="T577" s="22" t="s">
        <v>100</v>
      </c>
      <c r="U577" s="22" t="s">
        <v>100</v>
      </c>
      <c r="V577" s="22" t="s">
        <v>100</v>
      </c>
      <c r="W577" s="22" t="s">
        <v>100</v>
      </c>
      <c r="X577" s="22" t="s">
        <v>100</v>
      </c>
      <c r="Y577" s="22" t="s">
        <v>100</v>
      </c>
      <c r="Z577" s="22" t="s">
        <v>100</v>
      </c>
      <c r="AA577" s="22" t="s">
        <v>100</v>
      </c>
      <c r="AB577" s="22" t="s">
        <v>100</v>
      </c>
      <c r="AC577" s="22" t="s">
        <v>100</v>
      </c>
      <c r="AD577" s="17">
        <v>177</v>
      </c>
      <c r="AE577" s="17">
        <v>17</v>
      </c>
      <c r="AF577" s="17">
        <v>8</v>
      </c>
      <c r="AG577" s="17">
        <v>0.8</v>
      </c>
      <c r="AH577" s="17">
        <v>2</v>
      </c>
      <c r="AI577" s="17">
        <v>0.4</v>
      </c>
      <c r="AJ577" s="22" t="s">
        <v>100</v>
      </c>
      <c r="AK577" s="22" t="s">
        <v>100</v>
      </c>
      <c r="AL577" s="22" t="s">
        <v>100</v>
      </c>
      <c r="AM577" s="27">
        <v>0</v>
      </c>
    </row>
    <row r="578" spans="1:39" x14ac:dyDescent="0.25">
      <c r="A578" s="10">
        <v>577</v>
      </c>
      <c r="B578" s="9" t="s">
        <v>692</v>
      </c>
      <c r="C578" s="9" t="s">
        <v>695</v>
      </c>
      <c r="D578" s="10">
        <v>3</v>
      </c>
      <c r="E578" s="11">
        <v>49</v>
      </c>
      <c r="F578" s="17">
        <v>87.2</v>
      </c>
      <c r="G578" s="17">
        <v>0.6</v>
      </c>
      <c r="H578" s="17">
        <v>0.1</v>
      </c>
      <c r="I578" s="17">
        <v>12.1</v>
      </c>
      <c r="J578" s="22" t="s">
        <v>100</v>
      </c>
      <c r="K578" s="22" t="s">
        <v>100</v>
      </c>
      <c r="L578" s="17">
        <v>0</v>
      </c>
      <c r="M578" s="22" t="s">
        <v>100</v>
      </c>
      <c r="N578" s="22" t="s">
        <v>100</v>
      </c>
      <c r="O578" s="22" t="s">
        <v>100</v>
      </c>
      <c r="P578" s="28">
        <v>0</v>
      </c>
      <c r="Q578" s="22" t="s">
        <v>100</v>
      </c>
      <c r="R578" s="22" t="s">
        <v>100</v>
      </c>
      <c r="S578" s="22" t="s">
        <v>100</v>
      </c>
      <c r="T578" s="22" t="s">
        <v>100</v>
      </c>
      <c r="U578" s="22" t="s">
        <v>100</v>
      </c>
      <c r="V578" s="22" t="s">
        <v>100</v>
      </c>
      <c r="W578" s="22" t="s">
        <v>100</v>
      </c>
      <c r="X578" s="22" t="s">
        <v>100</v>
      </c>
      <c r="Y578" s="22" t="s">
        <v>100</v>
      </c>
      <c r="Z578" s="22" t="s">
        <v>100</v>
      </c>
      <c r="AA578" s="22" t="s">
        <v>100</v>
      </c>
      <c r="AB578" s="22" t="s">
        <v>100</v>
      </c>
      <c r="AC578" s="22" t="s">
        <v>100</v>
      </c>
      <c r="AD578" s="17">
        <v>70</v>
      </c>
      <c r="AE578" s="22" t="s">
        <v>100</v>
      </c>
      <c r="AF578" s="22" t="s">
        <v>100</v>
      </c>
      <c r="AG578" s="22" t="s">
        <v>100</v>
      </c>
      <c r="AH578" s="22" t="s">
        <v>100</v>
      </c>
      <c r="AI578" s="22" t="s">
        <v>100</v>
      </c>
      <c r="AJ578" s="22" t="s">
        <v>100</v>
      </c>
      <c r="AK578" s="22" t="s">
        <v>100</v>
      </c>
      <c r="AL578" s="22" t="s">
        <v>100</v>
      </c>
      <c r="AM578" s="27">
        <v>0</v>
      </c>
    </row>
    <row r="579" spans="1:39" x14ac:dyDescent="0.25">
      <c r="A579" s="10">
        <v>578</v>
      </c>
      <c r="B579" s="9" t="s">
        <v>692</v>
      </c>
      <c r="C579" s="9" t="s">
        <v>696</v>
      </c>
      <c r="D579" s="10">
        <v>3</v>
      </c>
      <c r="E579" s="11">
        <v>15</v>
      </c>
      <c r="F579" s="17">
        <v>96.1</v>
      </c>
      <c r="G579" s="17">
        <v>0.2</v>
      </c>
      <c r="H579" s="17">
        <v>0</v>
      </c>
      <c r="I579" s="17">
        <v>3.7</v>
      </c>
      <c r="J579" s="22" t="s">
        <v>100</v>
      </c>
      <c r="K579" s="22" t="s">
        <v>100</v>
      </c>
      <c r="L579" s="17">
        <v>0</v>
      </c>
      <c r="M579" s="22" t="s">
        <v>100</v>
      </c>
      <c r="N579" s="22" t="s">
        <v>100</v>
      </c>
      <c r="O579" s="22" t="s">
        <v>100</v>
      </c>
      <c r="P579" s="28">
        <v>0</v>
      </c>
      <c r="Q579" s="22" t="s">
        <v>100</v>
      </c>
      <c r="R579" s="22" t="s">
        <v>100</v>
      </c>
      <c r="S579" s="22" t="s">
        <v>100</v>
      </c>
      <c r="T579" s="22" t="s">
        <v>100</v>
      </c>
      <c r="U579" s="22" t="s">
        <v>100</v>
      </c>
      <c r="V579" s="22" t="s">
        <v>100</v>
      </c>
      <c r="W579" s="22" t="s">
        <v>100</v>
      </c>
      <c r="X579" s="22" t="s">
        <v>100</v>
      </c>
      <c r="Y579" s="22" t="s">
        <v>100</v>
      </c>
      <c r="Z579" s="22" t="s">
        <v>100</v>
      </c>
      <c r="AA579" s="22" t="s">
        <v>100</v>
      </c>
      <c r="AB579" s="22" t="s">
        <v>100</v>
      </c>
      <c r="AC579" s="22" t="s">
        <v>100</v>
      </c>
      <c r="AD579" s="17">
        <v>0.9</v>
      </c>
      <c r="AE579" s="22" t="s">
        <v>100</v>
      </c>
      <c r="AF579" s="22" t="s">
        <v>100</v>
      </c>
      <c r="AG579" s="22" t="s">
        <v>100</v>
      </c>
      <c r="AH579" s="22" t="s">
        <v>100</v>
      </c>
      <c r="AI579" s="22" t="s">
        <v>100</v>
      </c>
      <c r="AJ579" s="22" t="s">
        <v>100</v>
      </c>
      <c r="AK579" s="22" t="s">
        <v>100</v>
      </c>
      <c r="AL579" s="22" t="s">
        <v>100</v>
      </c>
      <c r="AM579" s="27">
        <v>0</v>
      </c>
    </row>
    <row r="580" spans="1:39" x14ac:dyDescent="0.25">
      <c r="A580" s="10">
        <v>579</v>
      </c>
      <c r="B580" s="9" t="s">
        <v>697</v>
      </c>
      <c r="C580" s="9" t="s">
        <v>698</v>
      </c>
      <c r="D580" s="10">
        <v>3</v>
      </c>
      <c r="E580" s="11">
        <v>109</v>
      </c>
      <c r="F580" s="17">
        <v>74.5</v>
      </c>
      <c r="G580" s="17">
        <v>1.7</v>
      </c>
      <c r="H580" s="17">
        <v>19.899999999999999</v>
      </c>
      <c r="I580" s="17">
        <v>1.2</v>
      </c>
      <c r="J580" s="22" t="s">
        <v>100</v>
      </c>
      <c r="K580" s="22" t="s">
        <v>100</v>
      </c>
      <c r="L580" s="17">
        <v>2.7</v>
      </c>
      <c r="M580" s="22" t="s">
        <v>100</v>
      </c>
      <c r="N580" s="22" t="s">
        <v>100</v>
      </c>
      <c r="O580" s="22" t="s">
        <v>100</v>
      </c>
      <c r="P580" s="22" t="s">
        <v>100</v>
      </c>
      <c r="Q580" s="22" t="s">
        <v>100</v>
      </c>
      <c r="R580" s="22" t="s">
        <v>100</v>
      </c>
      <c r="S580" s="22" t="s">
        <v>100</v>
      </c>
      <c r="T580" s="22" t="s">
        <v>100</v>
      </c>
      <c r="U580" s="22" t="s">
        <v>100</v>
      </c>
      <c r="V580" s="22" t="s">
        <v>100</v>
      </c>
      <c r="W580" s="22" t="s">
        <v>100</v>
      </c>
      <c r="X580" s="22" t="s">
        <v>100</v>
      </c>
      <c r="Y580" s="22" t="s">
        <v>100</v>
      </c>
      <c r="Z580" s="22" t="s">
        <v>100</v>
      </c>
      <c r="AA580" s="22" t="s">
        <v>100</v>
      </c>
      <c r="AB580" s="22" t="s">
        <v>100</v>
      </c>
      <c r="AC580" s="22" t="s">
        <v>100</v>
      </c>
      <c r="AD580" s="17">
        <v>388</v>
      </c>
      <c r="AE580" s="22" t="s">
        <v>100</v>
      </c>
      <c r="AF580" s="22" t="s">
        <v>100</v>
      </c>
      <c r="AG580" s="22" t="s">
        <v>100</v>
      </c>
      <c r="AH580" s="22" t="s">
        <v>100</v>
      </c>
      <c r="AI580" s="22" t="s">
        <v>100</v>
      </c>
      <c r="AJ580" s="22" t="s">
        <v>100</v>
      </c>
      <c r="AK580" s="22" t="s">
        <v>100</v>
      </c>
      <c r="AL580" s="22" t="s">
        <v>100</v>
      </c>
      <c r="AM580" s="27">
        <v>0</v>
      </c>
    </row>
    <row r="581" spans="1:39" x14ac:dyDescent="0.25">
      <c r="A581" s="10">
        <v>580</v>
      </c>
      <c r="B581" s="9" t="s">
        <v>697</v>
      </c>
      <c r="C581" s="9" t="s">
        <v>699</v>
      </c>
      <c r="D581" s="10">
        <v>3</v>
      </c>
      <c r="E581" s="11">
        <v>30</v>
      </c>
      <c r="F581" s="17">
        <v>92.9</v>
      </c>
      <c r="G581" s="17">
        <v>0.4</v>
      </c>
      <c r="H581" s="17">
        <v>1.5</v>
      </c>
      <c r="I581" s="17">
        <v>4.5</v>
      </c>
      <c r="J581" s="22" t="s">
        <v>100</v>
      </c>
      <c r="K581" s="22" t="s">
        <v>100</v>
      </c>
      <c r="L581" s="17">
        <v>0.7</v>
      </c>
      <c r="M581" s="22" t="s">
        <v>100</v>
      </c>
      <c r="N581" s="22" t="s">
        <v>100</v>
      </c>
      <c r="O581" s="22" t="s">
        <v>100</v>
      </c>
      <c r="P581" s="22" t="s">
        <v>100</v>
      </c>
      <c r="Q581" s="22" t="s">
        <v>100</v>
      </c>
      <c r="R581" s="22" t="s">
        <v>100</v>
      </c>
      <c r="S581" s="22" t="s">
        <v>100</v>
      </c>
      <c r="T581" s="22" t="s">
        <v>100</v>
      </c>
      <c r="U581" s="22" t="s">
        <v>100</v>
      </c>
      <c r="V581" s="22" t="s">
        <v>100</v>
      </c>
      <c r="W581" s="22" t="s">
        <v>100</v>
      </c>
      <c r="X581" s="22" t="s">
        <v>100</v>
      </c>
      <c r="Y581" s="22" t="s">
        <v>100</v>
      </c>
      <c r="Z581" s="22" t="s">
        <v>100</v>
      </c>
      <c r="AA581" s="22" t="s">
        <v>100</v>
      </c>
      <c r="AB581" s="22" t="s">
        <v>100</v>
      </c>
      <c r="AC581" s="22" t="s">
        <v>100</v>
      </c>
      <c r="AD581" s="17">
        <v>35</v>
      </c>
      <c r="AE581" s="22" t="s">
        <v>100</v>
      </c>
      <c r="AF581" s="22" t="s">
        <v>100</v>
      </c>
      <c r="AG581" s="22" t="s">
        <v>100</v>
      </c>
      <c r="AH581" s="22" t="s">
        <v>100</v>
      </c>
      <c r="AI581" s="22" t="s">
        <v>100</v>
      </c>
      <c r="AJ581" s="22" t="s">
        <v>100</v>
      </c>
      <c r="AK581" s="22" t="s">
        <v>100</v>
      </c>
      <c r="AL581" s="22" t="s">
        <v>100</v>
      </c>
      <c r="AM581" s="27">
        <v>0</v>
      </c>
    </row>
    <row r="582" spans="1:39" x14ac:dyDescent="0.25">
      <c r="A582" s="10">
        <v>581</v>
      </c>
      <c r="B582" s="9" t="s">
        <v>697</v>
      </c>
      <c r="C582" s="9" t="s">
        <v>700</v>
      </c>
      <c r="D582" s="10">
        <v>3</v>
      </c>
      <c r="E582" s="11">
        <v>151</v>
      </c>
      <c r="F582" s="17">
        <v>68.2</v>
      </c>
      <c r="G582" s="17">
        <v>1.5</v>
      </c>
      <c r="H582" s="17">
        <v>23.8</v>
      </c>
      <c r="I582" s="17">
        <v>0.6</v>
      </c>
      <c r="J582" s="22" t="s">
        <v>100</v>
      </c>
      <c r="K582" s="22" t="s">
        <v>100</v>
      </c>
      <c r="L582" s="17">
        <v>5.9</v>
      </c>
      <c r="M582" s="22" t="s">
        <v>100</v>
      </c>
      <c r="N582" s="22" t="s">
        <v>100</v>
      </c>
      <c r="O582" s="22" t="s">
        <v>100</v>
      </c>
      <c r="P582" s="22" t="s">
        <v>100</v>
      </c>
      <c r="Q582" s="22" t="s">
        <v>100</v>
      </c>
      <c r="R582" s="22" t="s">
        <v>100</v>
      </c>
      <c r="S582" s="22" t="s">
        <v>100</v>
      </c>
      <c r="T582" s="22" t="s">
        <v>100</v>
      </c>
      <c r="U582" s="22" t="s">
        <v>100</v>
      </c>
      <c r="V582" s="22" t="s">
        <v>100</v>
      </c>
      <c r="W582" s="22" t="s">
        <v>100</v>
      </c>
      <c r="X582" s="22" t="s">
        <v>100</v>
      </c>
      <c r="Y582" s="22" t="s">
        <v>100</v>
      </c>
      <c r="Z582" s="22" t="s">
        <v>100</v>
      </c>
      <c r="AA582" s="22" t="s">
        <v>100</v>
      </c>
      <c r="AB582" s="22" t="s">
        <v>100</v>
      </c>
      <c r="AC582" s="22" t="s">
        <v>100</v>
      </c>
      <c r="AD582" s="17">
        <v>385</v>
      </c>
      <c r="AE582" s="22" t="s">
        <v>100</v>
      </c>
      <c r="AF582" s="22" t="s">
        <v>100</v>
      </c>
      <c r="AG582" s="22" t="s">
        <v>100</v>
      </c>
      <c r="AH582" s="22" t="s">
        <v>100</v>
      </c>
      <c r="AI582" s="22" t="s">
        <v>100</v>
      </c>
      <c r="AJ582" s="22" t="s">
        <v>100</v>
      </c>
      <c r="AK582" s="22" t="s">
        <v>100</v>
      </c>
      <c r="AL582" s="22" t="s">
        <v>100</v>
      </c>
      <c r="AM582" s="27">
        <v>0</v>
      </c>
    </row>
    <row r="583" spans="1:39" x14ac:dyDescent="0.25">
      <c r="A583" s="10">
        <v>582</v>
      </c>
      <c r="B583" s="9" t="s">
        <v>697</v>
      </c>
      <c r="C583" s="9" t="s">
        <v>701</v>
      </c>
      <c r="D583" s="10">
        <v>3</v>
      </c>
      <c r="E583" s="11">
        <v>22</v>
      </c>
      <c r="F583" s="17">
        <v>94.4</v>
      </c>
      <c r="G583" s="17">
        <v>1</v>
      </c>
      <c r="H583" s="17">
        <v>0.3</v>
      </c>
      <c r="I583" s="17">
        <v>3.5</v>
      </c>
      <c r="J583" s="22" t="s">
        <v>100</v>
      </c>
      <c r="K583" s="22" t="s">
        <v>100</v>
      </c>
      <c r="L583" s="17">
        <v>0.8</v>
      </c>
      <c r="M583" s="22" t="s">
        <v>100</v>
      </c>
      <c r="N583" s="22" t="s">
        <v>100</v>
      </c>
      <c r="O583" s="22" t="s">
        <v>100</v>
      </c>
      <c r="P583" s="22" t="s">
        <v>100</v>
      </c>
      <c r="Q583" s="22" t="s">
        <v>100</v>
      </c>
      <c r="R583" s="22" t="s">
        <v>100</v>
      </c>
      <c r="S583" s="22" t="s">
        <v>100</v>
      </c>
      <c r="T583" s="22" t="s">
        <v>100</v>
      </c>
      <c r="U583" s="22" t="s">
        <v>100</v>
      </c>
      <c r="V583" s="22" t="s">
        <v>100</v>
      </c>
      <c r="W583" s="22" t="s">
        <v>100</v>
      </c>
      <c r="X583" s="22" t="s">
        <v>100</v>
      </c>
      <c r="Y583" s="22" t="s">
        <v>100</v>
      </c>
      <c r="Z583" s="22" t="s">
        <v>100</v>
      </c>
      <c r="AA583" s="22" t="s">
        <v>100</v>
      </c>
      <c r="AB583" s="22" t="s">
        <v>100</v>
      </c>
      <c r="AC583" s="22" t="s">
        <v>100</v>
      </c>
      <c r="AD583" s="17">
        <v>361</v>
      </c>
      <c r="AE583" s="22" t="s">
        <v>100</v>
      </c>
      <c r="AF583" s="22" t="s">
        <v>100</v>
      </c>
      <c r="AG583" s="22" t="s">
        <v>100</v>
      </c>
      <c r="AH583" s="22" t="s">
        <v>100</v>
      </c>
      <c r="AI583" s="22" t="s">
        <v>100</v>
      </c>
      <c r="AJ583" s="22" t="s">
        <v>100</v>
      </c>
      <c r="AK583" s="22" t="s">
        <v>100</v>
      </c>
      <c r="AL583" s="22" t="s">
        <v>100</v>
      </c>
      <c r="AM583" s="27">
        <v>0</v>
      </c>
    </row>
    <row r="584" spans="1:39" x14ac:dyDescent="0.25">
      <c r="A584" s="10">
        <v>583</v>
      </c>
      <c r="B584" s="9" t="s">
        <v>697</v>
      </c>
      <c r="C584" s="9" t="s">
        <v>702</v>
      </c>
      <c r="D584" s="10">
        <v>3</v>
      </c>
      <c r="E584" s="11">
        <v>90</v>
      </c>
      <c r="F584" s="17">
        <v>81.099999999999994</v>
      </c>
      <c r="G584" s="17">
        <v>1.3</v>
      </c>
      <c r="H584" s="17">
        <v>3.3</v>
      </c>
      <c r="I584" s="17">
        <v>10.3</v>
      </c>
      <c r="J584" s="22" t="s">
        <v>100</v>
      </c>
      <c r="K584" s="22" t="s">
        <v>100</v>
      </c>
      <c r="L584" s="17">
        <v>4</v>
      </c>
      <c r="M584" s="22" t="s">
        <v>100</v>
      </c>
      <c r="N584" s="22" t="s">
        <v>100</v>
      </c>
      <c r="O584" s="22" t="s">
        <v>100</v>
      </c>
      <c r="P584" s="22" t="s">
        <v>100</v>
      </c>
      <c r="Q584" s="22" t="s">
        <v>100</v>
      </c>
      <c r="R584" s="22" t="s">
        <v>100</v>
      </c>
      <c r="S584" s="22" t="s">
        <v>100</v>
      </c>
      <c r="T584" s="22" t="s">
        <v>100</v>
      </c>
      <c r="U584" s="22" t="s">
        <v>100</v>
      </c>
      <c r="V584" s="22" t="s">
        <v>100</v>
      </c>
      <c r="W584" s="22" t="s">
        <v>100</v>
      </c>
      <c r="X584" s="22" t="s">
        <v>100</v>
      </c>
      <c r="Y584" s="22" t="s">
        <v>100</v>
      </c>
      <c r="Z584" s="22" t="s">
        <v>100</v>
      </c>
      <c r="AA584" s="22" t="s">
        <v>100</v>
      </c>
      <c r="AB584" s="22" t="s">
        <v>100</v>
      </c>
      <c r="AC584" s="22" t="s">
        <v>100</v>
      </c>
      <c r="AD584" s="17">
        <v>339</v>
      </c>
      <c r="AE584" s="22" t="s">
        <v>100</v>
      </c>
      <c r="AF584" s="22" t="s">
        <v>100</v>
      </c>
      <c r="AG584" s="22" t="s">
        <v>100</v>
      </c>
      <c r="AH584" s="22" t="s">
        <v>100</v>
      </c>
      <c r="AI584" s="22" t="s">
        <v>100</v>
      </c>
      <c r="AJ584" s="22" t="s">
        <v>100</v>
      </c>
      <c r="AK584" s="22" t="s">
        <v>100</v>
      </c>
      <c r="AL584" s="22" t="s">
        <v>100</v>
      </c>
      <c r="AM584" s="27">
        <v>0</v>
      </c>
    </row>
    <row r="585" spans="1:39" x14ac:dyDescent="0.25">
      <c r="A585" s="10">
        <v>584</v>
      </c>
      <c r="B585" s="9" t="s">
        <v>697</v>
      </c>
      <c r="C585" s="9" t="s">
        <v>703</v>
      </c>
      <c r="D585" s="10">
        <v>3</v>
      </c>
      <c r="E585" s="11">
        <v>96</v>
      </c>
      <c r="F585" s="17">
        <v>77.2</v>
      </c>
      <c r="G585" s="17">
        <v>0.3</v>
      </c>
      <c r="H585" s="17">
        <v>1.1000000000000001</v>
      </c>
      <c r="I585" s="17">
        <v>20.2</v>
      </c>
      <c r="J585" s="22" t="s">
        <v>100</v>
      </c>
      <c r="K585" s="22" t="s">
        <v>100</v>
      </c>
      <c r="L585" s="17">
        <v>1.2</v>
      </c>
      <c r="M585" s="22" t="s">
        <v>100</v>
      </c>
      <c r="N585" s="22" t="s">
        <v>100</v>
      </c>
      <c r="O585" s="22" t="s">
        <v>100</v>
      </c>
      <c r="P585" s="22" t="s">
        <v>100</v>
      </c>
      <c r="Q585" s="22" t="s">
        <v>100</v>
      </c>
      <c r="R585" s="22" t="s">
        <v>100</v>
      </c>
      <c r="S585" s="22" t="s">
        <v>100</v>
      </c>
      <c r="T585" s="22" t="s">
        <v>100</v>
      </c>
      <c r="U585" s="22" t="s">
        <v>100</v>
      </c>
      <c r="V585" s="22" t="s">
        <v>100</v>
      </c>
      <c r="W585" s="22" t="s">
        <v>100</v>
      </c>
      <c r="X585" s="22" t="s">
        <v>100</v>
      </c>
      <c r="Y585" s="22" t="s">
        <v>100</v>
      </c>
      <c r="Z585" s="22" t="s">
        <v>100</v>
      </c>
      <c r="AA585" s="22" t="s">
        <v>100</v>
      </c>
      <c r="AB585" s="22" t="s">
        <v>100</v>
      </c>
      <c r="AC585" s="22" t="s">
        <v>100</v>
      </c>
      <c r="AD585" s="17">
        <v>29</v>
      </c>
      <c r="AE585" s="22" t="s">
        <v>100</v>
      </c>
      <c r="AF585" s="22" t="s">
        <v>100</v>
      </c>
      <c r="AG585" s="22" t="s">
        <v>100</v>
      </c>
      <c r="AH585" s="22" t="s">
        <v>100</v>
      </c>
      <c r="AI585" s="22" t="s">
        <v>100</v>
      </c>
      <c r="AJ585" s="22" t="s">
        <v>100</v>
      </c>
      <c r="AK585" s="22" t="s">
        <v>100</v>
      </c>
      <c r="AL585" s="22" t="s">
        <v>100</v>
      </c>
      <c r="AM585" s="27">
        <v>0</v>
      </c>
    </row>
    <row r="586" spans="1:39" x14ac:dyDescent="0.25">
      <c r="A586" s="10">
        <v>585</v>
      </c>
      <c r="B586" s="9" t="s">
        <v>697</v>
      </c>
      <c r="C586" s="9" t="s">
        <v>704</v>
      </c>
      <c r="D586" s="10">
        <v>3</v>
      </c>
      <c r="E586" s="11">
        <v>50</v>
      </c>
      <c r="F586" s="17">
        <v>86.5</v>
      </c>
      <c r="G586" s="17">
        <v>0.1</v>
      </c>
      <c r="H586" s="17">
        <v>0.2</v>
      </c>
      <c r="I586" s="17">
        <v>12</v>
      </c>
      <c r="J586" s="27">
        <v>11.7</v>
      </c>
      <c r="K586" s="17">
        <v>1.1000000000000001</v>
      </c>
      <c r="L586" s="17">
        <v>0.1</v>
      </c>
      <c r="M586" s="28">
        <v>0.02</v>
      </c>
      <c r="N586" s="28">
        <v>0</v>
      </c>
      <c r="O586" s="28">
        <v>0.03</v>
      </c>
      <c r="P586" s="22" t="s">
        <v>100</v>
      </c>
      <c r="Q586" s="27">
        <v>0</v>
      </c>
      <c r="R586" s="27">
        <v>1.2</v>
      </c>
      <c r="S586" s="17">
        <v>0.3</v>
      </c>
      <c r="T586" s="27">
        <v>0</v>
      </c>
      <c r="U586" s="27">
        <v>0.7</v>
      </c>
      <c r="V586" s="27">
        <v>0.6</v>
      </c>
      <c r="W586" s="27">
        <v>0</v>
      </c>
      <c r="X586" s="27">
        <v>0</v>
      </c>
      <c r="Y586" s="27">
        <v>0.1</v>
      </c>
      <c r="Z586" s="27">
        <v>0</v>
      </c>
      <c r="AA586" s="27">
        <v>0.1</v>
      </c>
      <c r="AB586" s="27">
        <v>0</v>
      </c>
      <c r="AC586" s="27">
        <v>2.4</v>
      </c>
      <c r="AD586" s="27">
        <v>0</v>
      </c>
      <c r="AE586" s="27">
        <v>84.1</v>
      </c>
      <c r="AF586" s="17">
        <v>6.9</v>
      </c>
      <c r="AG586" s="27">
        <v>8.3000000000000007</v>
      </c>
      <c r="AH586" s="27">
        <v>3.6</v>
      </c>
      <c r="AI586" s="17">
        <v>0.6</v>
      </c>
      <c r="AJ586" s="27">
        <v>0</v>
      </c>
      <c r="AK586" s="27">
        <v>0</v>
      </c>
      <c r="AL586" s="27">
        <v>0.4</v>
      </c>
      <c r="AM586" s="27">
        <v>0</v>
      </c>
    </row>
    <row r="587" spans="1:39" x14ac:dyDescent="0.25">
      <c r="A587" s="10">
        <v>586</v>
      </c>
      <c r="B587" s="9" t="s">
        <v>697</v>
      </c>
      <c r="C587" s="9" t="s">
        <v>705</v>
      </c>
      <c r="D587" s="10">
        <v>3</v>
      </c>
      <c r="E587" s="11">
        <v>58</v>
      </c>
      <c r="F587" s="17">
        <v>84.1</v>
      </c>
      <c r="G587" s="17">
        <v>0.2</v>
      </c>
      <c r="H587" s="17">
        <v>0.4</v>
      </c>
      <c r="I587" s="17">
        <v>13.8</v>
      </c>
      <c r="J587" s="27">
        <v>9.3000000000000007</v>
      </c>
      <c r="K587" s="17">
        <v>1.4</v>
      </c>
      <c r="L587" s="17">
        <v>0.1</v>
      </c>
      <c r="M587" s="22" t="s">
        <v>100</v>
      </c>
      <c r="N587" s="22" t="s">
        <v>100</v>
      </c>
      <c r="O587" s="22" t="s">
        <v>100</v>
      </c>
      <c r="P587" s="22" t="s">
        <v>100</v>
      </c>
      <c r="Q587" s="27">
        <v>0</v>
      </c>
      <c r="R587" s="27">
        <v>2.6</v>
      </c>
      <c r="S587" s="17">
        <v>11.4</v>
      </c>
      <c r="T587" s="27">
        <v>0</v>
      </c>
      <c r="U587" s="27">
        <v>0.1</v>
      </c>
      <c r="V587" s="27">
        <v>0.5</v>
      </c>
      <c r="W587" s="27">
        <v>0</v>
      </c>
      <c r="X587" s="27">
        <v>0</v>
      </c>
      <c r="Y587" s="27">
        <v>0.1</v>
      </c>
      <c r="Z587" s="27">
        <v>0.1</v>
      </c>
      <c r="AA587" s="27">
        <v>0.1</v>
      </c>
      <c r="AB587" s="27">
        <v>0</v>
      </c>
      <c r="AC587" s="27">
        <v>15.6</v>
      </c>
      <c r="AD587" s="27">
        <v>0</v>
      </c>
      <c r="AE587" s="27">
        <v>59.1</v>
      </c>
      <c r="AF587" s="17">
        <v>6.5</v>
      </c>
      <c r="AG587" s="27">
        <v>4.3</v>
      </c>
      <c r="AH587" s="27">
        <v>5.2</v>
      </c>
      <c r="AI587" s="17">
        <v>0.6</v>
      </c>
      <c r="AJ587" s="27">
        <v>0</v>
      </c>
      <c r="AK587" s="27">
        <v>0</v>
      </c>
      <c r="AL587" s="27">
        <v>0.5</v>
      </c>
      <c r="AM587" s="27">
        <v>0</v>
      </c>
    </row>
    <row r="588" spans="1:39" x14ac:dyDescent="0.25">
      <c r="A588" s="10">
        <v>587</v>
      </c>
      <c r="B588" s="9" t="s">
        <v>697</v>
      </c>
      <c r="C588" s="9" t="s">
        <v>706</v>
      </c>
      <c r="D588" s="10">
        <v>3</v>
      </c>
      <c r="E588" s="11">
        <v>64</v>
      </c>
      <c r="F588" s="17">
        <v>80.599999999999994</v>
      </c>
      <c r="G588" s="17">
        <v>0.2</v>
      </c>
      <c r="H588" s="27">
        <v>0.5</v>
      </c>
      <c r="I588" s="17">
        <v>15.8</v>
      </c>
      <c r="J588" s="27">
        <v>11.7</v>
      </c>
      <c r="K588" s="17">
        <v>3.3</v>
      </c>
      <c r="L588" s="17">
        <v>0.1</v>
      </c>
      <c r="M588" s="28">
        <v>0.01</v>
      </c>
      <c r="N588" s="28">
        <v>0.02</v>
      </c>
      <c r="O588" s="28">
        <v>0.02</v>
      </c>
      <c r="P588" s="22" t="s">
        <v>100</v>
      </c>
      <c r="Q588" s="27">
        <v>0</v>
      </c>
      <c r="R588" s="27">
        <v>1.7</v>
      </c>
      <c r="S588" s="27">
        <v>41</v>
      </c>
      <c r="T588" s="27">
        <v>0</v>
      </c>
      <c r="U588" s="27">
        <v>0.2</v>
      </c>
      <c r="V588" s="27">
        <v>5.4</v>
      </c>
      <c r="W588" s="27">
        <v>0</v>
      </c>
      <c r="X588" s="27">
        <v>0</v>
      </c>
      <c r="Y588" s="27">
        <v>0.3</v>
      </c>
      <c r="Z588" s="27">
        <v>0</v>
      </c>
      <c r="AA588" s="27">
        <v>0.2</v>
      </c>
      <c r="AB588" s="27">
        <v>0</v>
      </c>
      <c r="AC588" s="27">
        <v>6.7</v>
      </c>
      <c r="AD588" s="17">
        <v>35</v>
      </c>
      <c r="AE588" s="27">
        <v>217.4</v>
      </c>
      <c r="AF588" s="27">
        <v>13.4</v>
      </c>
      <c r="AG588" s="27">
        <v>20.100000000000001</v>
      </c>
      <c r="AH588" s="27">
        <v>13.4</v>
      </c>
      <c r="AI588" s="27">
        <v>0.4</v>
      </c>
      <c r="AJ588" s="27">
        <v>0.1</v>
      </c>
      <c r="AK588" s="27">
        <v>0.1</v>
      </c>
      <c r="AL588" s="27">
        <v>0.7</v>
      </c>
      <c r="AM588" s="27">
        <v>0</v>
      </c>
    </row>
    <row r="589" spans="1:39" x14ac:dyDescent="0.25">
      <c r="A589" s="10">
        <v>588</v>
      </c>
      <c r="B589" s="9" t="s">
        <v>697</v>
      </c>
      <c r="C589" s="9" t="s">
        <v>707</v>
      </c>
      <c r="D589" s="10">
        <v>3</v>
      </c>
      <c r="E589" s="11">
        <v>87</v>
      </c>
      <c r="F589" s="17">
        <v>79.8</v>
      </c>
      <c r="G589" s="17">
        <v>1</v>
      </c>
      <c r="H589" s="17">
        <v>12.2</v>
      </c>
      <c r="I589" s="17">
        <v>3.2</v>
      </c>
      <c r="J589" s="17">
        <v>0.9</v>
      </c>
      <c r="K589" s="17">
        <v>1</v>
      </c>
      <c r="L589" s="17">
        <v>2.8</v>
      </c>
      <c r="M589" s="22" t="s">
        <v>100</v>
      </c>
      <c r="N589" s="22" t="s">
        <v>100</v>
      </c>
      <c r="O589" s="22" t="s">
        <v>100</v>
      </c>
      <c r="P589" s="22" t="s">
        <v>100</v>
      </c>
      <c r="Q589" s="22" t="s">
        <v>100</v>
      </c>
      <c r="R589" s="22" t="s">
        <v>100</v>
      </c>
      <c r="S589" s="22" t="s">
        <v>100</v>
      </c>
      <c r="T589" s="22" t="s">
        <v>100</v>
      </c>
      <c r="U589" s="22" t="s">
        <v>100</v>
      </c>
      <c r="V589" s="22" t="s">
        <v>100</v>
      </c>
      <c r="W589" s="22" t="s">
        <v>100</v>
      </c>
      <c r="X589" s="22" t="s">
        <v>100</v>
      </c>
      <c r="Y589" s="22" t="s">
        <v>100</v>
      </c>
      <c r="Z589" s="22" t="s">
        <v>100</v>
      </c>
      <c r="AA589" s="22" t="s">
        <v>100</v>
      </c>
      <c r="AB589" s="22" t="s">
        <v>100</v>
      </c>
      <c r="AC589" s="22" t="s">
        <v>100</v>
      </c>
      <c r="AD589" s="17">
        <v>216</v>
      </c>
      <c r="AE589" s="22" t="s">
        <v>100</v>
      </c>
      <c r="AF589" s="22" t="s">
        <v>100</v>
      </c>
      <c r="AG589" s="22" t="s">
        <v>100</v>
      </c>
      <c r="AH589" s="22" t="s">
        <v>100</v>
      </c>
      <c r="AI589" s="22" t="s">
        <v>100</v>
      </c>
      <c r="AJ589" s="22" t="s">
        <v>100</v>
      </c>
      <c r="AK589" s="22" t="s">
        <v>100</v>
      </c>
      <c r="AL589" s="22" t="s">
        <v>100</v>
      </c>
      <c r="AM589" s="27">
        <v>0</v>
      </c>
    </row>
    <row r="590" spans="1:39" x14ac:dyDescent="0.25">
      <c r="A590" s="10">
        <v>589</v>
      </c>
      <c r="B590" s="9" t="s">
        <v>697</v>
      </c>
      <c r="C590" s="9" t="s">
        <v>708</v>
      </c>
      <c r="D590" s="10">
        <v>3</v>
      </c>
      <c r="E590" s="11">
        <v>121</v>
      </c>
      <c r="F590" s="17">
        <v>71.7</v>
      </c>
      <c r="G590" s="17">
        <v>1.3</v>
      </c>
      <c r="H590" s="17">
        <v>21.8</v>
      </c>
      <c r="I590" s="17">
        <v>2.5</v>
      </c>
      <c r="J590" s="22" t="s">
        <v>100</v>
      </c>
      <c r="K590" s="22" t="s">
        <v>100</v>
      </c>
      <c r="L590" s="17">
        <v>2.7</v>
      </c>
      <c r="M590" s="22" t="s">
        <v>100</v>
      </c>
      <c r="N590" s="22" t="s">
        <v>100</v>
      </c>
      <c r="O590" s="22" t="s">
        <v>100</v>
      </c>
      <c r="P590" s="22" t="s">
        <v>100</v>
      </c>
      <c r="Q590" s="22" t="s">
        <v>100</v>
      </c>
      <c r="R590" s="22" t="s">
        <v>100</v>
      </c>
      <c r="S590" s="22" t="s">
        <v>100</v>
      </c>
      <c r="T590" s="22" t="s">
        <v>100</v>
      </c>
      <c r="U590" s="22" t="s">
        <v>100</v>
      </c>
      <c r="V590" s="22" t="s">
        <v>100</v>
      </c>
      <c r="W590" s="22" t="s">
        <v>100</v>
      </c>
      <c r="X590" s="22" t="s">
        <v>100</v>
      </c>
      <c r="Y590" s="22" t="s">
        <v>100</v>
      </c>
      <c r="Z590" s="22" t="s">
        <v>100</v>
      </c>
      <c r="AA590" s="22" t="s">
        <v>100</v>
      </c>
      <c r="AB590" s="22" t="s">
        <v>100</v>
      </c>
      <c r="AC590" s="22" t="s">
        <v>100</v>
      </c>
      <c r="AD590" s="17">
        <v>358</v>
      </c>
      <c r="AE590" s="22" t="s">
        <v>100</v>
      </c>
      <c r="AF590" s="22" t="s">
        <v>100</v>
      </c>
      <c r="AG590" s="22" t="s">
        <v>100</v>
      </c>
      <c r="AH590" s="22" t="s">
        <v>100</v>
      </c>
      <c r="AI590" s="22" t="s">
        <v>100</v>
      </c>
      <c r="AJ590" s="22" t="s">
        <v>100</v>
      </c>
      <c r="AK590" s="22" t="s">
        <v>100</v>
      </c>
      <c r="AL590" s="22" t="s">
        <v>100</v>
      </c>
      <c r="AM590" s="27">
        <v>0</v>
      </c>
    </row>
    <row r="591" spans="1:39" x14ac:dyDescent="0.25">
      <c r="A591" s="10">
        <v>590</v>
      </c>
      <c r="B591" s="9" t="s">
        <v>697</v>
      </c>
      <c r="C591" s="9" t="s">
        <v>709</v>
      </c>
      <c r="D591" s="10">
        <v>3</v>
      </c>
      <c r="E591" s="11">
        <v>16</v>
      </c>
      <c r="F591" s="17">
        <v>95.6</v>
      </c>
      <c r="G591" s="17">
        <v>0.8</v>
      </c>
      <c r="H591" s="17">
        <v>0.6</v>
      </c>
      <c r="I591" s="17">
        <v>2.7</v>
      </c>
      <c r="J591" s="22" t="s">
        <v>100</v>
      </c>
      <c r="K591" s="22" t="s">
        <v>100</v>
      </c>
      <c r="L591" s="17">
        <v>0.3</v>
      </c>
      <c r="M591" s="22" t="s">
        <v>100</v>
      </c>
      <c r="N591" s="22" t="s">
        <v>100</v>
      </c>
      <c r="O591" s="22" t="s">
        <v>100</v>
      </c>
      <c r="P591" s="22" t="s">
        <v>100</v>
      </c>
      <c r="Q591" s="22" t="s">
        <v>100</v>
      </c>
      <c r="R591" s="22" t="s">
        <v>100</v>
      </c>
      <c r="S591" s="22" t="s">
        <v>100</v>
      </c>
      <c r="T591" s="22" t="s">
        <v>100</v>
      </c>
      <c r="U591" s="22" t="s">
        <v>100</v>
      </c>
      <c r="V591" s="22" t="s">
        <v>100</v>
      </c>
      <c r="W591" s="22" t="s">
        <v>100</v>
      </c>
      <c r="X591" s="22" t="s">
        <v>100</v>
      </c>
      <c r="Y591" s="22" t="s">
        <v>100</v>
      </c>
      <c r="Z591" s="22" t="s">
        <v>100</v>
      </c>
      <c r="AA591" s="22" t="s">
        <v>100</v>
      </c>
      <c r="AB591" s="22" t="s">
        <v>100</v>
      </c>
      <c r="AC591" s="22" t="s">
        <v>100</v>
      </c>
      <c r="AD591" s="17">
        <v>268</v>
      </c>
      <c r="AE591" s="22" t="s">
        <v>100</v>
      </c>
      <c r="AF591" s="22" t="s">
        <v>100</v>
      </c>
      <c r="AG591" s="22" t="s">
        <v>100</v>
      </c>
      <c r="AH591" s="22" t="s">
        <v>100</v>
      </c>
      <c r="AI591" s="22" t="s">
        <v>100</v>
      </c>
      <c r="AJ591" s="22" t="s">
        <v>100</v>
      </c>
      <c r="AK591" s="22" t="s">
        <v>100</v>
      </c>
      <c r="AL591" s="22" t="s">
        <v>100</v>
      </c>
      <c r="AM591" s="27">
        <v>0</v>
      </c>
    </row>
    <row r="592" spans="1:39" x14ac:dyDescent="0.25">
      <c r="A592" s="10">
        <v>591</v>
      </c>
      <c r="B592" s="9" t="s">
        <v>697</v>
      </c>
      <c r="C592" s="9" t="s">
        <v>710</v>
      </c>
      <c r="D592" s="10">
        <v>3</v>
      </c>
      <c r="E592" s="11">
        <v>55</v>
      </c>
      <c r="F592" s="17">
        <v>86.1</v>
      </c>
      <c r="G592" s="17">
        <v>0.8</v>
      </c>
      <c r="H592" s="17">
        <v>2.2999999999999998</v>
      </c>
      <c r="I592" s="17">
        <v>10.3</v>
      </c>
      <c r="J592" s="22" t="s">
        <v>100</v>
      </c>
      <c r="K592" s="22" t="s">
        <v>100</v>
      </c>
      <c r="L592" s="17">
        <v>0.5</v>
      </c>
      <c r="M592" s="22" t="s">
        <v>100</v>
      </c>
      <c r="N592" s="22" t="s">
        <v>100</v>
      </c>
      <c r="O592" s="22" t="s">
        <v>100</v>
      </c>
      <c r="P592" s="22" t="s">
        <v>100</v>
      </c>
      <c r="Q592" s="22" t="s">
        <v>100</v>
      </c>
      <c r="R592" s="22" t="s">
        <v>100</v>
      </c>
      <c r="S592" s="22" t="s">
        <v>100</v>
      </c>
      <c r="T592" s="22" t="s">
        <v>100</v>
      </c>
      <c r="U592" s="22" t="s">
        <v>100</v>
      </c>
      <c r="V592" s="22" t="s">
        <v>100</v>
      </c>
      <c r="W592" s="22" t="s">
        <v>100</v>
      </c>
      <c r="X592" s="22" t="s">
        <v>100</v>
      </c>
      <c r="Y592" s="22" t="s">
        <v>100</v>
      </c>
      <c r="Z592" s="22" t="s">
        <v>100</v>
      </c>
      <c r="AA592" s="22" t="s">
        <v>100</v>
      </c>
      <c r="AB592" s="22" t="s">
        <v>100</v>
      </c>
      <c r="AC592" s="22" t="s">
        <v>100</v>
      </c>
      <c r="AD592" s="17">
        <v>17</v>
      </c>
      <c r="AE592" s="22" t="s">
        <v>100</v>
      </c>
      <c r="AF592" s="22" t="s">
        <v>100</v>
      </c>
      <c r="AG592" s="22" t="s">
        <v>100</v>
      </c>
      <c r="AH592" s="22" t="s">
        <v>100</v>
      </c>
      <c r="AI592" s="22" t="s">
        <v>100</v>
      </c>
      <c r="AJ592" s="22" t="s">
        <v>100</v>
      </c>
      <c r="AK592" s="22" t="s">
        <v>100</v>
      </c>
      <c r="AL592" s="22" t="s">
        <v>100</v>
      </c>
      <c r="AM592" s="27">
        <v>0</v>
      </c>
    </row>
    <row r="593" spans="1:39" x14ac:dyDescent="0.25">
      <c r="A593" s="10">
        <v>592</v>
      </c>
      <c r="B593" s="9" t="s">
        <v>697</v>
      </c>
      <c r="C593" s="9" t="s">
        <v>711</v>
      </c>
      <c r="D593" s="10">
        <v>3</v>
      </c>
      <c r="E593" s="11">
        <v>226</v>
      </c>
      <c r="F593" s="17">
        <v>52.1</v>
      </c>
      <c r="G593" s="17">
        <v>0.4</v>
      </c>
      <c r="H593" s="17">
        <v>5.3</v>
      </c>
      <c r="I593" s="17">
        <v>35</v>
      </c>
      <c r="J593" s="22" t="s">
        <v>100</v>
      </c>
      <c r="K593" s="22" t="s">
        <v>100</v>
      </c>
      <c r="L593" s="17">
        <v>7.2</v>
      </c>
      <c r="M593" s="22" t="s">
        <v>100</v>
      </c>
      <c r="N593" s="22" t="s">
        <v>100</v>
      </c>
      <c r="O593" s="22" t="s">
        <v>100</v>
      </c>
      <c r="P593" s="22" t="s">
        <v>100</v>
      </c>
      <c r="Q593" s="22" t="s">
        <v>100</v>
      </c>
      <c r="R593" s="22" t="s">
        <v>100</v>
      </c>
      <c r="S593" s="22" t="s">
        <v>100</v>
      </c>
      <c r="T593" s="22" t="s">
        <v>100</v>
      </c>
      <c r="U593" s="22" t="s">
        <v>100</v>
      </c>
      <c r="V593" s="22" t="s">
        <v>100</v>
      </c>
      <c r="W593" s="22" t="s">
        <v>100</v>
      </c>
      <c r="X593" s="22" t="s">
        <v>100</v>
      </c>
      <c r="Y593" s="22" t="s">
        <v>100</v>
      </c>
      <c r="Z593" s="22" t="s">
        <v>100</v>
      </c>
      <c r="AA593" s="22" t="s">
        <v>100</v>
      </c>
      <c r="AB593" s="22" t="s">
        <v>100</v>
      </c>
      <c r="AC593" s="22" t="s">
        <v>100</v>
      </c>
      <c r="AD593" s="17">
        <v>51</v>
      </c>
      <c r="AE593" s="22" t="s">
        <v>100</v>
      </c>
      <c r="AF593" s="22" t="s">
        <v>100</v>
      </c>
      <c r="AG593" s="22" t="s">
        <v>100</v>
      </c>
      <c r="AH593" s="22" t="s">
        <v>100</v>
      </c>
      <c r="AI593" s="22" t="s">
        <v>100</v>
      </c>
      <c r="AJ593" s="22" t="s">
        <v>100</v>
      </c>
      <c r="AK593" s="22" t="s">
        <v>100</v>
      </c>
      <c r="AL593" s="22" t="s">
        <v>100</v>
      </c>
      <c r="AM593" s="27">
        <v>0</v>
      </c>
    </row>
    <row r="594" spans="1:39" x14ac:dyDescent="0.25">
      <c r="A594" s="10">
        <v>593</v>
      </c>
      <c r="B594" s="9" t="s">
        <v>697</v>
      </c>
      <c r="C594" s="9" t="s">
        <v>712</v>
      </c>
      <c r="D594" s="10">
        <v>3</v>
      </c>
      <c r="E594" s="11">
        <v>54</v>
      </c>
      <c r="F594" s="17">
        <v>88.2</v>
      </c>
      <c r="G594" s="17">
        <v>1.5</v>
      </c>
      <c r="H594" s="17">
        <v>2</v>
      </c>
      <c r="I594" s="17">
        <v>5.8</v>
      </c>
      <c r="J594" s="22" t="s">
        <v>100</v>
      </c>
      <c r="K594" s="22" t="s">
        <v>100</v>
      </c>
      <c r="L594" s="17">
        <v>2.5</v>
      </c>
      <c r="M594" s="22" t="s">
        <v>100</v>
      </c>
      <c r="N594" s="22" t="s">
        <v>100</v>
      </c>
      <c r="O594" s="22" t="s">
        <v>100</v>
      </c>
      <c r="P594" s="22" t="s">
        <v>100</v>
      </c>
      <c r="Q594" s="22" t="s">
        <v>100</v>
      </c>
      <c r="R594" s="22" t="s">
        <v>100</v>
      </c>
      <c r="S594" s="22" t="s">
        <v>100</v>
      </c>
      <c r="T594" s="22" t="s">
        <v>100</v>
      </c>
      <c r="U594" s="22" t="s">
        <v>100</v>
      </c>
      <c r="V594" s="22" t="s">
        <v>100</v>
      </c>
      <c r="W594" s="22" t="s">
        <v>100</v>
      </c>
      <c r="X594" s="22" t="s">
        <v>100</v>
      </c>
      <c r="Y594" s="22" t="s">
        <v>100</v>
      </c>
      <c r="Z594" s="22" t="s">
        <v>100</v>
      </c>
      <c r="AA594" s="22" t="s">
        <v>100</v>
      </c>
      <c r="AB594" s="22" t="s">
        <v>100</v>
      </c>
      <c r="AC594" s="22" t="s">
        <v>100</v>
      </c>
      <c r="AD594" s="17">
        <v>369</v>
      </c>
      <c r="AE594" s="22" t="s">
        <v>100</v>
      </c>
      <c r="AF594" s="22" t="s">
        <v>100</v>
      </c>
      <c r="AG594" s="22" t="s">
        <v>100</v>
      </c>
      <c r="AH594" s="22" t="s">
        <v>100</v>
      </c>
      <c r="AI594" s="22" t="s">
        <v>100</v>
      </c>
      <c r="AJ594" s="22" t="s">
        <v>100</v>
      </c>
      <c r="AK594" s="22" t="s">
        <v>100</v>
      </c>
      <c r="AL594" s="22" t="s">
        <v>100</v>
      </c>
      <c r="AM594" s="27">
        <v>0</v>
      </c>
    </row>
    <row r="595" spans="1:39" x14ac:dyDescent="0.25">
      <c r="A595" s="10">
        <v>594</v>
      </c>
      <c r="B595" s="9" t="s">
        <v>713</v>
      </c>
      <c r="C595" s="9" t="s">
        <v>714</v>
      </c>
      <c r="D595" s="10">
        <v>4</v>
      </c>
      <c r="E595" s="11">
        <v>400</v>
      </c>
      <c r="F595" s="22" t="s">
        <v>100</v>
      </c>
      <c r="G595" s="22" t="s">
        <v>100</v>
      </c>
      <c r="H595" s="17">
        <v>18</v>
      </c>
      <c r="I595" s="17">
        <v>59.5</v>
      </c>
      <c r="J595" s="17">
        <v>36</v>
      </c>
      <c r="K595" s="17">
        <v>1</v>
      </c>
      <c r="L595" s="17">
        <v>10</v>
      </c>
      <c r="M595" s="19">
        <v>1.2</v>
      </c>
      <c r="N595" s="19">
        <v>5</v>
      </c>
      <c r="O595" s="19">
        <v>2.1</v>
      </c>
      <c r="P595" s="19">
        <v>0</v>
      </c>
      <c r="Q595" s="17">
        <v>19.399999999999999</v>
      </c>
      <c r="R595" s="17">
        <v>800</v>
      </c>
      <c r="S595" s="17">
        <v>180</v>
      </c>
      <c r="T595" s="17">
        <v>16</v>
      </c>
      <c r="U595" s="17">
        <v>32</v>
      </c>
      <c r="V595" s="22" t="s">
        <v>100</v>
      </c>
      <c r="W595" s="17">
        <v>0.8</v>
      </c>
      <c r="X595" s="17">
        <v>1.6</v>
      </c>
      <c r="Y595" s="17">
        <v>10</v>
      </c>
      <c r="Z595" s="17">
        <v>1.6</v>
      </c>
      <c r="AA595" s="22" t="s">
        <v>100</v>
      </c>
      <c r="AB595" s="17">
        <v>2.8</v>
      </c>
      <c r="AC595" s="17">
        <v>80</v>
      </c>
      <c r="AD595" s="17">
        <v>540</v>
      </c>
      <c r="AE595" s="22" t="s">
        <v>100</v>
      </c>
      <c r="AF595" s="17">
        <v>1000</v>
      </c>
      <c r="AG595" s="17">
        <v>300</v>
      </c>
      <c r="AH595" s="17">
        <v>5.6</v>
      </c>
      <c r="AI595" s="17">
        <v>800</v>
      </c>
      <c r="AJ595" s="17">
        <v>12</v>
      </c>
      <c r="AK595" s="22" t="s">
        <v>100</v>
      </c>
      <c r="AL595" s="22" t="s">
        <v>100</v>
      </c>
      <c r="AM595" s="27">
        <v>0</v>
      </c>
    </row>
    <row r="596" spans="1:39" x14ac:dyDescent="0.25">
      <c r="A596" s="10">
        <v>595</v>
      </c>
      <c r="B596" s="9" t="s">
        <v>713</v>
      </c>
      <c r="C596" s="9" t="s">
        <v>715</v>
      </c>
      <c r="D596" s="10">
        <v>4</v>
      </c>
      <c r="E596" s="11">
        <v>400</v>
      </c>
      <c r="F596" s="22" t="s">
        <v>100</v>
      </c>
      <c r="G596" s="22" t="s">
        <v>100</v>
      </c>
      <c r="H596" s="17">
        <v>13</v>
      </c>
      <c r="I596" s="17">
        <v>62.2</v>
      </c>
      <c r="J596" s="22" t="s">
        <v>100</v>
      </c>
      <c r="K596" s="17">
        <v>6</v>
      </c>
      <c r="L596" s="17">
        <v>11</v>
      </c>
      <c r="M596" s="19">
        <v>1.5</v>
      </c>
      <c r="N596" s="19">
        <v>4.7</v>
      </c>
      <c r="O596" s="19">
        <v>2.7</v>
      </c>
      <c r="P596" s="19">
        <v>0</v>
      </c>
      <c r="Q596" s="17">
        <v>0</v>
      </c>
      <c r="R596" s="17">
        <v>240</v>
      </c>
      <c r="S596" s="17">
        <v>30</v>
      </c>
      <c r="T596" s="17">
        <v>8</v>
      </c>
      <c r="U596" s="17">
        <v>16</v>
      </c>
      <c r="V596" s="22" t="s">
        <v>100</v>
      </c>
      <c r="W596" s="17">
        <v>0.4</v>
      </c>
      <c r="X596" s="17">
        <v>0.4</v>
      </c>
      <c r="Y596" s="17">
        <v>4.5</v>
      </c>
      <c r="Z596" s="17">
        <v>1</v>
      </c>
      <c r="AA596" s="22" t="s">
        <v>100</v>
      </c>
      <c r="AB596" s="17">
        <v>1.4</v>
      </c>
      <c r="AC596" s="17">
        <v>40</v>
      </c>
      <c r="AD596" s="17">
        <v>247</v>
      </c>
      <c r="AE596" s="22" t="s">
        <v>100</v>
      </c>
      <c r="AF596" s="17">
        <v>400</v>
      </c>
      <c r="AG596" s="17">
        <v>400</v>
      </c>
      <c r="AH596" s="17">
        <v>150</v>
      </c>
      <c r="AI596" s="17">
        <v>4.2</v>
      </c>
      <c r="AJ596" s="17">
        <v>3</v>
      </c>
      <c r="AK596" s="22" t="s">
        <v>100</v>
      </c>
      <c r="AL596" s="22" t="s">
        <v>100</v>
      </c>
      <c r="AM596" s="27">
        <v>0</v>
      </c>
    </row>
    <row r="597" spans="1:39" x14ac:dyDescent="0.25">
      <c r="A597" s="10">
        <v>596</v>
      </c>
      <c r="B597" s="9" t="s">
        <v>713</v>
      </c>
      <c r="C597" s="9" t="s">
        <v>716</v>
      </c>
      <c r="D597" s="10">
        <v>4</v>
      </c>
      <c r="E597" s="11">
        <v>400</v>
      </c>
      <c r="F597" s="22" t="s">
        <v>100</v>
      </c>
      <c r="G597" s="22" t="s">
        <v>100</v>
      </c>
      <c r="H597" s="17">
        <v>13</v>
      </c>
      <c r="I597" s="17">
        <v>62.2</v>
      </c>
      <c r="J597" s="22" t="s">
        <v>100</v>
      </c>
      <c r="K597" s="17">
        <v>6</v>
      </c>
      <c r="L597" s="17">
        <v>11</v>
      </c>
      <c r="M597" s="19">
        <v>1.6</v>
      </c>
      <c r="N597" s="19">
        <v>4.5</v>
      </c>
      <c r="O597" s="19">
        <v>3</v>
      </c>
      <c r="P597" s="19">
        <v>0.1</v>
      </c>
      <c r="Q597" s="17">
        <v>0</v>
      </c>
      <c r="R597" s="17">
        <v>240</v>
      </c>
      <c r="S597" s="17">
        <v>30</v>
      </c>
      <c r="T597" s="17">
        <v>8</v>
      </c>
      <c r="U597" s="17">
        <v>16</v>
      </c>
      <c r="V597" s="22" t="s">
        <v>100</v>
      </c>
      <c r="W597" s="17">
        <v>0.4</v>
      </c>
      <c r="X597" s="17">
        <v>0.4</v>
      </c>
      <c r="Y597" s="17">
        <v>4.5</v>
      </c>
      <c r="Z597" s="17">
        <v>1</v>
      </c>
      <c r="AA597" s="22" t="s">
        <v>100</v>
      </c>
      <c r="AB597" s="17">
        <v>1.4</v>
      </c>
      <c r="AC597" s="17">
        <v>40</v>
      </c>
      <c r="AD597" s="17">
        <v>197</v>
      </c>
      <c r="AE597" s="22" t="s">
        <v>100</v>
      </c>
      <c r="AF597" s="17">
        <v>400</v>
      </c>
      <c r="AG597" s="17">
        <v>400</v>
      </c>
      <c r="AH597" s="17">
        <v>150</v>
      </c>
      <c r="AI597" s="17">
        <v>4.2</v>
      </c>
      <c r="AJ597" s="17">
        <v>3</v>
      </c>
      <c r="AK597" s="22" t="s">
        <v>100</v>
      </c>
      <c r="AL597" s="22" t="s">
        <v>100</v>
      </c>
      <c r="AM597" s="27">
        <v>0</v>
      </c>
    </row>
    <row r="598" spans="1:39" x14ac:dyDescent="0.25">
      <c r="A598" s="10">
        <v>597</v>
      </c>
      <c r="B598" s="9" t="s">
        <v>713</v>
      </c>
      <c r="C598" s="9" t="s">
        <v>717</v>
      </c>
      <c r="D598" s="10">
        <v>4</v>
      </c>
      <c r="E598" s="11">
        <v>400</v>
      </c>
      <c r="F598" s="22" t="s">
        <v>100</v>
      </c>
      <c r="G598" s="22" t="s">
        <v>100</v>
      </c>
      <c r="H598" s="17">
        <v>13</v>
      </c>
      <c r="I598" s="17">
        <v>62.2</v>
      </c>
      <c r="J598" s="22" t="s">
        <v>100</v>
      </c>
      <c r="K598" s="17">
        <v>6</v>
      </c>
      <c r="L598" s="17">
        <v>11</v>
      </c>
      <c r="M598" s="19">
        <v>1.6</v>
      </c>
      <c r="N598" s="19">
        <v>4.8</v>
      </c>
      <c r="O598" s="19">
        <v>2.9</v>
      </c>
      <c r="P598" s="19">
        <v>0.1</v>
      </c>
      <c r="Q598" s="17">
        <v>0</v>
      </c>
      <c r="R598" s="17">
        <v>240</v>
      </c>
      <c r="S598" s="17">
        <v>30</v>
      </c>
      <c r="T598" s="17">
        <v>8</v>
      </c>
      <c r="U598" s="17">
        <v>16</v>
      </c>
      <c r="V598" s="22" t="s">
        <v>100</v>
      </c>
      <c r="W598" s="17">
        <v>0.4</v>
      </c>
      <c r="X598" s="17">
        <v>0.4</v>
      </c>
      <c r="Y598" s="17">
        <v>4.5</v>
      </c>
      <c r="Z598" s="17">
        <v>1</v>
      </c>
      <c r="AA598" s="22" t="s">
        <v>100</v>
      </c>
      <c r="AB598" s="17">
        <v>1.4</v>
      </c>
      <c r="AC598" s="17">
        <v>40</v>
      </c>
      <c r="AD598" s="17">
        <v>240</v>
      </c>
      <c r="AE598" s="22" t="s">
        <v>100</v>
      </c>
      <c r="AF598" s="17">
        <v>400</v>
      </c>
      <c r="AG598" s="17">
        <v>400</v>
      </c>
      <c r="AH598" s="17">
        <v>150</v>
      </c>
      <c r="AI598" s="17">
        <v>4.2</v>
      </c>
      <c r="AJ598" s="17">
        <v>3</v>
      </c>
      <c r="AK598" s="22" t="s">
        <v>100</v>
      </c>
      <c r="AL598" s="22" t="s">
        <v>100</v>
      </c>
      <c r="AM598" s="27">
        <v>0</v>
      </c>
    </row>
    <row r="599" spans="1:39" x14ac:dyDescent="0.25">
      <c r="A599" s="10">
        <v>598</v>
      </c>
      <c r="B599" s="9" t="s">
        <v>713</v>
      </c>
      <c r="C599" s="9" t="s">
        <v>718</v>
      </c>
      <c r="D599" s="10">
        <v>4</v>
      </c>
      <c r="E599" s="11">
        <v>400</v>
      </c>
      <c r="F599" s="22" t="s">
        <v>100</v>
      </c>
      <c r="G599" s="22" t="s">
        <v>100</v>
      </c>
      <c r="H599" s="17">
        <v>13</v>
      </c>
      <c r="I599" s="17">
        <v>62.2</v>
      </c>
      <c r="J599" s="22" t="s">
        <v>100</v>
      </c>
      <c r="K599" s="17">
        <v>6</v>
      </c>
      <c r="L599" s="17">
        <v>11</v>
      </c>
      <c r="M599" s="19">
        <v>1.5</v>
      </c>
      <c r="N599" s="19">
        <v>5</v>
      </c>
      <c r="O599" s="19">
        <v>2.8</v>
      </c>
      <c r="P599" s="19">
        <v>0</v>
      </c>
      <c r="Q599" s="17">
        <v>0</v>
      </c>
      <c r="R599" s="17">
        <v>240</v>
      </c>
      <c r="S599" s="17">
        <v>30</v>
      </c>
      <c r="T599" s="17">
        <v>8</v>
      </c>
      <c r="U599" s="17">
        <v>16</v>
      </c>
      <c r="V599" s="22" t="s">
        <v>100</v>
      </c>
      <c r="W599" s="17">
        <v>0.4</v>
      </c>
      <c r="X599" s="17">
        <v>0.4</v>
      </c>
      <c r="Y599" s="17">
        <v>4.5</v>
      </c>
      <c r="Z599" s="17">
        <v>1</v>
      </c>
      <c r="AA599" s="22" t="s">
        <v>100</v>
      </c>
      <c r="AB599" s="17">
        <v>1.4</v>
      </c>
      <c r="AC599" s="17">
        <v>40</v>
      </c>
      <c r="AD599" s="17">
        <v>241</v>
      </c>
      <c r="AE599" s="22" t="s">
        <v>100</v>
      </c>
      <c r="AF599" s="17">
        <v>400</v>
      </c>
      <c r="AG599" s="17">
        <v>400</v>
      </c>
      <c r="AH599" s="17">
        <v>150</v>
      </c>
      <c r="AI599" s="17">
        <v>4.2</v>
      </c>
      <c r="AJ599" s="17">
        <v>3</v>
      </c>
      <c r="AK599" s="22" t="s">
        <v>100</v>
      </c>
      <c r="AL599" s="22" t="s">
        <v>100</v>
      </c>
      <c r="AM599" s="27">
        <v>0</v>
      </c>
    </row>
    <row r="600" spans="1:39" x14ac:dyDescent="0.25">
      <c r="A600" s="10">
        <v>599</v>
      </c>
      <c r="B600" s="9" t="s">
        <v>713</v>
      </c>
      <c r="C600" s="9" t="s">
        <v>719</v>
      </c>
      <c r="D600" s="10">
        <v>4</v>
      </c>
      <c r="E600" s="11">
        <v>510</v>
      </c>
      <c r="F600" s="22" t="s">
        <v>100</v>
      </c>
      <c r="G600" s="22" t="s">
        <v>100</v>
      </c>
      <c r="H600" s="17">
        <v>7.5</v>
      </c>
      <c r="I600" s="17">
        <v>57</v>
      </c>
      <c r="J600" s="17">
        <v>5.3</v>
      </c>
      <c r="K600" s="22" t="s">
        <v>100</v>
      </c>
      <c r="L600" s="17">
        <v>24.6</v>
      </c>
      <c r="M600" s="19">
        <v>10.199999999999999</v>
      </c>
      <c r="N600" s="19">
        <v>0</v>
      </c>
      <c r="O600" s="19">
        <v>0</v>
      </c>
      <c r="P600" s="19">
        <v>0</v>
      </c>
      <c r="Q600" s="17">
        <v>0</v>
      </c>
      <c r="R600" s="17">
        <v>480</v>
      </c>
      <c r="S600" s="17">
        <v>60</v>
      </c>
      <c r="T600" s="17">
        <v>7.5</v>
      </c>
      <c r="U600" s="17">
        <v>11.4</v>
      </c>
      <c r="V600" s="17">
        <v>60</v>
      </c>
      <c r="W600" s="17">
        <v>2</v>
      </c>
      <c r="X600" s="17">
        <v>1</v>
      </c>
      <c r="Y600" s="17">
        <v>12</v>
      </c>
      <c r="Z600" s="17">
        <v>0.9</v>
      </c>
      <c r="AA600" s="17">
        <v>7.8</v>
      </c>
      <c r="AB600" s="17">
        <v>5.6</v>
      </c>
      <c r="AC600" s="17">
        <v>250</v>
      </c>
      <c r="AD600" s="17">
        <v>215</v>
      </c>
      <c r="AE600" s="17">
        <v>760</v>
      </c>
      <c r="AF600" s="17">
        <v>650</v>
      </c>
      <c r="AG600" s="17">
        <v>455</v>
      </c>
      <c r="AH600" s="17">
        <v>55</v>
      </c>
      <c r="AI600" s="17">
        <v>10</v>
      </c>
      <c r="AJ600" s="17">
        <v>9.5</v>
      </c>
      <c r="AK600" s="17">
        <v>1.3</v>
      </c>
      <c r="AL600" s="17">
        <v>25</v>
      </c>
      <c r="AM600" s="27">
        <v>0</v>
      </c>
    </row>
    <row r="601" spans="1:39" x14ac:dyDescent="0.25">
      <c r="A601" s="10">
        <v>600</v>
      </c>
      <c r="B601" s="9" t="s">
        <v>713</v>
      </c>
      <c r="C601" s="9" t="s">
        <v>720</v>
      </c>
      <c r="D601" s="10">
        <v>4</v>
      </c>
      <c r="E601" s="11">
        <v>440</v>
      </c>
      <c r="F601" s="22" t="s">
        <v>100</v>
      </c>
      <c r="G601" s="22" t="s">
        <v>100</v>
      </c>
      <c r="H601" s="17">
        <v>15</v>
      </c>
      <c r="I601" s="17">
        <v>45</v>
      </c>
      <c r="J601" s="17">
        <v>3.8</v>
      </c>
      <c r="K601" s="22" t="s">
        <v>100</v>
      </c>
      <c r="L601" s="17">
        <v>17</v>
      </c>
      <c r="M601" s="19">
        <v>7.7</v>
      </c>
      <c r="N601" s="19">
        <v>0</v>
      </c>
      <c r="O601" s="19">
        <v>0</v>
      </c>
      <c r="P601" s="19">
        <v>0</v>
      </c>
      <c r="Q601" s="17">
        <v>0</v>
      </c>
      <c r="R601" s="17">
        <v>908</v>
      </c>
      <c r="S601" s="17">
        <v>75</v>
      </c>
      <c r="T601" s="17">
        <v>8.1</v>
      </c>
      <c r="U601" s="17">
        <v>16.100000000000001</v>
      </c>
      <c r="V601" s="17">
        <v>70</v>
      </c>
      <c r="W601" s="17">
        <v>4</v>
      </c>
      <c r="X601" s="17">
        <v>2.4</v>
      </c>
      <c r="Y601" s="17">
        <v>21</v>
      </c>
      <c r="Z601" s="17">
        <v>1.8</v>
      </c>
      <c r="AA601" s="17">
        <v>10.9</v>
      </c>
      <c r="AB601" s="17">
        <v>7.3</v>
      </c>
      <c r="AC601" s="17">
        <v>530</v>
      </c>
      <c r="AD601" s="17">
        <v>1175</v>
      </c>
      <c r="AE601" s="17">
        <v>1800</v>
      </c>
      <c r="AF601" s="17">
        <v>1150</v>
      </c>
      <c r="AG601" s="17">
        <v>1020</v>
      </c>
      <c r="AH601" s="17">
        <v>300</v>
      </c>
      <c r="AI601" s="17">
        <v>17</v>
      </c>
      <c r="AJ601" s="17">
        <v>17</v>
      </c>
      <c r="AK601" s="17">
        <v>1.3</v>
      </c>
      <c r="AL601" s="17">
        <v>37</v>
      </c>
      <c r="AM601" s="27">
        <v>0</v>
      </c>
    </row>
    <row r="602" spans="1:39" x14ac:dyDescent="0.25">
      <c r="A602" s="10">
        <v>601</v>
      </c>
      <c r="B602" s="9" t="s">
        <v>713</v>
      </c>
      <c r="C602" s="9" t="s">
        <v>721</v>
      </c>
      <c r="D602" s="10">
        <v>4</v>
      </c>
      <c r="E602" s="11">
        <v>360</v>
      </c>
      <c r="F602" s="22" t="s">
        <v>100</v>
      </c>
      <c r="G602" s="22" t="s">
        <v>100</v>
      </c>
      <c r="H602" s="17">
        <v>25</v>
      </c>
      <c r="I602" s="17">
        <v>65</v>
      </c>
      <c r="J602" s="17">
        <v>59</v>
      </c>
      <c r="K602" s="22" t="s">
        <v>100</v>
      </c>
      <c r="L602" s="17">
        <v>0</v>
      </c>
      <c r="M602" s="19">
        <v>0</v>
      </c>
      <c r="N602" s="19">
        <v>0</v>
      </c>
      <c r="O602" s="19">
        <v>0</v>
      </c>
      <c r="P602" s="22" t="s">
        <v>100</v>
      </c>
      <c r="Q602" s="22" t="s">
        <v>100</v>
      </c>
      <c r="R602" s="17">
        <v>0</v>
      </c>
      <c r="S602" s="17">
        <v>125</v>
      </c>
      <c r="T602" s="17">
        <v>0</v>
      </c>
      <c r="U602" s="17">
        <v>0</v>
      </c>
      <c r="V602" s="17">
        <v>0</v>
      </c>
      <c r="W602" s="17">
        <v>0</v>
      </c>
      <c r="X602" s="17">
        <v>0</v>
      </c>
      <c r="Y602" s="17">
        <v>0</v>
      </c>
      <c r="Z602" s="17">
        <v>0</v>
      </c>
      <c r="AA602" s="17">
        <v>0</v>
      </c>
      <c r="AB602" s="17">
        <v>0</v>
      </c>
      <c r="AC602" s="17">
        <v>0</v>
      </c>
      <c r="AD602" s="17">
        <v>10</v>
      </c>
      <c r="AE602" s="17">
        <v>10</v>
      </c>
      <c r="AF602" s="17">
        <v>5</v>
      </c>
      <c r="AG602" s="17">
        <v>5</v>
      </c>
      <c r="AH602" s="17">
        <v>5</v>
      </c>
      <c r="AI602" s="17">
        <v>0</v>
      </c>
      <c r="AJ602" s="17">
        <v>0</v>
      </c>
      <c r="AK602" s="17">
        <v>0</v>
      </c>
      <c r="AL602" s="17">
        <v>0</v>
      </c>
      <c r="AM602" s="27">
        <v>0</v>
      </c>
    </row>
    <row r="603" spans="1:39" x14ac:dyDescent="0.25">
      <c r="A603" s="10">
        <v>602</v>
      </c>
      <c r="B603" s="9" t="s">
        <v>713</v>
      </c>
      <c r="C603" s="9" t="s">
        <v>722</v>
      </c>
      <c r="D603" s="10">
        <v>4</v>
      </c>
      <c r="E603" s="11">
        <v>316</v>
      </c>
      <c r="F603" s="22" t="s">
        <v>100</v>
      </c>
      <c r="G603" s="22" t="s">
        <v>100</v>
      </c>
      <c r="H603" s="17">
        <v>79</v>
      </c>
      <c r="I603" s="17">
        <v>0</v>
      </c>
      <c r="J603" s="17">
        <v>0</v>
      </c>
      <c r="K603" s="17">
        <v>0</v>
      </c>
      <c r="L603" s="17">
        <v>0</v>
      </c>
      <c r="M603" s="19">
        <v>0</v>
      </c>
      <c r="N603" s="19">
        <v>0</v>
      </c>
      <c r="O603" s="19">
        <v>0</v>
      </c>
      <c r="P603" s="22" t="s">
        <v>100</v>
      </c>
      <c r="Q603" s="22" t="s">
        <v>100</v>
      </c>
      <c r="R603" s="22" t="s">
        <v>100</v>
      </c>
      <c r="S603" s="22" t="s">
        <v>100</v>
      </c>
      <c r="T603" s="22" t="s">
        <v>100</v>
      </c>
      <c r="U603" s="22" t="s">
        <v>100</v>
      </c>
      <c r="V603" s="22" t="s">
        <v>100</v>
      </c>
      <c r="W603" s="22" t="s">
        <v>100</v>
      </c>
      <c r="X603" s="22" t="s">
        <v>100</v>
      </c>
      <c r="Y603" s="22" t="s">
        <v>100</v>
      </c>
      <c r="Z603" s="22" t="s">
        <v>100</v>
      </c>
      <c r="AA603" s="22" t="s">
        <v>100</v>
      </c>
      <c r="AB603" s="22" t="s">
        <v>100</v>
      </c>
      <c r="AC603" s="22" t="s">
        <v>100</v>
      </c>
      <c r="AD603" s="22" t="s">
        <v>100</v>
      </c>
      <c r="AE603" s="22" t="s">
        <v>100</v>
      </c>
      <c r="AF603" s="22" t="s">
        <v>100</v>
      </c>
      <c r="AG603" s="22" t="s">
        <v>100</v>
      </c>
      <c r="AH603" s="22" t="s">
        <v>100</v>
      </c>
      <c r="AI603" s="22" t="s">
        <v>100</v>
      </c>
      <c r="AJ603" s="22" t="s">
        <v>100</v>
      </c>
      <c r="AK603" s="22" t="s">
        <v>100</v>
      </c>
      <c r="AL603" s="22" t="s">
        <v>100</v>
      </c>
      <c r="AM603" s="27">
        <v>0</v>
      </c>
    </row>
    <row r="604" spans="1:39" x14ac:dyDescent="0.25">
      <c r="A604" s="10">
        <v>603</v>
      </c>
      <c r="B604" s="9" t="s">
        <v>713</v>
      </c>
      <c r="C604" s="9" t="s">
        <v>723</v>
      </c>
      <c r="D604" s="10">
        <v>4</v>
      </c>
      <c r="E604" s="11">
        <v>466</v>
      </c>
      <c r="F604" s="22" t="s">
        <v>100</v>
      </c>
      <c r="G604" s="22" t="s">
        <v>100</v>
      </c>
      <c r="H604" s="17">
        <v>13.1</v>
      </c>
      <c r="I604" s="17">
        <v>49.8</v>
      </c>
      <c r="J604" s="17">
        <v>7.3</v>
      </c>
      <c r="K604" s="17">
        <v>3.7</v>
      </c>
      <c r="L604" s="17">
        <v>23</v>
      </c>
      <c r="M604" s="19">
        <v>7.5</v>
      </c>
      <c r="N604" s="19">
        <v>9.4</v>
      </c>
      <c r="O604" s="19">
        <v>5</v>
      </c>
      <c r="P604" s="22" t="s">
        <v>100</v>
      </c>
      <c r="Q604" s="17">
        <v>0</v>
      </c>
      <c r="R604" s="17">
        <v>392</v>
      </c>
      <c r="S604" s="17">
        <v>49</v>
      </c>
      <c r="T604" s="17">
        <v>8.6999999999999993</v>
      </c>
      <c r="U604" s="17">
        <v>4.5999999999999996</v>
      </c>
      <c r="V604" s="17">
        <v>37.200000000000003</v>
      </c>
      <c r="W604" s="17">
        <v>0.5</v>
      </c>
      <c r="X604" s="17">
        <v>0.5</v>
      </c>
      <c r="Y604" s="17">
        <v>2.2000000000000002</v>
      </c>
      <c r="Z604" s="17">
        <v>0.5</v>
      </c>
      <c r="AA604" s="17">
        <v>2.8</v>
      </c>
      <c r="AB604" s="17">
        <v>1.2</v>
      </c>
      <c r="AC604" s="17">
        <v>55</v>
      </c>
      <c r="AD604" s="17">
        <v>191</v>
      </c>
      <c r="AE604" s="17">
        <v>501</v>
      </c>
      <c r="AF604" s="17">
        <v>410</v>
      </c>
      <c r="AG604" s="17">
        <v>300</v>
      </c>
      <c r="AH604" s="17">
        <v>58</v>
      </c>
      <c r="AI604" s="17">
        <v>8.1</v>
      </c>
      <c r="AJ604" s="17">
        <v>5.7</v>
      </c>
      <c r="AK604" s="17">
        <v>0.4</v>
      </c>
      <c r="AL604" s="17">
        <v>15.5</v>
      </c>
      <c r="AM604" s="27">
        <v>0</v>
      </c>
    </row>
    <row r="605" spans="1:39" x14ac:dyDescent="0.25">
      <c r="A605" s="10">
        <v>604</v>
      </c>
      <c r="B605" s="9" t="s">
        <v>713</v>
      </c>
      <c r="C605" s="9" t="s">
        <v>724</v>
      </c>
      <c r="D605" s="10">
        <v>4</v>
      </c>
      <c r="E605" s="11">
        <v>480</v>
      </c>
      <c r="F605" s="22" t="s">
        <v>100</v>
      </c>
      <c r="G605" s="22" t="s">
        <v>100</v>
      </c>
      <c r="H605" s="17">
        <v>15</v>
      </c>
      <c r="I605" s="17">
        <v>53</v>
      </c>
      <c r="J605" s="17">
        <v>4.8</v>
      </c>
      <c r="K605" s="22" t="s">
        <v>100</v>
      </c>
      <c r="L605" s="17">
        <v>21.7</v>
      </c>
      <c r="M605" s="19">
        <v>9.1</v>
      </c>
      <c r="N605" s="19">
        <v>0</v>
      </c>
      <c r="O605" s="19">
        <v>0</v>
      </c>
      <c r="P605" s="19">
        <v>0</v>
      </c>
      <c r="Q605" s="17">
        <v>0</v>
      </c>
      <c r="R605" s="17">
        <v>420</v>
      </c>
      <c r="S605" s="17">
        <v>50</v>
      </c>
      <c r="T605" s="17">
        <v>7.5</v>
      </c>
      <c r="U605" s="17">
        <v>10.1</v>
      </c>
      <c r="V605" s="17">
        <v>50</v>
      </c>
      <c r="W605" s="17">
        <v>1.9</v>
      </c>
      <c r="X605" s="17">
        <v>0.9</v>
      </c>
      <c r="Y605" s="17">
        <v>10</v>
      </c>
      <c r="Z605" s="17">
        <v>0.8</v>
      </c>
      <c r="AA605" s="17">
        <v>6.9</v>
      </c>
      <c r="AB605" s="17">
        <v>4.9000000000000004</v>
      </c>
      <c r="AC605" s="17">
        <v>230</v>
      </c>
      <c r="AD605" s="17">
        <v>190</v>
      </c>
      <c r="AE605" s="17">
        <v>675</v>
      </c>
      <c r="AF605" s="17">
        <v>575</v>
      </c>
      <c r="AG605" s="17">
        <v>400</v>
      </c>
      <c r="AH605" s="17">
        <v>50</v>
      </c>
      <c r="AI605" s="17">
        <v>9</v>
      </c>
      <c r="AJ605" s="17">
        <v>8</v>
      </c>
      <c r="AK605" s="17">
        <v>1.1000000000000001</v>
      </c>
      <c r="AL605" s="17">
        <v>20</v>
      </c>
      <c r="AM605" s="27">
        <v>0</v>
      </c>
    </row>
    <row r="606" spans="1:39" x14ac:dyDescent="0.25">
      <c r="A606" s="10">
        <v>605</v>
      </c>
      <c r="B606" s="9" t="s">
        <v>713</v>
      </c>
      <c r="C606" s="9" t="s">
        <v>725</v>
      </c>
      <c r="D606" s="10">
        <v>4</v>
      </c>
      <c r="E606" s="11">
        <v>410</v>
      </c>
      <c r="F606" s="22" t="s">
        <v>100</v>
      </c>
      <c r="G606" s="22" t="s">
        <v>100</v>
      </c>
      <c r="H606" s="17">
        <v>30</v>
      </c>
      <c r="I606" s="17">
        <v>35</v>
      </c>
      <c r="J606" s="17">
        <v>2.9</v>
      </c>
      <c r="K606" s="22" t="s">
        <v>100</v>
      </c>
      <c r="L606" s="17">
        <v>13</v>
      </c>
      <c r="M606" s="19">
        <v>5.8</v>
      </c>
      <c r="N606" s="19">
        <v>0</v>
      </c>
      <c r="O606" s="19">
        <v>0</v>
      </c>
      <c r="P606" s="19">
        <v>0</v>
      </c>
      <c r="Q606" s="17">
        <v>0</v>
      </c>
      <c r="R606" s="17">
        <v>660</v>
      </c>
      <c r="S606" s="17">
        <v>60</v>
      </c>
      <c r="T606" s="17">
        <v>7.5</v>
      </c>
      <c r="U606" s="17">
        <v>12.1</v>
      </c>
      <c r="V606" s="17">
        <v>60</v>
      </c>
      <c r="W606" s="17">
        <v>3.3</v>
      </c>
      <c r="X606" s="17">
        <v>1.8</v>
      </c>
      <c r="Y606" s="17">
        <v>16</v>
      </c>
      <c r="Z606" s="17">
        <v>1.3</v>
      </c>
      <c r="AA606" s="17">
        <v>8</v>
      </c>
      <c r="AB606" s="17">
        <v>5</v>
      </c>
      <c r="AC606" s="17">
        <v>430</v>
      </c>
      <c r="AD606" s="17">
        <v>880</v>
      </c>
      <c r="AE606" s="17">
        <v>1370</v>
      </c>
      <c r="AF606" s="17">
        <v>880</v>
      </c>
      <c r="AG606" s="17">
        <v>760</v>
      </c>
      <c r="AH606" s="17">
        <v>225</v>
      </c>
      <c r="AI606" s="17">
        <v>13</v>
      </c>
      <c r="AJ606" s="17">
        <v>13</v>
      </c>
      <c r="AK606" s="17">
        <v>1</v>
      </c>
      <c r="AL606" s="17">
        <v>35</v>
      </c>
      <c r="AM606" s="27">
        <v>0</v>
      </c>
    </row>
    <row r="607" spans="1:39" x14ac:dyDescent="0.25">
      <c r="A607" s="10">
        <v>606</v>
      </c>
      <c r="B607" s="9" t="s">
        <v>713</v>
      </c>
      <c r="C607" s="9" t="s">
        <v>726</v>
      </c>
      <c r="D607" s="10">
        <v>4</v>
      </c>
      <c r="E607" s="11">
        <v>457</v>
      </c>
      <c r="F607" s="22" t="s">
        <v>100</v>
      </c>
      <c r="G607" s="22" t="s">
        <v>100</v>
      </c>
      <c r="H607" s="17">
        <v>13.1</v>
      </c>
      <c r="I607" s="17">
        <v>49.5</v>
      </c>
      <c r="J607" s="17">
        <v>7.4</v>
      </c>
      <c r="K607" s="17">
        <v>5.3</v>
      </c>
      <c r="L607" s="17">
        <v>23</v>
      </c>
      <c r="M607" s="19">
        <v>7.5</v>
      </c>
      <c r="N607" s="19">
        <v>9.4</v>
      </c>
      <c r="O607" s="19">
        <v>5</v>
      </c>
      <c r="P607" s="22" t="s">
        <v>100</v>
      </c>
      <c r="Q607" s="22" t="s">
        <v>100</v>
      </c>
      <c r="R607" s="17">
        <v>392</v>
      </c>
      <c r="S607" s="17">
        <v>49</v>
      </c>
      <c r="T607" s="17">
        <v>8.6999999999999993</v>
      </c>
      <c r="U607" s="17">
        <v>4.5999999999999996</v>
      </c>
      <c r="V607" s="17">
        <v>37.200000000000003</v>
      </c>
      <c r="W607" s="17">
        <v>0.5</v>
      </c>
      <c r="X607" s="17">
        <v>0.5</v>
      </c>
      <c r="Y607" s="17">
        <v>2.2000000000000002</v>
      </c>
      <c r="Z607" s="17">
        <v>0.5</v>
      </c>
      <c r="AA607" s="17">
        <v>2.8</v>
      </c>
      <c r="AB607" s="17">
        <v>1.2</v>
      </c>
      <c r="AC607" s="17">
        <v>55</v>
      </c>
      <c r="AD607" s="17">
        <v>191</v>
      </c>
      <c r="AE607" s="17">
        <v>501</v>
      </c>
      <c r="AF607" s="17">
        <v>410</v>
      </c>
      <c r="AG607" s="17">
        <v>300</v>
      </c>
      <c r="AH607" s="17">
        <v>58</v>
      </c>
      <c r="AI607" s="17">
        <v>8.1</v>
      </c>
      <c r="AJ607" s="17">
        <v>5.7</v>
      </c>
      <c r="AK607" s="17">
        <v>0.4</v>
      </c>
      <c r="AL607" s="17">
        <v>15.5</v>
      </c>
      <c r="AM607" s="27">
        <v>0</v>
      </c>
    </row>
    <row r="608" spans="1:39" x14ac:dyDescent="0.25">
      <c r="A608" s="10">
        <v>607</v>
      </c>
      <c r="B608" s="9" t="s">
        <v>713</v>
      </c>
      <c r="C608" s="9" t="s">
        <v>727</v>
      </c>
      <c r="D608" s="10">
        <v>4</v>
      </c>
      <c r="E608" s="11">
        <v>480</v>
      </c>
      <c r="F608" s="22" t="s">
        <v>100</v>
      </c>
      <c r="G608" s="22" t="s">
        <v>100</v>
      </c>
      <c r="H608" s="17">
        <v>15</v>
      </c>
      <c r="I608" s="17">
        <v>53</v>
      </c>
      <c r="J608" s="17">
        <v>5</v>
      </c>
      <c r="K608" s="22" t="s">
        <v>100</v>
      </c>
      <c r="L608" s="17">
        <v>21.7</v>
      </c>
      <c r="M608" s="19">
        <v>10.199999999999999</v>
      </c>
      <c r="N608" s="19">
        <v>0</v>
      </c>
      <c r="O608" s="19">
        <v>0</v>
      </c>
      <c r="P608" s="19">
        <v>0</v>
      </c>
      <c r="Q608" s="17">
        <v>0</v>
      </c>
      <c r="R608" s="17">
        <v>925</v>
      </c>
      <c r="S608" s="17">
        <v>194</v>
      </c>
      <c r="T608" s="17">
        <v>10.8</v>
      </c>
      <c r="U608" s="17">
        <v>14</v>
      </c>
      <c r="V608" s="17">
        <v>100</v>
      </c>
      <c r="W608" s="17">
        <v>2.8</v>
      </c>
      <c r="X608" s="17">
        <v>1.4</v>
      </c>
      <c r="Y608" s="17">
        <v>19.2</v>
      </c>
      <c r="Z608" s="17">
        <v>1</v>
      </c>
      <c r="AA608" s="17">
        <v>10</v>
      </c>
      <c r="AB608" s="17">
        <v>14.4</v>
      </c>
      <c r="AC608" s="17">
        <v>392</v>
      </c>
      <c r="AD608" s="17">
        <v>226</v>
      </c>
      <c r="AE608" s="17">
        <v>770</v>
      </c>
      <c r="AF608" s="17">
        <v>696</v>
      </c>
      <c r="AG608" s="17">
        <v>459</v>
      </c>
      <c r="AH608" s="17">
        <v>74</v>
      </c>
      <c r="AI608" s="17">
        <v>11</v>
      </c>
      <c r="AJ608" s="17">
        <v>10</v>
      </c>
      <c r="AK608" s="17">
        <v>1.4</v>
      </c>
      <c r="AL608" s="17">
        <v>30</v>
      </c>
      <c r="AM608" s="27">
        <v>0</v>
      </c>
    </row>
    <row r="609" spans="1:39" x14ac:dyDescent="0.25">
      <c r="A609" s="10">
        <v>608</v>
      </c>
      <c r="B609" s="9" t="s">
        <v>713</v>
      </c>
      <c r="C609" s="9" t="s">
        <v>728</v>
      </c>
      <c r="D609" s="10">
        <v>4</v>
      </c>
      <c r="E609" s="11">
        <v>410</v>
      </c>
      <c r="F609" s="22" t="s">
        <v>100</v>
      </c>
      <c r="G609" s="22" t="s">
        <v>100</v>
      </c>
      <c r="H609" s="17">
        <v>30</v>
      </c>
      <c r="I609" s="17">
        <v>35</v>
      </c>
      <c r="J609" s="17">
        <v>3.3</v>
      </c>
      <c r="K609" s="22" t="s">
        <v>100</v>
      </c>
      <c r="L609" s="17">
        <v>14</v>
      </c>
      <c r="M609" s="19">
        <v>5.7</v>
      </c>
      <c r="N609" s="19">
        <v>0</v>
      </c>
      <c r="O609" s="19">
        <v>0</v>
      </c>
      <c r="P609" s="19">
        <v>0</v>
      </c>
      <c r="Q609" s="17">
        <v>0</v>
      </c>
      <c r="R609" s="17">
        <v>856</v>
      </c>
      <c r="S609" s="17">
        <v>234</v>
      </c>
      <c r="T609" s="17">
        <v>12.8</v>
      </c>
      <c r="U609" s="17">
        <v>17.100000000000001</v>
      </c>
      <c r="V609" s="17">
        <v>107</v>
      </c>
      <c r="W609" s="17">
        <v>4.3</v>
      </c>
      <c r="X609" s="17">
        <v>3</v>
      </c>
      <c r="Y609" s="17">
        <v>40</v>
      </c>
      <c r="Z609" s="17">
        <v>2.1</v>
      </c>
      <c r="AA609" s="17">
        <v>0</v>
      </c>
      <c r="AB609" s="17">
        <v>10</v>
      </c>
      <c r="AC609" s="17">
        <v>648</v>
      </c>
      <c r="AD609" s="17">
        <v>58</v>
      </c>
      <c r="AE609" s="17">
        <v>50</v>
      </c>
      <c r="AF609" s="17">
        <v>1126</v>
      </c>
      <c r="AG609" s="17">
        <v>947</v>
      </c>
      <c r="AH609" s="17">
        <v>301</v>
      </c>
      <c r="AI609" s="17">
        <v>21</v>
      </c>
      <c r="AJ609" s="17">
        <v>23</v>
      </c>
      <c r="AK609" s="17">
        <v>3.1</v>
      </c>
      <c r="AL609" s="17">
        <v>58</v>
      </c>
      <c r="AM609" s="27">
        <v>0</v>
      </c>
    </row>
    <row r="610" spans="1:39" x14ac:dyDescent="0.25">
      <c r="A610" s="10">
        <v>609</v>
      </c>
      <c r="B610" s="9" t="s">
        <v>713</v>
      </c>
      <c r="C610" s="9" t="s">
        <v>729</v>
      </c>
      <c r="D610" s="10">
        <v>4</v>
      </c>
      <c r="E610" s="11">
        <v>490</v>
      </c>
      <c r="F610" s="17">
        <v>2</v>
      </c>
      <c r="G610" s="17">
        <v>3.7</v>
      </c>
      <c r="H610" s="17">
        <v>16</v>
      </c>
      <c r="I610" s="17">
        <v>57</v>
      </c>
      <c r="J610" s="17">
        <v>57</v>
      </c>
      <c r="K610" s="17">
        <v>1.5</v>
      </c>
      <c r="L610" s="17">
        <v>22</v>
      </c>
      <c r="M610" s="19">
        <v>8.1</v>
      </c>
      <c r="N610" s="19">
        <v>7.4</v>
      </c>
      <c r="O610" s="19">
        <v>4.2</v>
      </c>
      <c r="P610" s="19">
        <v>0.1</v>
      </c>
      <c r="Q610" s="17">
        <v>26</v>
      </c>
      <c r="R610" s="17">
        <v>434</v>
      </c>
      <c r="S610" s="17">
        <v>63</v>
      </c>
      <c r="T610" s="17">
        <v>9.1999999999999993</v>
      </c>
      <c r="U610" s="17">
        <v>5.0999999999999996</v>
      </c>
      <c r="V610" s="17">
        <v>25</v>
      </c>
      <c r="W610" s="17">
        <v>0.4</v>
      </c>
      <c r="X610" s="17">
        <v>1</v>
      </c>
      <c r="Y610" s="17">
        <v>2.9</v>
      </c>
      <c r="Z610" s="17">
        <v>0.3</v>
      </c>
      <c r="AA610" s="17">
        <v>2.6</v>
      </c>
      <c r="AB610" s="17">
        <v>1.3</v>
      </c>
      <c r="AC610" s="17">
        <v>59</v>
      </c>
      <c r="AD610" s="17">
        <v>246</v>
      </c>
      <c r="AE610" s="22" t="s">
        <v>100</v>
      </c>
      <c r="AF610" s="17">
        <v>559</v>
      </c>
      <c r="AG610" s="17">
        <v>375</v>
      </c>
      <c r="AH610" s="17">
        <v>63</v>
      </c>
      <c r="AI610" s="17">
        <v>8.8000000000000007</v>
      </c>
      <c r="AJ610" s="17">
        <v>3.1</v>
      </c>
      <c r="AK610" s="17">
        <v>0.2</v>
      </c>
      <c r="AL610" s="17">
        <v>20</v>
      </c>
      <c r="AM610" s="27">
        <v>0</v>
      </c>
    </row>
    <row r="611" spans="1:39" x14ac:dyDescent="0.25">
      <c r="A611" s="10">
        <v>610</v>
      </c>
      <c r="B611" s="9" t="s">
        <v>713</v>
      </c>
      <c r="C611" s="9" t="s">
        <v>730</v>
      </c>
      <c r="D611" s="10">
        <v>4</v>
      </c>
      <c r="E611" s="11">
        <v>524</v>
      </c>
      <c r="F611" s="17">
        <v>1.6</v>
      </c>
      <c r="G611" s="17">
        <v>3</v>
      </c>
      <c r="H611" s="17">
        <v>14</v>
      </c>
      <c r="I611" s="17">
        <v>54</v>
      </c>
      <c r="J611" s="17">
        <v>45</v>
      </c>
      <c r="K611" s="17">
        <v>0</v>
      </c>
      <c r="L611" s="17">
        <v>28</v>
      </c>
      <c r="M611" s="19">
        <v>10</v>
      </c>
      <c r="N611" s="19">
        <v>9.3000000000000007</v>
      </c>
      <c r="O611" s="19">
        <v>4.5999999999999996</v>
      </c>
      <c r="P611" s="19">
        <v>0.2</v>
      </c>
      <c r="Q611" s="17">
        <v>33</v>
      </c>
      <c r="R611" s="17">
        <v>717</v>
      </c>
      <c r="S611" s="17">
        <v>78</v>
      </c>
      <c r="T611" s="17">
        <v>11</v>
      </c>
      <c r="U611" s="17">
        <v>11</v>
      </c>
      <c r="V611" s="17">
        <v>45</v>
      </c>
      <c r="W611" s="17">
        <v>0.8</v>
      </c>
      <c r="X611" s="17">
        <v>1.2</v>
      </c>
      <c r="Y611" s="22" t="s">
        <v>100</v>
      </c>
      <c r="Z611" s="17">
        <v>0.6</v>
      </c>
      <c r="AA611" s="17">
        <v>2.9</v>
      </c>
      <c r="AB611" s="17">
        <v>1.6</v>
      </c>
      <c r="AC611" s="17">
        <v>104</v>
      </c>
      <c r="AD611" s="17">
        <v>193</v>
      </c>
      <c r="AE611" s="17">
        <v>504</v>
      </c>
      <c r="AF611" s="17">
        <v>521</v>
      </c>
      <c r="AG611" s="17">
        <v>300</v>
      </c>
      <c r="AH611" s="17">
        <v>47</v>
      </c>
      <c r="AI611" s="17">
        <v>8.9</v>
      </c>
      <c r="AJ611" s="17">
        <v>5.2</v>
      </c>
      <c r="AK611" s="17">
        <v>0.4</v>
      </c>
      <c r="AL611" s="17">
        <v>11</v>
      </c>
      <c r="AM611" s="27">
        <v>0</v>
      </c>
    </row>
    <row r="612" spans="1:39" x14ac:dyDescent="0.25">
      <c r="A612" s="10">
        <v>611</v>
      </c>
      <c r="B612" s="9" t="s">
        <v>713</v>
      </c>
      <c r="C612" s="9" t="s">
        <v>731</v>
      </c>
      <c r="D612" s="10">
        <v>4</v>
      </c>
      <c r="E612" s="11">
        <v>498</v>
      </c>
      <c r="F612" s="17">
        <v>3</v>
      </c>
      <c r="G612" s="17">
        <v>3.5</v>
      </c>
      <c r="H612" s="17">
        <v>14.4</v>
      </c>
      <c r="I612" s="17">
        <v>53.2</v>
      </c>
      <c r="J612" s="17">
        <v>26</v>
      </c>
      <c r="K612" s="22" t="s">
        <v>100</v>
      </c>
      <c r="L612" s="17">
        <v>25.9</v>
      </c>
      <c r="M612" s="22" t="s">
        <v>100</v>
      </c>
      <c r="N612" s="22" t="s">
        <v>100</v>
      </c>
      <c r="O612" s="22" t="s">
        <v>100</v>
      </c>
      <c r="P612" s="22" t="s">
        <v>100</v>
      </c>
      <c r="Q612" s="22" t="s">
        <v>100</v>
      </c>
      <c r="R612" s="17">
        <v>1080</v>
      </c>
      <c r="S612" s="17">
        <v>98</v>
      </c>
      <c r="T612" s="17">
        <v>15.2</v>
      </c>
      <c r="U612" s="17">
        <v>16</v>
      </c>
      <c r="V612" s="17">
        <v>32</v>
      </c>
      <c r="W612" s="17">
        <v>0.7</v>
      </c>
      <c r="X612" s="17">
        <v>1</v>
      </c>
      <c r="Y612" s="17">
        <v>11.9</v>
      </c>
      <c r="Z612" s="17">
        <v>0.6</v>
      </c>
      <c r="AA612" s="17">
        <v>4.8</v>
      </c>
      <c r="AB612" s="17">
        <v>1.9</v>
      </c>
      <c r="AC612" s="17">
        <v>210</v>
      </c>
      <c r="AD612" s="17">
        <v>269</v>
      </c>
      <c r="AE612" s="17">
        <v>514</v>
      </c>
      <c r="AF612" s="17">
        <v>648</v>
      </c>
      <c r="AG612" s="17">
        <v>377</v>
      </c>
      <c r="AH612" s="17">
        <v>42</v>
      </c>
      <c r="AI612" s="17">
        <v>8.5</v>
      </c>
      <c r="AJ612" s="17">
        <v>5.5</v>
      </c>
      <c r="AK612" s="17">
        <v>0.6</v>
      </c>
      <c r="AL612" s="17">
        <v>9</v>
      </c>
      <c r="AM612" s="27">
        <v>0</v>
      </c>
    </row>
    <row r="613" spans="1:39" x14ac:dyDescent="0.25">
      <c r="A613" s="10">
        <v>612</v>
      </c>
      <c r="B613" s="9" t="s">
        <v>713</v>
      </c>
      <c r="C613" s="9" t="s">
        <v>732</v>
      </c>
      <c r="D613" s="10">
        <v>4</v>
      </c>
      <c r="E613" s="11">
        <v>454</v>
      </c>
      <c r="F613" s="22" t="s">
        <v>100</v>
      </c>
      <c r="G613" s="22" t="s">
        <v>100</v>
      </c>
      <c r="H613" s="17">
        <v>19.399999999999999</v>
      </c>
      <c r="I613" s="17">
        <v>51.2</v>
      </c>
      <c r="J613" s="17">
        <v>36.799999999999997</v>
      </c>
      <c r="K613" s="17">
        <v>1.7</v>
      </c>
      <c r="L613" s="17">
        <v>19.100000000000001</v>
      </c>
      <c r="M613" s="19">
        <v>7.9</v>
      </c>
      <c r="N613" s="19">
        <v>8.3000000000000007</v>
      </c>
      <c r="O613" s="19">
        <v>2.9</v>
      </c>
      <c r="P613" s="19">
        <v>0</v>
      </c>
      <c r="Q613" s="17">
        <v>56.3</v>
      </c>
      <c r="R613" s="17">
        <v>538</v>
      </c>
      <c r="S613" s="17">
        <v>65.8</v>
      </c>
      <c r="T613" s="17">
        <v>8.6</v>
      </c>
      <c r="U613" s="17">
        <v>10.199999999999999</v>
      </c>
      <c r="V613" s="22" t="s">
        <v>100</v>
      </c>
      <c r="W613" s="17">
        <v>0.4</v>
      </c>
      <c r="X613" s="17">
        <v>0.7</v>
      </c>
      <c r="Y613" s="17">
        <v>5.9</v>
      </c>
      <c r="Z613" s="17">
        <v>0.8</v>
      </c>
      <c r="AA613" s="22" t="s">
        <v>100</v>
      </c>
      <c r="AB613" s="17">
        <v>1.9</v>
      </c>
      <c r="AC613" s="17">
        <v>167</v>
      </c>
      <c r="AD613" s="17">
        <v>207</v>
      </c>
      <c r="AE613" s="22" t="s">
        <v>100</v>
      </c>
      <c r="AF613" s="17">
        <v>1066</v>
      </c>
      <c r="AG613" s="17">
        <v>644</v>
      </c>
      <c r="AH613" s="17">
        <v>92.6</v>
      </c>
      <c r="AI613" s="17">
        <v>7.1</v>
      </c>
      <c r="AJ613" s="17">
        <v>6.7</v>
      </c>
      <c r="AK613" s="17">
        <v>0.3</v>
      </c>
      <c r="AL613" s="22" t="s">
        <v>100</v>
      </c>
      <c r="AM613" s="27">
        <v>0</v>
      </c>
    </row>
    <row r="614" spans="1:39" x14ac:dyDescent="0.25">
      <c r="A614" s="10">
        <v>613</v>
      </c>
      <c r="B614" s="9" t="s">
        <v>713</v>
      </c>
      <c r="C614" s="9" t="s">
        <v>733</v>
      </c>
      <c r="D614" s="10">
        <v>4</v>
      </c>
      <c r="E614" s="11">
        <v>498</v>
      </c>
      <c r="F614" s="22" t="s">
        <v>100</v>
      </c>
      <c r="G614" s="22" t="s">
        <v>100</v>
      </c>
      <c r="H614" s="17">
        <v>25.8</v>
      </c>
      <c r="I614" s="17">
        <v>38.5</v>
      </c>
      <c r="J614" s="17">
        <v>40.299999999999997</v>
      </c>
      <c r="K614" s="17">
        <v>0</v>
      </c>
      <c r="L614" s="17">
        <v>26.7</v>
      </c>
      <c r="M614" s="19">
        <v>16.8</v>
      </c>
      <c r="N614" s="19">
        <v>8.6999999999999993</v>
      </c>
      <c r="O614" s="19">
        <v>1.2</v>
      </c>
      <c r="P614" s="19">
        <v>0.1</v>
      </c>
      <c r="Q614" s="17">
        <v>95.2</v>
      </c>
      <c r="R614" s="17">
        <v>276</v>
      </c>
      <c r="S614" s="17">
        <v>76.400000000000006</v>
      </c>
      <c r="T614" s="17">
        <v>3.4</v>
      </c>
      <c r="U614" s="17">
        <v>0.5</v>
      </c>
      <c r="V614" s="22" t="s">
        <v>100</v>
      </c>
      <c r="W614" s="17">
        <v>0.3</v>
      </c>
      <c r="X614" s="17">
        <v>1.9</v>
      </c>
      <c r="Y614" s="17">
        <v>1.2</v>
      </c>
      <c r="Z614" s="17">
        <v>0.4</v>
      </c>
      <c r="AA614" s="17">
        <v>3</v>
      </c>
      <c r="AB614" s="17">
        <v>3.5</v>
      </c>
      <c r="AC614" s="17">
        <v>42.5</v>
      </c>
      <c r="AD614" s="17">
        <v>244</v>
      </c>
      <c r="AE614" s="22" t="s">
        <v>100</v>
      </c>
      <c r="AF614" s="17">
        <v>980</v>
      </c>
      <c r="AG614" s="17">
        <v>793</v>
      </c>
      <c r="AH614" s="17">
        <v>75</v>
      </c>
      <c r="AI614" s="17">
        <v>11.3</v>
      </c>
      <c r="AJ614" s="17">
        <v>5.5</v>
      </c>
      <c r="AK614" s="17">
        <v>0.4</v>
      </c>
      <c r="AL614" s="22" t="s">
        <v>100</v>
      </c>
      <c r="AM614" s="27">
        <v>0</v>
      </c>
    </row>
    <row r="615" spans="1:39" x14ac:dyDescent="0.25">
      <c r="A615" s="10">
        <v>614</v>
      </c>
      <c r="B615" s="9" t="s">
        <v>713</v>
      </c>
      <c r="C615" s="9" t="s">
        <v>734</v>
      </c>
      <c r="D615" s="10">
        <v>4</v>
      </c>
      <c r="E615" s="11">
        <v>391</v>
      </c>
      <c r="F615" s="22" t="s">
        <v>100</v>
      </c>
      <c r="G615" s="22" t="s">
        <v>100</v>
      </c>
      <c r="H615" s="17">
        <v>21.3</v>
      </c>
      <c r="I615" s="17">
        <v>55.4</v>
      </c>
      <c r="J615" s="17">
        <v>37</v>
      </c>
      <c r="K615" s="17">
        <v>1.2</v>
      </c>
      <c r="L615" s="17">
        <v>9.3000000000000007</v>
      </c>
      <c r="M615" s="19">
        <v>1.9</v>
      </c>
      <c r="N615" s="19">
        <v>4.5999999999999996</v>
      </c>
      <c r="O615" s="19">
        <v>2.7</v>
      </c>
      <c r="P615" s="19">
        <v>0.1</v>
      </c>
      <c r="Q615" s="17">
        <v>29.7</v>
      </c>
      <c r="R615" s="17">
        <v>622</v>
      </c>
      <c r="S615" s="17">
        <v>156</v>
      </c>
      <c r="T615" s="17">
        <v>5.4</v>
      </c>
      <c r="U615" s="17">
        <v>30.8</v>
      </c>
      <c r="V615" s="22" t="s">
        <v>100</v>
      </c>
      <c r="W615" s="17">
        <v>1.7</v>
      </c>
      <c r="X615" s="17">
        <v>2.2000000000000002</v>
      </c>
      <c r="Y615" s="17">
        <v>21.7</v>
      </c>
      <c r="Z615" s="17">
        <v>2.4</v>
      </c>
      <c r="AA615" s="22" t="s">
        <v>100</v>
      </c>
      <c r="AB615" s="17">
        <v>6.2</v>
      </c>
      <c r="AC615" s="17">
        <v>631</v>
      </c>
      <c r="AD615" s="17">
        <v>228</v>
      </c>
      <c r="AE615" s="22" t="s">
        <v>100</v>
      </c>
      <c r="AF615" s="17">
        <v>1409</v>
      </c>
      <c r="AG615" s="17">
        <v>1280</v>
      </c>
      <c r="AH615" s="17">
        <v>258</v>
      </c>
      <c r="AI615" s="22" t="s">
        <v>100</v>
      </c>
      <c r="AJ615" s="17">
        <v>7.6</v>
      </c>
      <c r="AK615" s="22" t="s">
        <v>100</v>
      </c>
      <c r="AL615" s="22" t="s">
        <v>100</v>
      </c>
      <c r="AM615" s="27">
        <v>0</v>
      </c>
    </row>
    <row r="616" spans="1:39" x14ac:dyDescent="0.25">
      <c r="A616" s="10">
        <v>615</v>
      </c>
      <c r="B616" s="9" t="s">
        <v>713</v>
      </c>
      <c r="C616" s="9" t="s">
        <v>735</v>
      </c>
      <c r="D616" s="10">
        <v>4</v>
      </c>
      <c r="E616" s="11">
        <v>411</v>
      </c>
      <c r="F616" s="22" t="s">
        <v>100</v>
      </c>
      <c r="G616" s="22" t="s">
        <v>100</v>
      </c>
      <c r="H616" s="17">
        <v>12</v>
      </c>
      <c r="I616" s="17">
        <v>57</v>
      </c>
      <c r="J616" s="22" t="s">
        <v>100</v>
      </c>
      <c r="K616" s="17">
        <v>4</v>
      </c>
      <c r="L616" s="17">
        <v>15</v>
      </c>
      <c r="M616" s="19">
        <v>1.9</v>
      </c>
      <c r="N616" s="19">
        <v>9.5</v>
      </c>
      <c r="O616" s="19">
        <v>4.5999999999999996</v>
      </c>
      <c r="P616" s="19">
        <v>0.2</v>
      </c>
      <c r="Q616" s="17">
        <v>0</v>
      </c>
      <c r="R616" s="17">
        <v>326</v>
      </c>
      <c r="S616" s="17">
        <v>35</v>
      </c>
      <c r="T616" s="17">
        <v>4.4000000000000004</v>
      </c>
      <c r="U616" s="17">
        <v>4</v>
      </c>
      <c r="V616" s="22" t="s">
        <v>100</v>
      </c>
      <c r="W616" s="17">
        <v>0.1</v>
      </c>
      <c r="X616" s="17">
        <v>0.2</v>
      </c>
      <c r="Y616" s="17">
        <v>1.8</v>
      </c>
      <c r="Z616" s="17">
        <v>0.1</v>
      </c>
      <c r="AA616" s="22" t="s">
        <v>100</v>
      </c>
      <c r="AB616" s="17">
        <v>1.5</v>
      </c>
      <c r="AC616" s="17">
        <v>40</v>
      </c>
      <c r="AD616" s="17">
        <v>230</v>
      </c>
      <c r="AE616" s="22" t="s">
        <v>100</v>
      </c>
      <c r="AF616" s="17">
        <v>400</v>
      </c>
      <c r="AG616" s="17">
        <v>320</v>
      </c>
      <c r="AH616" s="17">
        <v>72</v>
      </c>
      <c r="AI616" s="17">
        <v>5</v>
      </c>
      <c r="AJ616" s="17">
        <v>4</v>
      </c>
      <c r="AK616" s="22" t="s">
        <v>100</v>
      </c>
      <c r="AL616" s="22" t="s">
        <v>100</v>
      </c>
      <c r="AM616" s="27">
        <v>0</v>
      </c>
    </row>
    <row r="617" spans="1:39" x14ac:dyDescent="0.25">
      <c r="A617" s="10">
        <v>616</v>
      </c>
      <c r="B617" s="9" t="s">
        <v>713</v>
      </c>
      <c r="C617" s="9" t="s">
        <v>736</v>
      </c>
      <c r="D617" s="10">
        <v>4</v>
      </c>
      <c r="E617" s="11">
        <v>411</v>
      </c>
      <c r="F617" s="22" t="s">
        <v>100</v>
      </c>
      <c r="G617" s="22" t="s">
        <v>100</v>
      </c>
      <c r="H617" s="17">
        <v>12</v>
      </c>
      <c r="I617" s="17">
        <v>57</v>
      </c>
      <c r="J617" s="22" t="s">
        <v>100</v>
      </c>
      <c r="K617" s="17">
        <v>4</v>
      </c>
      <c r="L617" s="17">
        <v>15</v>
      </c>
      <c r="M617" s="19">
        <v>1.9</v>
      </c>
      <c r="N617" s="19">
        <v>9.5</v>
      </c>
      <c r="O617" s="19">
        <v>4.5999999999999996</v>
      </c>
      <c r="P617" s="19">
        <v>0.2</v>
      </c>
      <c r="Q617" s="17">
        <v>0</v>
      </c>
      <c r="R617" s="17">
        <v>326</v>
      </c>
      <c r="S617" s="17">
        <v>35</v>
      </c>
      <c r="T617" s="17">
        <v>4.4000000000000004</v>
      </c>
      <c r="U617" s="17">
        <v>4</v>
      </c>
      <c r="V617" s="22" t="s">
        <v>100</v>
      </c>
      <c r="W617" s="17">
        <v>0.1</v>
      </c>
      <c r="X617" s="17">
        <v>0.2</v>
      </c>
      <c r="Y617" s="17">
        <v>1.8</v>
      </c>
      <c r="Z617" s="17">
        <v>0.1</v>
      </c>
      <c r="AA617" s="22" t="s">
        <v>100</v>
      </c>
      <c r="AB617" s="17">
        <v>1.5</v>
      </c>
      <c r="AC617" s="17">
        <v>40</v>
      </c>
      <c r="AD617" s="17">
        <v>230</v>
      </c>
      <c r="AE617" s="22" t="s">
        <v>100</v>
      </c>
      <c r="AF617" s="17">
        <v>400</v>
      </c>
      <c r="AG617" s="17">
        <v>320</v>
      </c>
      <c r="AH617" s="17">
        <v>72</v>
      </c>
      <c r="AI617" s="17">
        <v>5</v>
      </c>
      <c r="AJ617" s="17">
        <v>4</v>
      </c>
      <c r="AK617" s="22" t="s">
        <v>100</v>
      </c>
      <c r="AL617" s="22" t="s">
        <v>100</v>
      </c>
      <c r="AM617" s="27">
        <v>0</v>
      </c>
    </row>
    <row r="618" spans="1:39" x14ac:dyDescent="0.25">
      <c r="A618" s="10">
        <v>617</v>
      </c>
      <c r="B618" s="9" t="s">
        <v>713</v>
      </c>
      <c r="C618" s="9" t="s">
        <v>737</v>
      </c>
      <c r="D618" s="10">
        <v>4</v>
      </c>
      <c r="E618" s="11">
        <v>415</v>
      </c>
      <c r="F618" s="22" t="s">
        <v>100</v>
      </c>
      <c r="G618" s="22" t="s">
        <v>100</v>
      </c>
      <c r="H618" s="17">
        <v>12.5</v>
      </c>
      <c r="I618" s="17">
        <v>57.5</v>
      </c>
      <c r="J618" s="17">
        <v>5</v>
      </c>
      <c r="K618" s="17">
        <v>4.2</v>
      </c>
      <c r="L618" s="17">
        <v>15</v>
      </c>
      <c r="M618" s="19">
        <v>4.2</v>
      </c>
      <c r="N618" s="19">
        <v>7</v>
      </c>
      <c r="O618" s="19">
        <v>3.8</v>
      </c>
      <c r="P618" s="19">
        <v>0</v>
      </c>
      <c r="Q618" s="17">
        <v>0</v>
      </c>
      <c r="R618" s="17">
        <v>326</v>
      </c>
      <c r="S618" s="17">
        <v>35</v>
      </c>
      <c r="T618" s="17">
        <v>4.4000000000000004</v>
      </c>
      <c r="U618" s="17">
        <v>4</v>
      </c>
      <c r="V618" s="22" t="s">
        <v>100</v>
      </c>
      <c r="W618" s="17">
        <v>0.1</v>
      </c>
      <c r="X618" s="17">
        <v>0.2</v>
      </c>
      <c r="Y618" s="17">
        <v>1.8</v>
      </c>
      <c r="Z618" s="17">
        <v>0.1</v>
      </c>
      <c r="AA618" s="22" t="s">
        <v>100</v>
      </c>
      <c r="AB618" s="17">
        <v>1.5</v>
      </c>
      <c r="AC618" s="17">
        <v>40</v>
      </c>
      <c r="AD618" s="17">
        <v>230</v>
      </c>
      <c r="AE618" s="22" t="s">
        <v>100</v>
      </c>
      <c r="AF618" s="17">
        <v>400</v>
      </c>
      <c r="AG618" s="17">
        <v>320</v>
      </c>
      <c r="AH618" s="17">
        <v>72</v>
      </c>
      <c r="AI618" s="17">
        <v>5</v>
      </c>
      <c r="AJ618" s="17">
        <v>4</v>
      </c>
      <c r="AK618" s="22" t="s">
        <v>100</v>
      </c>
      <c r="AL618" s="22" t="s">
        <v>100</v>
      </c>
      <c r="AM618" s="27">
        <v>0</v>
      </c>
    </row>
    <row r="619" spans="1:39" x14ac:dyDescent="0.25">
      <c r="A619" s="10">
        <v>618</v>
      </c>
      <c r="B619" s="9" t="s">
        <v>713</v>
      </c>
      <c r="C619" s="9" t="s">
        <v>738</v>
      </c>
      <c r="D619" s="10">
        <v>4</v>
      </c>
      <c r="E619" s="11">
        <v>466</v>
      </c>
      <c r="F619" s="22" t="s">
        <v>100</v>
      </c>
      <c r="G619" s="22" t="s">
        <v>100</v>
      </c>
      <c r="H619" s="17">
        <v>13.1</v>
      </c>
      <c r="I619" s="17">
        <v>49.8</v>
      </c>
      <c r="J619" s="17">
        <v>7.3</v>
      </c>
      <c r="K619" s="17">
        <v>3.7</v>
      </c>
      <c r="L619" s="17">
        <v>23</v>
      </c>
      <c r="M619" s="19">
        <v>7.5</v>
      </c>
      <c r="N619" s="19">
        <v>9.4</v>
      </c>
      <c r="O619" s="19">
        <v>5</v>
      </c>
      <c r="P619" s="22" t="s">
        <v>100</v>
      </c>
      <c r="Q619" s="17">
        <v>0</v>
      </c>
      <c r="R619" s="17">
        <v>392</v>
      </c>
      <c r="S619" s="17">
        <v>49</v>
      </c>
      <c r="T619" s="17">
        <v>8.6999999999999993</v>
      </c>
      <c r="U619" s="17">
        <v>4.5999999999999996</v>
      </c>
      <c r="V619" s="17">
        <v>37.200000000000003</v>
      </c>
      <c r="W619" s="17">
        <v>0.5</v>
      </c>
      <c r="X619" s="17">
        <v>0.5</v>
      </c>
      <c r="Y619" s="17">
        <v>2.2000000000000002</v>
      </c>
      <c r="Z619" s="17">
        <v>0.5</v>
      </c>
      <c r="AA619" s="17">
        <v>2.8</v>
      </c>
      <c r="AB619" s="17">
        <v>1.2</v>
      </c>
      <c r="AC619" s="17">
        <v>55</v>
      </c>
      <c r="AD619" s="17">
        <v>191</v>
      </c>
      <c r="AE619" s="17">
        <v>501</v>
      </c>
      <c r="AF619" s="17">
        <v>410</v>
      </c>
      <c r="AG619" s="17">
        <v>300</v>
      </c>
      <c r="AH619" s="17">
        <v>58</v>
      </c>
      <c r="AI619" s="17">
        <v>8.1</v>
      </c>
      <c r="AJ619" s="17">
        <v>5.7</v>
      </c>
      <c r="AK619" s="17">
        <v>0.4</v>
      </c>
      <c r="AL619" s="17">
        <v>15.5</v>
      </c>
      <c r="AM619" s="27">
        <v>0</v>
      </c>
    </row>
    <row r="620" spans="1:39" x14ac:dyDescent="0.25">
      <c r="A620" s="10">
        <v>619</v>
      </c>
      <c r="B620" s="9" t="s">
        <v>713</v>
      </c>
      <c r="C620" s="9" t="s">
        <v>739</v>
      </c>
      <c r="D620" s="10">
        <v>4</v>
      </c>
      <c r="E620" s="11">
        <v>420</v>
      </c>
      <c r="F620" s="22" t="s">
        <v>100</v>
      </c>
      <c r="G620" s="22" t="s">
        <v>100</v>
      </c>
      <c r="H620" s="17">
        <v>12.5</v>
      </c>
      <c r="I620" s="17">
        <v>68</v>
      </c>
      <c r="J620" s="17">
        <v>6.7</v>
      </c>
      <c r="K620" s="17">
        <v>0</v>
      </c>
      <c r="L620" s="17">
        <v>11</v>
      </c>
      <c r="M620" s="19">
        <v>9.1999999999999993</v>
      </c>
      <c r="N620" s="19">
        <v>0.6</v>
      </c>
      <c r="O620" s="19">
        <v>0.6</v>
      </c>
      <c r="P620" s="22" t="s">
        <v>100</v>
      </c>
      <c r="Q620" s="22" t="s">
        <v>100</v>
      </c>
      <c r="R620" s="17">
        <v>325</v>
      </c>
      <c r="S620" s="17">
        <v>35</v>
      </c>
      <c r="T620" s="17">
        <v>6.6</v>
      </c>
      <c r="U620" s="17">
        <v>2.8</v>
      </c>
      <c r="V620" s="17">
        <v>21</v>
      </c>
      <c r="W620" s="17">
        <v>0.4</v>
      </c>
      <c r="X620" s="17">
        <v>0.5</v>
      </c>
      <c r="Y620" s="17">
        <v>3.9</v>
      </c>
      <c r="Z620" s="17">
        <v>0.4</v>
      </c>
      <c r="AA620" s="17">
        <v>1.5</v>
      </c>
      <c r="AB620" s="17">
        <v>0.9</v>
      </c>
      <c r="AC620" s="17">
        <v>47</v>
      </c>
      <c r="AD620" s="17">
        <v>200</v>
      </c>
      <c r="AE620" s="17">
        <v>360</v>
      </c>
      <c r="AF620" s="17">
        <v>257</v>
      </c>
      <c r="AG620" s="17">
        <v>200</v>
      </c>
      <c r="AH620" s="17">
        <v>35</v>
      </c>
      <c r="AI620" s="17">
        <v>4.2</v>
      </c>
      <c r="AJ620" s="17">
        <v>3.3</v>
      </c>
      <c r="AK620" s="17">
        <v>0.3</v>
      </c>
      <c r="AL620" s="17">
        <v>10.8</v>
      </c>
      <c r="AM620" s="27">
        <v>0</v>
      </c>
    </row>
    <row r="621" spans="1:39" x14ac:dyDescent="0.25">
      <c r="A621" s="10">
        <v>620</v>
      </c>
      <c r="B621" s="9" t="s">
        <v>713</v>
      </c>
      <c r="C621" s="9" t="s">
        <v>740</v>
      </c>
      <c r="D621" s="10">
        <v>4</v>
      </c>
      <c r="E621" s="11">
        <v>457</v>
      </c>
      <c r="F621" s="22" t="s">
        <v>100</v>
      </c>
      <c r="G621" s="22" t="s">
        <v>100</v>
      </c>
      <c r="H621" s="17">
        <v>13.1</v>
      </c>
      <c r="I621" s="17">
        <v>49.5</v>
      </c>
      <c r="J621" s="17">
        <v>7.4</v>
      </c>
      <c r="K621" s="17">
        <v>5.3</v>
      </c>
      <c r="L621" s="17">
        <v>23</v>
      </c>
      <c r="M621" s="19">
        <v>7.5</v>
      </c>
      <c r="N621" s="19">
        <v>9.4</v>
      </c>
      <c r="O621" s="19">
        <v>5</v>
      </c>
      <c r="P621" s="22" t="s">
        <v>100</v>
      </c>
      <c r="Q621" s="22" t="s">
        <v>100</v>
      </c>
      <c r="R621" s="17">
        <v>392</v>
      </c>
      <c r="S621" s="17">
        <v>49</v>
      </c>
      <c r="T621" s="17">
        <v>8.6999999999999993</v>
      </c>
      <c r="U621" s="17">
        <v>4.5999999999999996</v>
      </c>
      <c r="V621" s="17">
        <v>37.200000000000003</v>
      </c>
      <c r="W621" s="17">
        <v>0.5</v>
      </c>
      <c r="X621" s="17">
        <v>0.5</v>
      </c>
      <c r="Y621" s="17">
        <v>2.2000000000000002</v>
      </c>
      <c r="Z621" s="17">
        <v>0.5</v>
      </c>
      <c r="AA621" s="17">
        <v>2.8</v>
      </c>
      <c r="AB621" s="17">
        <v>1.2</v>
      </c>
      <c r="AC621" s="17">
        <v>55</v>
      </c>
      <c r="AD621" s="17">
        <v>191</v>
      </c>
      <c r="AE621" s="17">
        <v>501</v>
      </c>
      <c r="AF621" s="17">
        <v>410</v>
      </c>
      <c r="AG621" s="17">
        <v>300</v>
      </c>
      <c r="AH621" s="17">
        <v>58</v>
      </c>
      <c r="AI621" s="17">
        <v>8.1</v>
      </c>
      <c r="AJ621" s="17">
        <v>5.7</v>
      </c>
      <c r="AK621" s="17">
        <v>0.4</v>
      </c>
      <c r="AL621" s="17">
        <v>15.5</v>
      </c>
      <c r="AM621" s="27">
        <v>0</v>
      </c>
    </row>
    <row r="622" spans="1:39" x14ac:dyDescent="0.25">
      <c r="A622" s="10">
        <v>621</v>
      </c>
      <c r="B622" s="9" t="s">
        <v>713</v>
      </c>
      <c r="C622" s="9" t="s">
        <v>741</v>
      </c>
      <c r="D622" s="10">
        <v>4</v>
      </c>
      <c r="E622" s="11">
        <v>309</v>
      </c>
      <c r="F622" s="22" t="s">
        <v>100</v>
      </c>
      <c r="G622" s="22" t="s">
        <v>100</v>
      </c>
      <c r="H622" s="17">
        <v>25</v>
      </c>
      <c r="I622" s="17">
        <v>51</v>
      </c>
      <c r="J622" s="17">
        <v>4.5999999999999996</v>
      </c>
      <c r="K622" s="17">
        <v>0</v>
      </c>
      <c r="L622" s="17">
        <v>0.5</v>
      </c>
      <c r="M622" s="22" t="s">
        <v>100</v>
      </c>
      <c r="N622" s="22" t="s">
        <v>100</v>
      </c>
      <c r="O622" s="22" t="s">
        <v>100</v>
      </c>
      <c r="P622" s="22" t="s">
        <v>100</v>
      </c>
      <c r="Q622" s="22" t="s">
        <v>100</v>
      </c>
      <c r="R622" s="17">
        <v>525</v>
      </c>
      <c r="S622" s="17">
        <v>135</v>
      </c>
      <c r="T622" s="17">
        <v>12</v>
      </c>
      <c r="U622" s="17">
        <v>4.4000000000000004</v>
      </c>
      <c r="V622" s="17">
        <v>30</v>
      </c>
      <c r="W622" s="17">
        <v>1.1000000000000001</v>
      </c>
      <c r="X622" s="17">
        <v>1.2</v>
      </c>
      <c r="Y622" s="17">
        <v>12</v>
      </c>
      <c r="Z622" s="17">
        <v>1.4</v>
      </c>
      <c r="AA622" s="17">
        <v>3.7</v>
      </c>
      <c r="AB622" s="17">
        <v>3.9</v>
      </c>
      <c r="AC622" s="17">
        <v>240</v>
      </c>
      <c r="AD622" s="17">
        <v>580</v>
      </c>
      <c r="AE622" s="17">
        <v>840</v>
      </c>
      <c r="AF622" s="17">
        <v>810</v>
      </c>
      <c r="AG622" s="17">
        <v>810</v>
      </c>
      <c r="AH622" s="17">
        <v>200</v>
      </c>
      <c r="AI622" s="17">
        <v>12</v>
      </c>
      <c r="AJ622" s="17">
        <v>13</v>
      </c>
      <c r="AK622" s="17">
        <v>1.8</v>
      </c>
      <c r="AL622" s="17">
        <v>40</v>
      </c>
      <c r="AM622" s="27">
        <v>0</v>
      </c>
    </row>
    <row r="623" spans="1:39" x14ac:dyDescent="0.25">
      <c r="A623" s="10">
        <v>622</v>
      </c>
      <c r="B623" s="9" t="s">
        <v>713</v>
      </c>
      <c r="C623" s="9" t="s">
        <v>742</v>
      </c>
      <c r="D623" s="10">
        <v>4</v>
      </c>
      <c r="E623" s="11">
        <v>297</v>
      </c>
      <c r="F623" s="22" t="s">
        <v>100</v>
      </c>
      <c r="G623" s="22" t="s">
        <v>100</v>
      </c>
      <c r="H623" s="17">
        <v>39</v>
      </c>
      <c r="I623" s="17">
        <v>34</v>
      </c>
      <c r="J623" s="17">
        <v>3.1</v>
      </c>
      <c r="K623" s="17">
        <v>0</v>
      </c>
      <c r="L623" s="17">
        <v>0.5</v>
      </c>
      <c r="M623" s="19">
        <v>0</v>
      </c>
      <c r="N623" s="22" t="s">
        <v>100</v>
      </c>
      <c r="O623" s="22" t="s">
        <v>100</v>
      </c>
      <c r="P623" s="22" t="s">
        <v>100</v>
      </c>
      <c r="Q623" s="22" t="s">
        <v>100</v>
      </c>
      <c r="R623" s="17">
        <v>710</v>
      </c>
      <c r="S623" s="17">
        <v>90</v>
      </c>
      <c r="T623" s="17">
        <v>7.8</v>
      </c>
      <c r="U623" s="17">
        <v>5.2</v>
      </c>
      <c r="V623" s="17">
        <v>70</v>
      </c>
      <c r="W623" s="17">
        <v>1.4</v>
      </c>
      <c r="X623" s="17">
        <v>1.4</v>
      </c>
      <c r="Y623" s="17">
        <v>13.6</v>
      </c>
      <c r="Z623" s="17">
        <v>2.1</v>
      </c>
      <c r="AA623" s="17">
        <v>5</v>
      </c>
      <c r="AB623" s="17">
        <v>3.6</v>
      </c>
      <c r="AC623" s="17">
        <v>500</v>
      </c>
      <c r="AD623" s="17">
        <v>560</v>
      </c>
      <c r="AE623" s="17">
        <v>700</v>
      </c>
      <c r="AF623" s="17">
        <v>670</v>
      </c>
      <c r="AG623" s="17">
        <v>670</v>
      </c>
      <c r="AH623" s="17">
        <v>285</v>
      </c>
      <c r="AI623" s="17">
        <v>23.5</v>
      </c>
      <c r="AJ623" s="17">
        <v>13.6</v>
      </c>
      <c r="AK623" s="17">
        <v>1.4</v>
      </c>
      <c r="AL623" s="17">
        <v>50</v>
      </c>
      <c r="AM623" s="27">
        <v>0</v>
      </c>
    </row>
    <row r="624" spans="1:39" x14ac:dyDescent="0.25">
      <c r="A624" s="10">
        <v>623</v>
      </c>
      <c r="B624" s="9" t="s">
        <v>713</v>
      </c>
      <c r="C624" s="9" t="s">
        <v>743</v>
      </c>
      <c r="D624" s="10">
        <v>4</v>
      </c>
      <c r="E624" s="11">
        <v>289</v>
      </c>
      <c r="F624" s="22" t="s">
        <v>100</v>
      </c>
      <c r="G624" s="22" t="s">
        <v>100</v>
      </c>
      <c r="H624" s="17">
        <v>50</v>
      </c>
      <c r="I624" s="17">
        <v>22</v>
      </c>
      <c r="J624" s="22" t="s">
        <v>100</v>
      </c>
      <c r="K624" s="17">
        <v>0</v>
      </c>
      <c r="L624" s="17">
        <v>0</v>
      </c>
      <c r="M624" s="19">
        <v>0</v>
      </c>
      <c r="N624" s="19">
        <v>0</v>
      </c>
      <c r="O624" s="19">
        <v>0</v>
      </c>
      <c r="P624" s="22" t="s">
        <v>100</v>
      </c>
      <c r="Q624" s="22" t="s">
        <v>100</v>
      </c>
      <c r="R624" s="17">
        <v>3790</v>
      </c>
      <c r="S624" s="17">
        <v>379</v>
      </c>
      <c r="T624" s="17">
        <v>47</v>
      </c>
      <c r="U624" s="17">
        <v>43</v>
      </c>
      <c r="V624" s="17">
        <v>105</v>
      </c>
      <c r="W624" s="17">
        <v>2</v>
      </c>
      <c r="X624" s="17">
        <v>4.3</v>
      </c>
      <c r="Y624" s="17">
        <v>25</v>
      </c>
      <c r="Z624" s="17">
        <v>2.4</v>
      </c>
      <c r="AA624" s="17">
        <v>17</v>
      </c>
      <c r="AB624" s="17">
        <v>5.5</v>
      </c>
      <c r="AC624" s="17">
        <v>299</v>
      </c>
      <c r="AD624" s="17">
        <v>597</v>
      </c>
      <c r="AE624" s="17">
        <v>2674</v>
      </c>
      <c r="AF624" s="17">
        <v>2346</v>
      </c>
      <c r="AG624" s="17">
        <v>1260</v>
      </c>
      <c r="AH624" s="17">
        <v>299</v>
      </c>
      <c r="AI624" s="17">
        <v>29</v>
      </c>
      <c r="AJ624" s="17">
        <v>25</v>
      </c>
      <c r="AK624" s="17">
        <v>1.6</v>
      </c>
      <c r="AL624" s="17">
        <v>71</v>
      </c>
      <c r="AM624" s="27">
        <v>0</v>
      </c>
    </row>
    <row r="625" spans="1:39" x14ac:dyDescent="0.25">
      <c r="A625" s="10">
        <v>624</v>
      </c>
      <c r="B625" s="9" t="s">
        <v>713</v>
      </c>
      <c r="C625" s="9" t="s">
        <v>744</v>
      </c>
      <c r="D625" s="10">
        <v>4</v>
      </c>
      <c r="E625" s="11">
        <v>291</v>
      </c>
      <c r="F625" s="22" t="s">
        <v>100</v>
      </c>
      <c r="G625" s="22" t="s">
        <v>100</v>
      </c>
      <c r="H625" s="17">
        <v>62.1</v>
      </c>
      <c r="I625" s="17">
        <v>10.7</v>
      </c>
      <c r="J625" s="22" t="s">
        <v>100</v>
      </c>
      <c r="K625" s="17">
        <v>0</v>
      </c>
      <c r="L625" s="17">
        <v>0</v>
      </c>
      <c r="M625" s="19">
        <v>0</v>
      </c>
      <c r="N625" s="19">
        <v>0</v>
      </c>
      <c r="O625" s="19">
        <v>0</v>
      </c>
      <c r="P625" s="22" t="s">
        <v>100</v>
      </c>
      <c r="Q625" s="22" t="s">
        <v>100</v>
      </c>
      <c r="R625" s="17">
        <v>1200</v>
      </c>
      <c r="S625" s="17">
        <v>68</v>
      </c>
      <c r="T625" s="17">
        <v>18.600000000000001</v>
      </c>
      <c r="U625" s="17">
        <v>21.7</v>
      </c>
      <c r="V625" s="17">
        <v>168</v>
      </c>
      <c r="W625" s="17">
        <v>2.1</v>
      </c>
      <c r="X625" s="17">
        <v>2.8</v>
      </c>
      <c r="Y625" s="17">
        <v>28</v>
      </c>
      <c r="Z625" s="17">
        <v>1.9</v>
      </c>
      <c r="AA625" s="17">
        <v>17</v>
      </c>
      <c r="AB625" s="17">
        <v>3.7</v>
      </c>
      <c r="AC625" s="17">
        <v>311</v>
      </c>
      <c r="AD625" s="17">
        <v>556</v>
      </c>
      <c r="AE625" s="17">
        <v>1255</v>
      </c>
      <c r="AF625" s="17">
        <v>2063</v>
      </c>
      <c r="AG625" s="17">
        <v>1217</v>
      </c>
      <c r="AH625" s="17">
        <v>302</v>
      </c>
      <c r="AI625" s="17">
        <v>28</v>
      </c>
      <c r="AJ625" s="17">
        <v>19</v>
      </c>
      <c r="AK625" s="17">
        <v>2.2000000000000002</v>
      </c>
      <c r="AL625" s="17">
        <v>75</v>
      </c>
      <c r="AM625" s="27">
        <v>0</v>
      </c>
    </row>
    <row r="626" spans="1:39" x14ac:dyDescent="0.25">
      <c r="A626" s="10">
        <v>625</v>
      </c>
      <c r="B626" s="9" t="s">
        <v>713</v>
      </c>
      <c r="C626" s="9" t="s">
        <v>745</v>
      </c>
      <c r="D626" s="10">
        <v>4</v>
      </c>
      <c r="E626" s="11">
        <v>290</v>
      </c>
      <c r="F626" s="22" t="s">
        <v>100</v>
      </c>
      <c r="G626" s="22" t="s">
        <v>100</v>
      </c>
      <c r="H626" s="17">
        <v>63.2</v>
      </c>
      <c r="I626" s="17">
        <v>9.1999999999999993</v>
      </c>
      <c r="J626" s="22" t="s">
        <v>100</v>
      </c>
      <c r="K626" s="17">
        <v>0</v>
      </c>
      <c r="L626" s="17">
        <v>0</v>
      </c>
      <c r="M626" s="19">
        <v>0</v>
      </c>
      <c r="N626" s="19">
        <v>0</v>
      </c>
      <c r="O626" s="19">
        <v>0</v>
      </c>
      <c r="P626" s="22" t="s">
        <v>100</v>
      </c>
      <c r="Q626" s="22" t="s">
        <v>100</v>
      </c>
      <c r="R626" s="17">
        <v>1270</v>
      </c>
      <c r="S626" s="17">
        <v>171</v>
      </c>
      <c r="T626" s="17">
        <v>19</v>
      </c>
      <c r="U626" s="17">
        <v>22.1</v>
      </c>
      <c r="V626" s="17">
        <v>70</v>
      </c>
      <c r="W626" s="17">
        <v>2.1</v>
      </c>
      <c r="X626" s="17">
        <v>2.8</v>
      </c>
      <c r="Y626" s="17">
        <v>29</v>
      </c>
      <c r="Z626" s="17">
        <v>1.9</v>
      </c>
      <c r="AA626" s="17">
        <v>16.8</v>
      </c>
      <c r="AB626" s="17">
        <v>3.8</v>
      </c>
      <c r="AC626" s="17">
        <v>316</v>
      </c>
      <c r="AD626" s="17">
        <v>566</v>
      </c>
      <c r="AE626" s="17">
        <v>1277</v>
      </c>
      <c r="AF626" s="17">
        <v>2099</v>
      </c>
      <c r="AG626" s="17">
        <v>1240</v>
      </c>
      <c r="AH626" s="17">
        <v>307</v>
      </c>
      <c r="AI626" s="17">
        <v>28.5</v>
      </c>
      <c r="AJ626" s="17">
        <v>19</v>
      </c>
      <c r="AK626" s="17">
        <v>2.2000000000000002</v>
      </c>
      <c r="AL626" s="17">
        <v>76</v>
      </c>
      <c r="AM626" s="27">
        <v>0</v>
      </c>
    </row>
    <row r="627" spans="1:39" x14ac:dyDescent="0.25">
      <c r="A627" s="10">
        <v>626</v>
      </c>
      <c r="B627" s="9" t="s">
        <v>713</v>
      </c>
      <c r="C627" s="9" t="s">
        <v>746</v>
      </c>
      <c r="D627" s="10">
        <v>4</v>
      </c>
      <c r="E627" s="11">
        <v>310</v>
      </c>
      <c r="F627" s="22" t="s">
        <v>100</v>
      </c>
      <c r="G627" s="22" t="s">
        <v>100</v>
      </c>
      <c r="H627" s="17">
        <v>77.5</v>
      </c>
      <c r="I627" s="17">
        <v>0</v>
      </c>
      <c r="J627" s="17">
        <v>0</v>
      </c>
      <c r="K627" s="17">
        <v>0</v>
      </c>
      <c r="L627" s="17">
        <v>0</v>
      </c>
      <c r="M627" s="22" t="s">
        <v>100</v>
      </c>
      <c r="N627" s="22" t="s">
        <v>100</v>
      </c>
      <c r="O627" s="22" t="s">
        <v>100</v>
      </c>
      <c r="P627" s="22" t="s">
        <v>100</v>
      </c>
      <c r="Q627" s="22" t="s">
        <v>100</v>
      </c>
      <c r="R627" s="17">
        <v>1400</v>
      </c>
      <c r="S627" s="22" t="s">
        <v>100</v>
      </c>
      <c r="T627" s="17">
        <v>9</v>
      </c>
      <c r="U627" s="17">
        <v>18</v>
      </c>
      <c r="V627" s="17">
        <v>60</v>
      </c>
      <c r="W627" s="17">
        <v>2.7</v>
      </c>
      <c r="X627" s="17">
        <v>2.5</v>
      </c>
      <c r="Y627" s="17">
        <v>24</v>
      </c>
      <c r="Z627" s="17">
        <v>2.5</v>
      </c>
      <c r="AA627" s="17">
        <v>13</v>
      </c>
      <c r="AB627" s="17">
        <v>5</v>
      </c>
      <c r="AC627" s="17">
        <v>300</v>
      </c>
      <c r="AD627" s="17">
        <v>0</v>
      </c>
      <c r="AE627" s="17">
        <v>1347</v>
      </c>
      <c r="AF627" s="17">
        <v>1308</v>
      </c>
      <c r="AG627" s="17">
        <v>934</v>
      </c>
      <c r="AH627" s="17">
        <v>187</v>
      </c>
      <c r="AI627" s="17">
        <v>25</v>
      </c>
      <c r="AJ627" s="17">
        <v>21</v>
      </c>
      <c r="AK627" s="17">
        <v>3</v>
      </c>
      <c r="AL627" s="22" t="s">
        <v>100</v>
      </c>
      <c r="AM627" s="27">
        <v>0</v>
      </c>
    </row>
    <row r="628" spans="1:39" x14ac:dyDescent="0.25">
      <c r="A628" s="10">
        <v>627</v>
      </c>
      <c r="B628" s="9" t="s">
        <v>713</v>
      </c>
      <c r="C628" s="9" t="s">
        <v>747</v>
      </c>
      <c r="D628" s="10">
        <v>4</v>
      </c>
      <c r="E628" s="11">
        <v>480</v>
      </c>
      <c r="F628" s="22" t="s">
        <v>100</v>
      </c>
      <c r="G628" s="22" t="s">
        <v>100</v>
      </c>
      <c r="H628" s="17">
        <v>16.600000000000001</v>
      </c>
      <c r="I628" s="17">
        <v>53</v>
      </c>
      <c r="J628" s="17">
        <v>4.9000000000000004</v>
      </c>
      <c r="K628" s="22" t="s">
        <v>100</v>
      </c>
      <c r="L628" s="17">
        <v>23.6</v>
      </c>
      <c r="M628" s="19">
        <v>8.5</v>
      </c>
      <c r="N628" s="19">
        <v>0</v>
      </c>
      <c r="O628" s="19">
        <v>0</v>
      </c>
      <c r="P628" s="19">
        <v>0</v>
      </c>
      <c r="Q628" s="17">
        <v>0</v>
      </c>
      <c r="R628" s="17">
        <v>936</v>
      </c>
      <c r="S628" s="17">
        <v>192</v>
      </c>
      <c r="T628" s="17">
        <v>10.8</v>
      </c>
      <c r="U628" s="17">
        <v>13.7</v>
      </c>
      <c r="V628" s="17">
        <v>97</v>
      </c>
      <c r="W628" s="17">
        <v>2.7</v>
      </c>
      <c r="X628" s="17">
        <v>1.3</v>
      </c>
      <c r="Y628" s="17">
        <v>18.8</v>
      </c>
      <c r="Z628" s="17">
        <v>1</v>
      </c>
      <c r="AA628" s="17">
        <v>9.8000000000000007</v>
      </c>
      <c r="AB628" s="17">
        <v>10.9</v>
      </c>
      <c r="AC628" s="17">
        <v>374</v>
      </c>
      <c r="AD628" s="17">
        <v>223</v>
      </c>
      <c r="AE628" s="17">
        <v>755</v>
      </c>
      <c r="AF628" s="17">
        <v>683</v>
      </c>
      <c r="AG628" s="17">
        <v>451</v>
      </c>
      <c r="AH628" s="17">
        <v>73</v>
      </c>
      <c r="AI628" s="17">
        <v>10</v>
      </c>
      <c r="AJ628" s="17">
        <v>10</v>
      </c>
      <c r="AK628" s="17">
        <v>1.3</v>
      </c>
      <c r="AL628" s="17">
        <v>29</v>
      </c>
      <c r="AM628" s="27">
        <v>0</v>
      </c>
    </row>
    <row r="629" spans="1:39" x14ac:dyDescent="0.25">
      <c r="A629" s="10">
        <v>628</v>
      </c>
      <c r="B629" s="9" t="s">
        <v>713</v>
      </c>
      <c r="C629" s="9" t="s">
        <v>748</v>
      </c>
      <c r="D629" s="10">
        <v>4</v>
      </c>
      <c r="E629" s="11">
        <v>410</v>
      </c>
      <c r="F629" s="22" t="s">
        <v>100</v>
      </c>
      <c r="G629" s="22" t="s">
        <v>100</v>
      </c>
      <c r="H629" s="17">
        <v>30</v>
      </c>
      <c r="I629" s="17">
        <v>35</v>
      </c>
      <c r="J629" s="17">
        <v>3.1</v>
      </c>
      <c r="K629" s="22" t="s">
        <v>100</v>
      </c>
      <c r="L629" s="17">
        <v>14</v>
      </c>
      <c r="M629" s="19">
        <v>5.5</v>
      </c>
      <c r="N629" s="19">
        <v>4.8</v>
      </c>
      <c r="O629" s="19">
        <v>3</v>
      </c>
      <c r="P629" s="19">
        <v>0</v>
      </c>
      <c r="Q629" s="17">
        <v>0</v>
      </c>
      <c r="R629" s="17">
        <v>936</v>
      </c>
      <c r="S629" s="17">
        <v>212</v>
      </c>
      <c r="T629" s="17">
        <v>11.9</v>
      </c>
      <c r="U629" s="17">
        <v>16.3</v>
      </c>
      <c r="V629" s="17">
        <v>100</v>
      </c>
      <c r="W629" s="17">
        <v>3.9</v>
      </c>
      <c r="X629" s="17">
        <v>2.6</v>
      </c>
      <c r="Y629" s="17">
        <v>35</v>
      </c>
      <c r="Z629" s="17">
        <v>1.7</v>
      </c>
      <c r="AA629" s="17">
        <v>15.8</v>
      </c>
      <c r="AB629" s="17">
        <v>12.3</v>
      </c>
      <c r="AC629" s="17">
        <v>554</v>
      </c>
      <c r="AD629" s="17">
        <v>1055</v>
      </c>
      <c r="AE629" s="17">
        <v>1716</v>
      </c>
      <c r="AF629" s="17">
        <v>1103</v>
      </c>
      <c r="AG629" s="17">
        <v>901</v>
      </c>
      <c r="AH629" s="17">
        <v>302</v>
      </c>
      <c r="AI629" s="17">
        <v>19</v>
      </c>
      <c r="AJ629" s="17">
        <v>19</v>
      </c>
      <c r="AK629" s="17">
        <v>2.6</v>
      </c>
      <c r="AL629" s="17">
        <v>47</v>
      </c>
      <c r="AM629" s="27">
        <v>0</v>
      </c>
    </row>
    <row r="630" spans="1:39" x14ac:dyDescent="0.25">
      <c r="A630" s="10">
        <v>629</v>
      </c>
      <c r="B630" s="9" t="s">
        <v>713</v>
      </c>
      <c r="C630" s="9" t="s">
        <v>749</v>
      </c>
      <c r="D630" s="10">
        <v>4</v>
      </c>
      <c r="E630" s="11">
        <v>280</v>
      </c>
      <c r="F630" s="22" t="s">
        <v>100</v>
      </c>
      <c r="G630" s="22" t="s">
        <v>100</v>
      </c>
      <c r="H630" s="17">
        <v>60</v>
      </c>
      <c r="I630" s="17">
        <v>10</v>
      </c>
      <c r="J630" s="17">
        <v>0.4</v>
      </c>
      <c r="K630" s="17">
        <v>0</v>
      </c>
      <c r="L630" s="17">
        <v>0</v>
      </c>
      <c r="M630" s="19">
        <v>0</v>
      </c>
      <c r="N630" s="22" t="s">
        <v>100</v>
      </c>
      <c r="O630" s="22" t="s">
        <v>100</v>
      </c>
      <c r="P630" s="22" t="s">
        <v>100</v>
      </c>
      <c r="Q630" s="22" t="s">
        <v>100</v>
      </c>
      <c r="R630" s="17">
        <v>1200</v>
      </c>
      <c r="S630" s="17">
        <v>180</v>
      </c>
      <c r="T630" s="17">
        <v>18</v>
      </c>
      <c r="U630" s="17">
        <v>21</v>
      </c>
      <c r="V630" s="17">
        <v>57</v>
      </c>
      <c r="W630" s="17">
        <v>1.8</v>
      </c>
      <c r="X630" s="17">
        <v>2.4</v>
      </c>
      <c r="Y630" s="17">
        <v>12.6</v>
      </c>
      <c r="Z630" s="17">
        <v>2.7</v>
      </c>
      <c r="AA630" s="17">
        <v>11.4</v>
      </c>
      <c r="AB630" s="17">
        <v>3.6</v>
      </c>
      <c r="AC630" s="17">
        <v>288</v>
      </c>
      <c r="AD630" s="17">
        <v>540</v>
      </c>
      <c r="AE630" s="17">
        <v>1200</v>
      </c>
      <c r="AF630" s="17">
        <v>2300</v>
      </c>
      <c r="AG630" s="17">
        <v>1380</v>
      </c>
      <c r="AH630" s="17">
        <v>300</v>
      </c>
      <c r="AI630" s="17">
        <v>30</v>
      </c>
      <c r="AJ630" s="17">
        <v>30</v>
      </c>
      <c r="AK630" s="17">
        <v>2.1</v>
      </c>
      <c r="AL630" s="17">
        <v>50</v>
      </c>
      <c r="AM630" s="27">
        <v>0</v>
      </c>
    </row>
    <row r="631" spans="1:39" x14ac:dyDescent="0.25">
      <c r="A631" s="10">
        <v>630</v>
      </c>
      <c r="B631" s="9" t="s">
        <v>713</v>
      </c>
      <c r="C631" s="9" t="s">
        <v>750</v>
      </c>
      <c r="D631" s="10">
        <v>4</v>
      </c>
      <c r="E631" s="11">
        <v>402</v>
      </c>
      <c r="F631" s="22" t="s">
        <v>100</v>
      </c>
      <c r="G631" s="22" t="s">
        <v>100</v>
      </c>
      <c r="H631" s="17">
        <v>27</v>
      </c>
      <c r="I631" s="17">
        <v>42</v>
      </c>
      <c r="J631" s="17">
        <v>4.7</v>
      </c>
      <c r="K631" s="17">
        <v>0</v>
      </c>
      <c r="L631" s="17">
        <v>14</v>
      </c>
      <c r="M631" s="19">
        <v>1.6</v>
      </c>
      <c r="N631" s="22" t="s">
        <v>100</v>
      </c>
      <c r="O631" s="22" t="s">
        <v>100</v>
      </c>
      <c r="P631" s="22" t="s">
        <v>100</v>
      </c>
      <c r="Q631" s="22" t="s">
        <v>100</v>
      </c>
      <c r="R631" s="17">
        <v>500</v>
      </c>
      <c r="S631" s="17">
        <v>62.5</v>
      </c>
      <c r="T631" s="17">
        <v>12</v>
      </c>
      <c r="U631" s="17">
        <v>9.6</v>
      </c>
      <c r="V631" s="17">
        <v>48</v>
      </c>
      <c r="W631" s="17">
        <v>0.8</v>
      </c>
      <c r="X631" s="17">
        <v>0.8</v>
      </c>
      <c r="Y631" s="17">
        <v>10.8</v>
      </c>
      <c r="Z631" s="22" t="s">
        <v>100</v>
      </c>
      <c r="AA631" s="17">
        <v>3.2</v>
      </c>
      <c r="AB631" s="17">
        <v>2</v>
      </c>
      <c r="AC631" s="17">
        <v>240</v>
      </c>
      <c r="AD631" s="17">
        <v>636</v>
      </c>
      <c r="AE631" s="17">
        <v>914</v>
      </c>
      <c r="AF631" s="17">
        <v>883</v>
      </c>
      <c r="AG631" s="17">
        <v>883</v>
      </c>
      <c r="AH631" s="17">
        <v>140</v>
      </c>
      <c r="AI631" s="17">
        <v>15.3</v>
      </c>
      <c r="AJ631" s="17">
        <v>12</v>
      </c>
      <c r="AK631" s="17">
        <v>1.2</v>
      </c>
      <c r="AL631" s="17">
        <v>45.6</v>
      </c>
      <c r="AM631" s="27">
        <v>0</v>
      </c>
    </row>
    <row r="632" spans="1:39" x14ac:dyDescent="0.25">
      <c r="A632" s="10">
        <v>631</v>
      </c>
      <c r="B632" s="9" t="s">
        <v>713</v>
      </c>
      <c r="C632" s="9" t="s">
        <v>751</v>
      </c>
      <c r="D632" s="10">
        <v>4</v>
      </c>
      <c r="E632" s="11">
        <v>457</v>
      </c>
      <c r="F632" s="22" t="s">
        <v>100</v>
      </c>
      <c r="G632" s="22" t="s">
        <v>100</v>
      </c>
      <c r="H632" s="17">
        <v>13.1</v>
      </c>
      <c r="I632" s="17">
        <v>49.5</v>
      </c>
      <c r="J632" s="17">
        <v>7.4</v>
      </c>
      <c r="K632" s="17">
        <v>5.3</v>
      </c>
      <c r="L632" s="17">
        <v>23</v>
      </c>
      <c r="M632" s="19">
        <v>7.5</v>
      </c>
      <c r="N632" s="19">
        <v>9.4</v>
      </c>
      <c r="O632" s="19">
        <v>5</v>
      </c>
      <c r="P632" s="22" t="s">
        <v>100</v>
      </c>
      <c r="Q632" s="22" t="s">
        <v>100</v>
      </c>
      <c r="R632" s="17">
        <v>392</v>
      </c>
      <c r="S632" s="17">
        <v>49</v>
      </c>
      <c r="T632" s="17">
        <v>8.6999999999999993</v>
      </c>
      <c r="U632" s="17">
        <v>4.5999999999999996</v>
      </c>
      <c r="V632" s="17">
        <v>37.200000000000003</v>
      </c>
      <c r="W632" s="17">
        <v>0.5</v>
      </c>
      <c r="X632" s="17">
        <v>0.5</v>
      </c>
      <c r="Y632" s="17">
        <v>2.2000000000000002</v>
      </c>
      <c r="Z632" s="17">
        <v>0.5</v>
      </c>
      <c r="AA632" s="17">
        <v>2.8</v>
      </c>
      <c r="AB632" s="17">
        <v>1.2</v>
      </c>
      <c r="AC632" s="17">
        <v>55</v>
      </c>
      <c r="AD632" s="17">
        <v>191</v>
      </c>
      <c r="AE632" s="17">
        <v>501</v>
      </c>
      <c r="AF632" s="17">
        <v>410</v>
      </c>
      <c r="AG632" s="17">
        <v>300</v>
      </c>
      <c r="AH632" s="17">
        <v>58</v>
      </c>
      <c r="AI632" s="17">
        <v>8.1</v>
      </c>
      <c r="AJ632" s="17">
        <v>5.7</v>
      </c>
      <c r="AK632" s="17">
        <v>0.4</v>
      </c>
      <c r="AL632" s="17">
        <v>15.5</v>
      </c>
      <c r="AM632" s="27">
        <v>0</v>
      </c>
    </row>
    <row r="633" spans="1:39" x14ac:dyDescent="0.25">
      <c r="A633" s="10">
        <v>632</v>
      </c>
      <c r="B633" s="9" t="s">
        <v>713</v>
      </c>
      <c r="C633" s="9" t="s">
        <v>752</v>
      </c>
      <c r="D633" s="10">
        <v>4</v>
      </c>
      <c r="E633" s="11">
        <v>424</v>
      </c>
      <c r="F633" s="22" t="s">
        <v>100</v>
      </c>
      <c r="G633" s="22" t="s">
        <v>100</v>
      </c>
      <c r="H633" s="17">
        <v>31.1</v>
      </c>
      <c r="I633" s="17">
        <v>40.6</v>
      </c>
      <c r="J633" s="22" t="s">
        <v>100</v>
      </c>
      <c r="K633" s="22" t="s">
        <v>100</v>
      </c>
      <c r="L633" s="17">
        <v>15</v>
      </c>
      <c r="M633" s="19">
        <v>6.3</v>
      </c>
      <c r="N633" s="19">
        <v>6.7</v>
      </c>
      <c r="O633" s="19">
        <v>2</v>
      </c>
      <c r="P633" s="22" t="s">
        <v>100</v>
      </c>
      <c r="Q633" s="22" t="s">
        <v>100</v>
      </c>
      <c r="R633" s="17">
        <v>623</v>
      </c>
      <c r="S633" s="17">
        <v>84</v>
      </c>
      <c r="T633" s="17">
        <v>9.3000000000000007</v>
      </c>
      <c r="U633" s="17">
        <v>11</v>
      </c>
      <c r="V633" s="17">
        <v>34</v>
      </c>
      <c r="W633" s="17">
        <v>1</v>
      </c>
      <c r="X633" s="17">
        <v>1.4</v>
      </c>
      <c r="Y633" s="17">
        <v>14</v>
      </c>
      <c r="Z633" s="17">
        <v>0.9</v>
      </c>
      <c r="AA633" s="17">
        <v>8.3000000000000007</v>
      </c>
      <c r="AB633" s="17">
        <v>1.9</v>
      </c>
      <c r="AC633" s="17">
        <v>155</v>
      </c>
      <c r="AD633" s="17">
        <v>278</v>
      </c>
      <c r="AE633" s="17">
        <v>628</v>
      </c>
      <c r="AF633" s="17">
        <v>1033</v>
      </c>
      <c r="AG633" s="17">
        <v>610</v>
      </c>
      <c r="AH633" s="17">
        <v>151</v>
      </c>
      <c r="AI633" s="17">
        <v>14</v>
      </c>
      <c r="AJ633" s="17">
        <v>9.3000000000000007</v>
      </c>
      <c r="AK633" s="17">
        <v>1.1000000000000001</v>
      </c>
      <c r="AL633" s="17">
        <v>37</v>
      </c>
      <c r="AM633" s="27">
        <v>0</v>
      </c>
    </row>
    <row r="634" spans="1:39" x14ac:dyDescent="0.25">
      <c r="A634" s="10">
        <v>633</v>
      </c>
      <c r="B634" s="9" t="s">
        <v>713</v>
      </c>
      <c r="C634" s="9" t="s">
        <v>753</v>
      </c>
      <c r="D634" s="10">
        <v>4</v>
      </c>
      <c r="E634" s="11">
        <v>302</v>
      </c>
      <c r="F634" s="22" t="s">
        <v>100</v>
      </c>
      <c r="G634" s="22" t="s">
        <v>100</v>
      </c>
      <c r="H634" s="17">
        <v>75</v>
      </c>
      <c r="I634" s="17">
        <v>0.4</v>
      </c>
      <c r="J634" s="22" t="s">
        <v>100</v>
      </c>
      <c r="K634" s="17">
        <v>0</v>
      </c>
      <c r="L634" s="17">
        <v>0</v>
      </c>
      <c r="M634" s="19">
        <v>0</v>
      </c>
      <c r="N634" s="19">
        <v>0</v>
      </c>
      <c r="O634" s="19">
        <v>0</v>
      </c>
      <c r="P634" s="19">
        <v>0</v>
      </c>
      <c r="Q634" s="17">
        <v>0</v>
      </c>
      <c r="R634" s="17">
        <v>1500</v>
      </c>
      <c r="S634" s="17">
        <v>150</v>
      </c>
      <c r="T634" s="17">
        <v>7.5</v>
      </c>
      <c r="U634" s="17">
        <v>23</v>
      </c>
      <c r="V634" s="17">
        <v>113</v>
      </c>
      <c r="W634" s="17">
        <v>2.2999999999999998</v>
      </c>
      <c r="X634" s="17">
        <v>2.2999999999999998</v>
      </c>
      <c r="Y634" s="17">
        <v>26</v>
      </c>
      <c r="Z634" s="17">
        <v>2.6</v>
      </c>
      <c r="AA634" s="17">
        <v>9.4</v>
      </c>
      <c r="AB634" s="17">
        <v>4.5</v>
      </c>
      <c r="AC634" s="17">
        <v>773</v>
      </c>
      <c r="AD634" s="17">
        <v>20</v>
      </c>
      <c r="AE634" s="17">
        <v>1347</v>
      </c>
      <c r="AF634" s="17">
        <v>1502</v>
      </c>
      <c r="AG634" s="17">
        <v>1038</v>
      </c>
      <c r="AH634" s="17">
        <v>375</v>
      </c>
      <c r="AI634" s="17">
        <v>23</v>
      </c>
      <c r="AJ634" s="17">
        <v>19</v>
      </c>
      <c r="AK634" s="17">
        <v>1.4</v>
      </c>
      <c r="AL634" s="17">
        <v>60</v>
      </c>
      <c r="AM634" s="27">
        <v>0</v>
      </c>
    </row>
    <row r="635" spans="1:39" x14ac:dyDescent="0.25">
      <c r="A635" s="10">
        <v>634</v>
      </c>
      <c r="B635" s="9" t="s">
        <v>713</v>
      </c>
      <c r="C635" s="9" t="s">
        <v>754</v>
      </c>
      <c r="D635" s="10">
        <v>4</v>
      </c>
      <c r="E635" s="11">
        <v>470</v>
      </c>
      <c r="F635" s="17">
        <v>3</v>
      </c>
      <c r="G635" s="22" t="s">
        <v>100</v>
      </c>
      <c r="H635" s="17">
        <v>16.5</v>
      </c>
      <c r="I635" s="17">
        <v>54</v>
      </c>
      <c r="J635" s="22" t="s">
        <v>100</v>
      </c>
      <c r="K635" s="17">
        <v>0</v>
      </c>
      <c r="L635" s="17">
        <v>22</v>
      </c>
      <c r="M635" s="22" t="s">
        <v>100</v>
      </c>
      <c r="N635" s="22" t="s">
        <v>100</v>
      </c>
      <c r="O635" s="22" t="s">
        <v>100</v>
      </c>
      <c r="P635" s="22" t="s">
        <v>100</v>
      </c>
      <c r="Q635" s="17">
        <v>4</v>
      </c>
      <c r="R635" s="17">
        <v>1111</v>
      </c>
      <c r="S635" s="17">
        <v>38</v>
      </c>
      <c r="T635" s="17">
        <v>9.3000000000000007</v>
      </c>
      <c r="U635" s="17">
        <v>9.8000000000000007</v>
      </c>
      <c r="V635" s="17">
        <v>74</v>
      </c>
      <c r="W635" s="17">
        <v>0.7</v>
      </c>
      <c r="X635" s="17">
        <v>0.9</v>
      </c>
      <c r="Y635" s="17">
        <v>9.8000000000000007</v>
      </c>
      <c r="Z635" s="17">
        <v>1</v>
      </c>
      <c r="AA635" s="17">
        <v>4.9000000000000004</v>
      </c>
      <c r="AB635" s="17">
        <v>2.9</v>
      </c>
      <c r="AC635" s="17">
        <v>74</v>
      </c>
      <c r="AD635" s="17">
        <v>260</v>
      </c>
      <c r="AE635" s="17">
        <v>590</v>
      </c>
      <c r="AF635" s="17">
        <v>440</v>
      </c>
      <c r="AG635" s="17">
        <v>330</v>
      </c>
      <c r="AH635" s="17">
        <v>98</v>
      </c>
      <c r="AI635" s="17">
        <v>8.8000000000000007</v>
      </c>
      <c r="AJ635" s="17">
        <v>4.4000000000000004</v>
      </c>
      <c r="AK635" s="17">
        <v>0.7</v>
      </c>
      <c r="AL635" s="22" t="s">
        <v>100</v>
      </c>
      <c r="AM635" s="27">
        <v>0</v>
      </c>
    </row>
    <row r="636" spans="1:39" x14ac:dyDescent="0.25">
      <c r="A636" s="10">
        <v>635</v>
      </c>
      <c r="B636" s="9" t="s">
        <v>713</v>
      </c>
      <c r="C636" s="9" t="s">
        <v>755</v>
      </c>
      <c r="D636" s="10">
        <v>4</v>
      </c>
      <c r="E636" s="11">
        <v>495</v>
      </c>
      <c r="F636" s="22" t="s">
        <v>100</v>
      </c>
      <c r="G636" s="22" t="s">
        <v>100</v>
      </c>
      <c r="H636" s="17">
        <v>17.3</v>
      </c>
      <c r="I636" s="17">
        <v>54</v>
      </c>
      <c r="J636" s="17">
        <v>4.8</v>
      </c>
      <c r="K636" s="22" t="s">
        <v>100</v>
      </c>
      <c r="L636" s="17">
        <v>23.5</v>
      </c>
      <c r="M636" s="19">
        <v>9.1999999999999993</v>
      </c>
      <c r="N636" s="19">
        <v>0</v>
      </c>
      <c r="O636" s="19">
        <v>0</v>
      </c>
      <c r="P636" s="19">
        <v>0</v>
      </c>
      <c r="Q636" s="17">
        <v>0</v>
      </c>
      <c r="R636" s="17">
        <v>902</v>
      </c>
      <c r="S636" s="17">
        <v>181</v>
      </c>
      <c r="T636" s="17">
        <v>10.9</v>
      </c>
      <c r="U636" s="17">
        <v>13.8</v>
      </c>
      <c r="V636" s="17">
        <v>94</v>
      </c>
      <c r="W636" s="17">
        <v>2.7</v>
      </c>
      <c r="X636" s="17">
        <v>1.2</v>
      </c>
      <c r="Y636" s="17">
        <v>18.600000000000001</v>
      </c>
      <c r="Z636" s="17">
        <v>0.9</v>
      </c>
      <c r="AA636" s="17">
        <v>8.8000000000000007</v>
      </c>
      <c r="AB636" s="17">
        <v>7.4</v>
      </c>
      <c r="AC636" s="17">
        <v>361</v>
      </c>
      <c r="AD636" s="17">
        <v>223</v>
      </c>
      <c r="AE636" s="17">
        <v>747</v>
      </c>
      <c r="AF636" s="17">
        <v>678</v>
      </c>
      <c r="AG636" s="17">
        <v>470</v>
      </c>
      <c r="AH636" s="17">
        <v>66</v>
      </c>
      <c r="AI636" s="17">
        <v>10</v>
      </c>
      <c r="AJ636" s="17">
        <v>10</v>
      </c>
      <c r="AK636" s="17">
        <v>1.4</v>
      </c>
      <c r="AL636" s="17">
        <v>26</v>
      </c>
      <c r="AM636" s="27">
        <v>0</v>
      </c>
    </row>
    <row r="637" spans="1:39" x14ac:dyDescent="0.25">
      <c r="A637" s="10">
        <v>636</v>
      </c>
      <c r="B637" s="9" t="s">
        <v>713</v>
      </c>
      <c r="C637" s="9" t="s">
        <v>756</v>
      </c>
      <c r="D637" s="10">
        <v>4</v>
      </c>
      <c r="E637" s="11">
        <v>434</v>
      </c>
      <c r="F637" s="22" t="s">
        <v>100</v>
      </c>
      <c r="G637" s="22" t="s">
        <v>100</v>
      </c>
      <c r="H637" s="17">
        <v>33.5</v>
      </c>
      <c r="I637" s="17">
        <v>42.9</v>
      </c>
      <c r="J637" s="17">
        <v>3</v>
      </c>
      <c r="K637" s="22" t="s">
        <v>100</v>
      </c>
      <c r="L637" s="17">
        <v>14.3</v>
      </c>
      <c r="M637" s="19">
        <v>5.8</v>
      </c>
      <c r="N637" s="19">
        <v>0</v>
      </c>
      <c r="O637" s="19">
        <v>0</v>
      </c>
      <c r="P637" s="19">
        <v>0</v>
      </c>
      <c r="Q637" s="17">
        <v>0</v>
      </c>
      <c r="R637" s="17">
        <v>1253</v>
      </c>
      <c r="S637" s="17">
        <v>229</v>
      </c>
      <c r="T637" s="17">
        <v>13.1</v>
      </c>
      <c r="U637" s="17">
        <v>16.100000000000001</v>
      </c>
      <c r="V637" s="17">
        <v>101</v>
      </c>
      <c r="W637" s="17">
        <v>4.7</v>
      </c>
      <c r="X637" s="17">
        <v>2.2999999999999998</v>
      </c>
      <c r="Y637" s="17">
        <v>34.5</v>
      </c>
      <c r="Z637" s="17">
        <v>1.8</v>
      </c>
      <c r="AA637" s="17">
        <v>15.7</v>
      </c>
      <c r="AB637" s="17">
        <v>11.7</v>
      </c>
      <c r="AC637" s="17">
        <v>558</v>
      </c>
      <c r="AD637" s="17">
        <v>1003</v>
      </c>
      <c r="AE637" s="17">
        <v>1542</v>
      </c>
      <c r="AF637" s="17">
        <v>1004</v>
      </c>
      <c r="AG637" s="17">
        <v>857</v>
      </c>
      <c r="AH637" s="17">
        <v>268</v>
      </c>
      <c r="AI637" s="17">
        <v>17</v>
      </c>
      <c r="AJ637" s="17">
        <v>18</v>
      </c>
      <c r="AK637" s="17">
        <v>2.4</v>
      </c>
      <c r="AL637" s="17">
        <v>47</v>
      </c>
      <c r="AM637" s="27">
        <v>0</v>
      </c>
    </row>
    <row r="638" spans="1:39" x14ac:dyDescent="0.25">
      <c r="A638" s="10">
        <v>637</v>
      </c>
      <c r="B638" s="9" t="s">
        <v>713</v>
      </c>
      <c r="C638" s="9" t="s">
        <v>757</v>
      </c>
      <c r="D638" s="10">
        <v>4</v>
      </c>
      <c r="E638" s="11">
        <v>297</v>
      </c>
      <c r="F638" s="22" t="s">
        <v>100</v>
      </c>
      <c r="G638" s="22" t="s">
        <v>100</v>
      </c>
      <c r="H638" s="17">
        <v>70</v>
      </c>
      <c r="I638" s="17">
        <v>4.2</v>
      </c>
      <c r="J638" s="22" t="s">
        <v>100</v>
      </c>
      <c r="K638" s="22" t="s">
        <v>100</v>
      </c>
      <c r="L638" s="17">
        <v>0</v>
      </c>
      <c r="M638" s="22" t="s">
        <v>100</v>
      </c>
      <c r="N638" s="22" t="s">
        <v>100</v>
      </c>
      <c r="O638" s="22" t="s">
        <v>100</v>
      </c>
      <c r="P638" s="22" t="s">
        <v>100</v>
      </c>
      <c r="Q638" s="22" t="s">
        <v>100</v>
      </c>
      <c r="R638" s="17">
        <v>575</v>
      </c>
      <c r="S638" s="17">
        <v>65</v>
      </c>
      <c r="T638" s="17">
        <v>6</v>
      </c>
      <c r="U638" s="17">
        <v>9.5</v>
      </c>
      <c r="V638" s="17">
        <v>62</v>
      </c>
      <c r="W638" s="17">
        <v>1.2</v>
      </c>
      <c r="X638" s="17">
        <v>1.3</v>
      </c>
      <c r="Y638" s="17">
        <v>15.1</v>
      </c>
      <c r="Z638" s="17">
        <v>1.3</v>
      </c>
      <c r="AA638" s="17">
        <v>5.3</v>
      </c>
      <c r="AB638" s="17">
        <v>3</v>
      </c>
      <c r="AC638" s="17">
        <v>215</v>
      </c>
      <c r="AD638" s="17">
        <v>3</v>
      </c>
      <c r="AE638" s="17">
        <v>1275</v>
      </c>
      <c r="AF638" s="17">
        <v>1375</v>
      </c>
      <c r="AG638" s="17">
        <v>685</v>
      </c>
      <c r="AH638" s="17">
        <v>355</v>
      </c>
      <c r="AI638" s="17">
        <v>13.4</v>
      </c>
      <c r="AJ638" s="17">
        <v>15.5</v>
      </c>
      <c r="AK638" s="17">
        <v>0.5</v>
      </c>
      <c r="AL638" s="17">
        <v>45</v>
      </c>
      <c r="AM638" s="27">
        <v>0</v>
      </c>
    </row>
    <row r="639" spans="1:39" x14ac:dyDescent="0.25">
      <c r="A639" s="10">
        <v>638</v>
      </c>
      <c r="B639" s="9" t="s">
        <v>713</v>
      </c>
      <c r="C639" s="9" t="s">
        <v>758</v>
      </c>
      <c r="D639" s="10">
        <v>4</v>
      </c>
      <c r="E639" s="11">
        <v>498</v>
      </c>
      <c r="F639" s="22" t="s">
        <v>100</v>
      </c>
      <c r="G639" s="22" t="s">
        <v>100</v>
      </c>
      <c r="H639" s="17">
        <v>16.3</v>
      </c>
      <c r="I639" s="17">
        <v>54</v>
      </c>
      <c r="J639" s="17">
        <v>5</v>
      </c>
      <c r="K639" s="22" t="s">
        <v>100</v>
      </c>
      <c r="L639" s="17">
        <v>24.3</v>
      </c>
      <c r="M639" s="19">
        <v>10.199999999999999</v>
      </c>
      <c r="N639" s="19">
        <v>0</v>
      </c>
      <c r="O639" s="19">
        <v>0</v>
      </c>
      <c r="P639" s="19">
        <v>0</v>
      </c>
      <c r="Q639" s="17">
        <v>0</v>
      </c>
      <c r="R639" s="17">
        <v>954</v>
      </c>
      <c r="S639" s="17">
        <v>187</v>
      </c>
      <c r="T639" s="17">
        <v>11.4</v>
      </c>
      <c r="U639" s="17">
        <v>14.5</v>
      </c>
      <c r="V639" s="17">
        <v>85</v>
      </c>
      <c r="W639" s="17">
        <v>2.8</v>
      </c>
      <c r="X639" s="17">
        <v>1.3</v>
      </c>
      <c r="Y639" s="17">
        <v>18.899999999999999</v>
      </c>
      <c r="Z639" s="17">
        <v>1</v>
      </c>
      <c r="AA639" s="17">
        <v>9.9</v>
      </c>
      <c r="AB639" s="17">
        <v>7.6</v>
      </c>
      <c r="AC639" s="17">
        <v>381</v>
      </c>
      <c r="AD639" s="17">
        <v>229</v>
      </c>
      <c r="AE639" s="17">
        <v>772</v>
      </c>
      <c r="AF639" s="17">
        <v>704</v>
      </c>
      <c r="AG639" s="17">
        <v>487</v>
      </c>
      <c r="AH639" s="17">
        <v>68</v>
      </c>
      <c r="AI639" s="17">
        <v>10</v>
      </c>
      <c r="AJ639" s="17">
        <v>11</v>
      </c>
      <c r="AK639" s="17">
        <v>1.4</v>
      </c>
      <c r="AL639" s="17">
        <v>28</v>
      </c>
      <c r="AM639" s="27">
        <v>0</v>
      </c>
    </row>
    <row r="640" spans="1:39" x14ac:dyDescent="0.25">
      <c r="A640" s="10">
        <v>639</v>
      </c>
      <c r="B640" s="9" t="s">
        <v>713</v>
      </c>
      <c r="C640" s="9" t="s">
        <v>759</v>
      </c>
      <c r="D640" s="10">
        <v>4</v>
      </c>
      <c r="E640" s="11">
        <v>440</v>
      </c>
      <c r="F640" s="22" t="s">
        <v>100</v>
      </c>
      <c r="G640" s="22" t="s">
        <v>100</v>
      </c>
      <c r="H640" s="17">
        <v>33.1</v>
      </c>
      <c r="I640" s="17">
        <v>41.5</v>
      </c>
      <c r="J640" s="17">
        <v>3.3</v>
      </c>
      <c r="K640" s="22" t="s">
        <v>100</v>
      </c>
      <c r="L640" s="17">
        <v>15.8</v>
      </c>
      <c r="M640" s="19">
        <v>5.7</v>
      </c>
      <c r="N640" s="19">
        <v>0</v>
      </c>
      <c r="O640" s="19">
        <v>0</v>
      </c>
      <c r="P640" s="19">
        <v>0</v>
      </c>
      <c r="Q640" s="17">
        <v>0</v>
      </c>
      <c r="R640" s="17">
        <v>1380</v>
      </c>
      <c r="S640" s="17">
        <v>240</v>
      </c>
      <c r="T640" s="17">
        <v>14.4</v>
      </c>
      <c r="U640" s="17">
        <v>17.399999999999999</v>
      </c>
      <c r="V640" s="17">
        <v>101</v>
      </c>
      <c r="W640" s="17">
        <v>5.0999999999999996</v>
      </c>
      <c r="X640" s="17">
        <v>2.4</v>
      </c>
      <c r="Y640" s="17">
        <v>34.5</v>
      </c>
      <c r="Z640" s="17">
        <v>1.9</v>
      </c>
      <c r="AA640" s="17">
        <v>15.7</v>
      </c>
      <c r="AB640" s="17">
        <v>11.7</v>
      </c>
      <c r="AC640" s="17">
        <v>558</v>
      </c>
      <c r="AD640" s="17">
        <v>1093</v>
      </c>
      <c r="AE640" s="17">
        <v>1675</v>
      </c>
      <c r="AF640" s="17">
        <v>1117</v>
      </c>
      <c r="AG640" s="17">
        <v>960</v>
      </c>
      <c r="AH640" s="17">
        <v>299</v>
      </c>
      <c r="AI640" s="17">
        <v>19</v>
      </c>
      <c r="AJ640" s="17">
        <v>21</v>
      </c>
      <c r="AK640" s="17">
        <v>3</v>
      </c>
      <c r="AL640" s="17">
        <v>47</v>
      </c>
      <c r="AM640" s="27">
        <v>0</v>
      </c>
    </row>
    <row r="641" spans="1:39" x14ac:dyDescent="0.25">
      <c r="A641" s="10">
        <v>640</v>
      </c>
      <c r="B641" s="9" t="s">
        <v>713</v>
      </c>
      <c r="C641" s="9" t="s">
        <v>760</v>
      </c>
      <c r="D641" s="10">
        <v>4</v>
      </c>
      <c r="E641" s="11">
        <v>309</v>
      </c>
      <c r="F641" s="22" t="s">
        <v>100</v>
      </c>
      <c r="G641" s="22" t="s">
        <v>100</v>
      </c>
      <c r="H641" s="17">
        <v>25</v>
      </c>
      <c r="I641" s="17">
        <v>51</v>
      </c>
      <c r="J641" s="17">
        <v>4.5999999999999996</v>
      </c>
      <c r="K641" s="17">
        <v>0</v>
      </c>
      <c r="L641" s="17">
        <v>0.5</v>
      </c>
      <c r="M641" s="19">
        <v>0</v>
      </c>
      <c r="N641" s="22" t="s">
        <v>100</v>
      </c>
      <c r="O641" s="22" t="s">
        <v>100</v>
      </c>
      <c r="P641" s="22" t="s">
        <v>100</v>
      </c>
      <c r="Q641" s="22" t="s">
        <v>100</v>
      </c>
      <c r="R641" s="17">
        <v>525</v>
      </c>
      <c r="S641" s="17">
        <v>135</v>
      </c>
      <c r="T641" s="17">
        <v>12</v>
      </c>
      <c r="U641" s="17">
        <v>4.4000000000000004</v>
      </c>
      <c r="V641" s="17">
        <v>30</v>
      </c>
      <c r="W641" s="17">
        <v>1.1000000000000001</v>
      </c>
      <c r="X641" s="17">
        <v>1.2</v>
      </c>
      <c r="Y641" s="17">
        <v>20.8</v>
      </c>
      <c r="Z641" s="17">
        <v>1.4</v>
      </c>
      <c r="AA641" s="17">
        <v>3.7</v>
      </c>
      <c r="AB641" s="17">
        <v>3.9</v>
      </c>
      <c r="AC641" s="17">
        <v>240</v>
      </c>
      <c r="AD641" s="17">
        <v>580</v>
      </c>
      <c r="AE641" s="17">
        <v>840</v>
      </c>
      <c r="AF641" s="17">
        <v>810</v>
      </c>
      <c r="AG641" s="17">
        <v>810</v>
      </c>
      <c r="AH641" s="17">
        <v>200</v>
      </c>
      <c r="AI641" s="17">
        <v>12</v>
      </c>
      <c r="AJ641" s="17">
        <v>13</v>
      </c>
      <c r="AK641" s="17">
        <v>1.8</v>
      </c>
      <c r="AL641" s="17">
        <v>40</v>
      </c>
      <c r="AM641" s="27">
        <v>0</v>
      </c>
    </row>
    <row r="642" spans="1:39" x14ac:dyDescent="0.25">
      <c r="A642" s="10">
        <v>641</v>
      </c>
      <c r="B642" s="9" t="s">
        <v>713</v>
      </c>
      <c r="C642" s="9" t="s">
        <v>761</v>
      </c>
      <c r="D642" s="10">
        <v>4</v>
      </c>
      <c r="E642" s="11">
        <v>297</v>
      </c>
      <c r="F642" s="22" t="s">
        <v>100</v>
      </c>
      <c r="G642" s="22" t="s">
        <v>100</v>
      </c>
      <c r="H642" s="17">
        <v>39</v>
      </c>
      <c r="I642" s="17">
        <v>34</v>
      </c>
      <c r="J642" s="17">
        <v>3.1</v>
      </c>
      <c r="K642" s="17">
        <v>0</v>
      </c>
      <c r="L642" s="17">
        <v>0.5</v>
      </c>
      <c r="M642" s="19">
        <v>0</v>
      </c>
      <c r="N642" s="22" t="s">
        <v>100</v>
      </c>
      <c r="O642" s="22" t="s">
        <v>100</v>
      </c>
      <c r="P642" s="22" t="s">
        <v>100</v>
      </c>
      <c r="Q642" s="22" t="s">
        <v>100</v>
      </c>
      <c r="R642" s="17">
        <v>710</v>
      </c>
      <c r="S642" s="17">
        <v>90</v>
      </c>
      <c r="T642" s="17">
        <v>7.8</v>
      </c>
      <c r="U642" s="17">
        <v>5.2</v>
      </c>
      <c r="V642" s="17">
        <v>70</v>
      </c>
      <c r="W642" s="17">
        <v>1.4</v>
      </c>
      <c r="X642" s="17">
        <v>1.4</v>
      </c>
      <c r="Y642" s="17">
        <v>27.4</v>
      </c>
      <c r="Z642" s="17">
        <v>2.1</v>
      </c>
      <c r="AA642" s="17">
        <v>5</v>
      </c>
      <c r="AB642" s="17">
        <v>3.6</v>
      </c>
      <c r="AC642" s="17">
        <v>500</v>
      </c>
      <c r="AD642" s="17">
        <v>560</v>
      </c>
      <c r="AE642" s="17">
        <v>700</v>
      </c>
      <c r="AF642" s="17">
        <v>670</v>
      </c>
      <c r="AG642" s="17">
        <v>670</v>
      </c>
      <c r="AH642" s="17">
        <v>285</v>
      </c>
      <c r="AI642" s="17">
        <v>23.5</v>
      </c>
      <c r="AJ642" s="17">
        <v>13.6</v>
      </c>
      <c r="AK642" s="17">
        <v>1.4</v>
      </c>
      <c r="AL642" s="17">
        <v>50</v>
      </c>
      <c r="AM642" s="27">
        <v>0</v>
      </c>
    </row>
    <row r="643" spans="1:39" x14ac:dyDescent="0.25">
      <c r="A643" s="10">
        <v>642</v>
      </c>
      <c r="B643" s="9" t="s">
        <v>713</v>
      </c>
      <c r="C643" s="9" t="s">
        <v>762</v>
      </c>
      <c r="D643" s="10">
        <v>4</v>
      </c>
      <c r="E643" s="11">
        <v>309</v>
      </c>
      <c r="F643" s="22" t="s">
        <v>100</v>
      </c>
      <c r="G643" s="22" t="s">
        <v>100</v>
      </c>
      <c r="H643" s="17">
        <v>25</v>
      </c>
      <c r="I643" s="17">
        <v>51</v>
      </c>
      <c r="J643" s="17">
        <v>4.5999999999999996</v>
      </c>
      <c r="K643" s="17">
        <v>0</v>
      </c>
      <c r="L643" s="17">
        <v>0.5</v>
      </c>
      <c r="M643" s="22" t="s">
        <v>100</v>
      </c>
      <c r="N643" s="22" t="s">
        <v>100</v>
      </c>
      <c r="O643" s="22" t="s">
        <v>100</v>
      </c>
      <c r="P643" s="22" t="s">
        <v>100</v>
      </c>
      <c r="Q643" s="22" t="s">
        <v>100</v>
      </c>
      <c r="R643" s="17">
        <v>525</v>
      </c>
      <c r="S643" s="17">
        <v>135</v>
      </c>
      <c r="T643" s="17">
        <v>12</v>
      </c>
      <c r="U643" s="17">
        <v>4.4000000000000004</v>
      </c>
      <c r="V643" s="17">
        <v>30</v>
      </c>
      <c r="W643" s="17">
        <v>1.1000000000000001</v>
      </c>
      <c r="X643" s="17">
        <v>1.2</v>
      </c>
      <c r="Y643" s="17">
        <v>12</v>
      </c>
      <c r="Z643" s="17">
        <v>1.4</v>
      </c>
      <c r="AA643" s="17">
        <v>3.7</v>
      </c>
      <c r="AB643" s="17">
        <v>3.9</v>
      </c>
      <c r="AC643" s="17">
        <v>240</v>
      </c>
      <c r="AD643" s="17">
        <v>580</v>
      </c>
      <c r="AE643" s="17">
        <v>840</v>
      </c>
      <c r="AF643" s="17">
        <v>810</v>
      </c>
      <c r="AG643" s="17">
        <v>810</v>
      </c>
      <c r="AH643" s="17">
        <v>200</v>
      </c>
      <c r="AI643" s="17">
        <v>12</v>
      </c>
      <c r="AJ643" s="17">
        <v>13</v>
      </c>
      <c r="AK643" s="17">
        <v>1.8</v>
      </c>
      <c r="AL643" s="17">
        <v>40</v>
      </c>
      <c r="AM643" s="27">
        <v>0</v>
      </c>
    </row>
    <row r="644" spans="1:39" x14ac:dyDescent="0.25">
      <c r="A644" s="10">
        <v>643</v>
      </c>
      <c r="B644" s="9" t="s">
        <v>713</v>
      </c>
      <c r="C644" s="9" t="s">
        <v>763</v>
      </c>
      <c r="D644" s="10">
        <v>4</v>
      </c>
      <c r="E644" s="11">
        <v>297</v>
      </c>
      <c r="F644" s="22" t="s">
        <v>100</v>
      </c>
      <c r="G644" s="22" t="s">
        <v>100</v>
      </c>
      <c r="H644" s="17">
        <v>39</v>
      </c>
      <c r="I644" s="17">
        <v>34</v>
      </c>
      <c r="J644" s="17">
        <v>3.1</v>
      </c>
      <c r="K644" s="17">
        <v>0</v>
      </c>
      <c r="L644" s="17">
        <v>0.5</v>
      </c>
      <c r="M644" s="19">
        <v>0</v>
      </c>
      <c r="N644" s="22" t="s">
        <v>100</v>
      </c>
      <c r="O644" s="22" t="s">
        <v>100</v>
      </c>
      <c r="P644" s="22" t="s">
        <v>100</v>
      </c>
      <c r="Q644" s="22" t="s">
        <v>100</v>
      </c>
      <c r="R644" s="17">
        <v>710</v>
      </c>
      <c r="S644" s="17">
        <v>90</v>
      </c>
      <c r="T644" s="17">
        <v>7.8</v>
      </c>
      <c r="U644" s="17">
        <v>5.2</v>
      </c>
      <c r="V644" s="17">
        <v>70</v>
      </c>
      <c r="W644" s="17">
        <v>1.4</v>
      </c>
      <c r="X644" s="17">
        <v>1.4</v>
      </c>
      <c r="Y644" s="17">
        <v>13.6</v>
      </c>
      <c r="Z644" s="17">
        <v>2.1</v>
      </c>
      <c r="AA644" s="17">
        <v>5</v>
      </c>
      <c r="AB644" s="17">
        <v>3.6</v>
      </c>
      <c r="AC644" s="17">
        <v>500</v>
      </c>
      <c r="AD644" s="17">
        <v>560</v>
      </c>
      <c r="AE644" s="17">
        <v>700</v>
      </c>
      <c r="AF644" s="17">
        <v>670</v>
      </c>
      <c r="AG644" s="17">
        <v>670</v>
      </c>
      <c r="AH644" s="17">
        <v>285</v>
      </c>
      <c r="AI644" s="17">
        <v>23.5</v>
      </c>
      <c r="AJ644" s="17">
        <v>13.6</v>
      </c>
      <c r="AK644" s="17">
        <v>1.4</v>
      </c>
      <c r="AL644" s="17">
        <v>50</v>
      </c>
      <c r="AM644" s="27">
        <v>0</v>
      </c>
    </row>
    <row r="645" spans="1:39" x14ac:dyDescent="0.25">
      <c r="A645" s="10">
        <v>644</v>
      </c>
      <c r="B645" s="9" t="s">
        <v>713</v>
      </c>
      <c r="C645" s="9" t="s">
        <v>764</v>
      </c>
      <c r="D645" s="10">
        <v>4</v>
      </c>
      <c r="E645" s="11">
        <v>297</v>
      </c>
      <c r="F645" s="22" t="s">
        <v>100</v>
      </c>
      <c r="G645" s="22" t="s">
        <v>100</v>
      </c>
      <c r="H645" s="17">
        <v>39</v>
      </c>
      <c r="I645" s="17">
        <v>34</v>
      </c>
      <c r="J645" s="17">
        <v>3.1</v>
      </c>
      <c r="K645" s="17">
        <v>0</v>
      </c>
      <c r="L645" s="17">
        <v>0.5</v>
      </c>
      <c r="M645" s="22" t="s">
        <v>100</v>
      </c>
      <c r="N645" s="22" t="s">
        <v>100</v>
      </c>
      <c r="O645" s="22" t="s">
        <v>100</v>
      </c>
      <c r="P645" s="22" t="s">
        <v>100</v>
      </c>
      <c r="Q645" s="22" t="s">
        <v>100</v>
      </c>
      <c r="R645" s="17">
        <v>710</v>
      </c>
      <c r="S645" s="17">
        <v>90</v>
      </c>
      <c r="T645" s="17">
        <v>7.8</v>
      </c>
      <c r="U645" s="17">
        <v>5.2</v>
      </c>
      <c r="V645" s="17">
        <v>70</v>
      </c>
      <c r="W645" s="17">
        <v>1.4</v>
      </c>
      <c r="X645" s="17">
        <v>1.4</v>
      </c>
      <c r="Y645" s="17">
        <v>13.6</v>
      </c>
      <c r="Z645" s="17">
        <v>2.1</v>
      </c>
      <c r="AA645" s="17">
        <v>5</v>
      </c>
      <c r="AB645" s="17">
        <v>3.6</v>
      </c>
      <c r="AC645" s="17">
        <v>500</v>
      </c>
      <c r="AD645" s="17">
        <v>560</v>
      </c>
      <c r="AE645" s="17">
        <v>700</v>
      </c>
      <c r="AF645" s="17">
        <v>670</v>
      </c>
      <c r="AG645" s="17">
        <v>670</v>
      </c>
      <c r="AH645" s="17">
        <v>285</v>
      </c>
      <c r="AI645" s="17">
        <v>23.5</v>
      </c>
      <c r="AJ645" s="17">
        <v>13.6</v>
      </c>
      <c r="AK645" s="17">
        <v>1.4</v>
      </c>
      <c r="AL645" s="17">
        <v>50</v>
      </c>
      <c r="AM645" s="27">
        <v>0</v>
      </c>
    </row>
    <row r="646" spans="1:39" x14ac:dyDescent="0.25">
      <c r="A646" s="10">
        <v>645</v>
      </c>
      <c r="B646" s="9" t="s">
        <v>713</v>
      </c>
      <c r="C646" s="9" t="s">
        <v>765</v>
      </c>
      <c r="D646" s="10">
        <v>4</v>
      </c>
      <c r="E646" s="11">
        <v>309</v>
      </c>
      <c r="F646" s="22" t="s">
        <v>100</v>
      </c>
      <c r="G646" s="22" t="s">
        <v>100</v>
      </c>
      <c r="H646" s="17">
        <v>25</v>
      </c>
      <c r="I646" s="17">
        <v>51</v>
      </c>
      <c r="J646" s="17">
        <v>4.5999999999999996</v>
      </c>
      <c r="K646" s="22" t="s">
        <v>100</v>
      </c>
      <c r="L646" s="17">
        <v>0</v>
      </c>
      <c r="M646" s="22" t="s">
        <v>100</v>
      </c>
      <c r="N646" s="22" t="s">
        <v>100</v>
      </c>
      <c r="O646" s="22" t="s">
        <v>100</v>
      </c>
      <c r="P646" s="22" t="s">
        <v>100</v>
      </c>
      <c r="Q646" s="22" t="s">
        <v>100</v>
      </c>
      <c r="R646" s="17">
        <v>525</v>
      </c>
      <c r="S646" s="17">
        <v>135</v>
      </c>
      <c r="T646" s="17">
        <v>12</v>
      </c>
      <c r="U646" s="17">
        <v>4.4000000000000004</v>
      </c>
      <c r="V646" s="17">
        <v>30</v>
      </c>
      <c r="W646" s="17">
        <v>1.8</v>
      </c>
      <c r="X646" s="17">
        <v>1.2</v>
      </c>
      <c r="Y646" s="17">
        <v>12</v>
      </c>
      <c r="Z646" s="17">
        <v>1.4</v>
      </c>
      <c r="AA646" s="17">
        <v>3.7</v>
      </c>
      <c r="AB646" s="17">
        <v>3.9</v>
      </c>
      <c r="AC646" s="17">
        <v>240</v>
      </c>
      <c r="AD646" s="17">
        <v>580</v>
      </c>
      <c r="AE646" s="17">
        <v>840</v>
      </c>
      <c r="AF646" s="17">
        <v>810</v>
      </c>
      <c r="AG646" s="17">
        <v>810</v>
      </c>
      <c r="AH646" s="17">
        <v>200</v>
      </c>
      <c r="AI646" s="17">
        <v>12</v>
      </c>
      <c r="AJ646" s="17">
        <v>13</v>
      </c>
      <c r="AK646" s="17">
        <v>0</v>
      </c>
      <c r="AL646" s="17">
        <v>40</v>
      </c>
      <c r="AM646" s="27">
        <v>0</v>
      </c>
    </row>
    <row r="647" spans="1:39" x14ac:dyDescent="0.25">
      <c r="A647" s="10">
        <v>646</v>
      </c>
      <c r="B647" s="9" t="s">
        <v>713</v>
      </c>
      <c r="C647" s="9" t="s">
        <v>766</v>
      </c>
      <c r="D647" s="10">
        <v>4</v>
      </c>
      <c r="E647" s="11">
        <v>297</v>
      </c>
      <c r="F647" s="22" t="s">
        <v>100</v>
      </c>
      <c r="G647" s="22" t="s">
        <v>100</v>
      </c>
      <c r="H647" s="17">
        <v>39</v>
      </c>
      <c r="I647" s="17">
        <v>34</v>
      </c>
      <c r="J647" s="17">
        <v>3.1</v>
      </c>
      <c r="K647" s="17">
        <v>0</v>
      </c>
      <c r="L647" s="17">
        <v>0.5</v>
      </c>
      <c r="M647" s="22" t="s">
        <v>767</v>
      </c>
      <c r="N647" s="22" t="s">
        <v>767</v>
      </c>
      <c r="O647" s="22" t="s">
        <v>767</v>
      </c>
      <c r="P647" s="22" t="s">
        <v>100</v>
      </c>
      <c r="Q647" s="22" t="s">
        <v>100</v>
      </c>
      <c r="R647" s="17">
        <v>710</v>
      </c>
      <c r="S647" s="17">
        <v>90</v>
      </c>
      <c r="T647" s="17">
        <v>7.8</v>
      </c>
      <c r="U647" s="17">
        <v>5.2</v>
      </c>
      <c r="V647" s="17">
        <v>70</v>
      </c>
      <c r="W647" s="17">
        <v>1.4</v>
      </c>
      <c r="X647" s="17">
        <v>1.4</v>
      </c>
      <c r="Y647" s="17">
        <v>13.6</v>
      </c>
      <c r="Z647" s="17">
        <v>2.1</v>
      </c>
      <c r="AA647" s="17">
        <v>5</v>
      </c>
      <c r="AB647" s="17">
        <v>3.6</v>
      </c>
      <c r="AC647" s="17">
        <v>500</v>
      </c>
      <c r="AD647" s="17">
        <v>560</v>
      </c>
      <c r="AE647" s="17">
        <v>700</v>
      </c>
      <c r="AF647" s="17">
        <v>670</v>
      </c>
      <c r="AG647" s="17">
        <v>670</v>
      </c>
      <c r="AH647" s="17">
        <v>285</v>
      </c>
      <c r="AI647" s="17">
        <v>23.5</v>
      </c>
      <c r="AJ647" s="17">
        <v>13.6</v>
      </c>
      <c r="AK647" s="17">
        <v>1.4</v>
      </c>
      <c r="AL647" s="17">
        <v>50</v>
      </c>
      <c r="AM647" s="27">
        <v>0</v>
      </c>
    </row>
    <row r="648" spans="1:39" x14ac:dyDescent="0.25">
      <c r="A648" s="10">
        <v>647</v>
      </c>
      <c r="B648" s="9" t="s">
        <v>713</v>
      </c>
      <c r="C648" s="9" t="s">
        <v>768</v>
      </c>
      <c r="D648" s="10">
        <v>4</v>
      </c>
      <c r="E648" s="11">
        <v>297</v>
      </c>
      <c r="F648" s="22" t="s">
        <v>100</v>
      </c>
      <c r="G648" s="22" t="s">
        <v>100</v>
      </c>
      <c r="H648" s="17">
        <v>39</v>
      </c>
      <c r="I648" s="17">
        <v>34</v>
      </c>
      <c r="J648" s="17">
        <v>3.1</v>
      </c>
      <c r="K648" s="22" t="s">
        <v>100</v>
      </c>
      <c r="L648" s="17">
        <v>0.5</v>
      </c>
      <c r="M648" s="22" t="s">
        <v>100</v>
      </c>
      <c r="N648" s="22" t="s">
        <v>100</v>
      </c>
      <c r="O648" s="22" t="s">
        <v>100</v>
      </c>
      <c r="P648" s="22" t="s">
        <v>100</v>
      </c>
      <c r="Q648" s="22" t="s">
        <v>100</v>
      </c>
      <c r="R648" s="17">
        <v>710</v>
      </c>
      <c r="S648" s="17">
        <v>90</v>
      </c>
      <c r="T648" s="17">
        <v>7.8</v>
      </c>
      <c r="U648" s="17">
        <v>5.2</v>
      </c>
      <c r="V648" s="17">
        <v>70</v>
      </c>
      <c r="W648" s="17">
        <v>1.4</v>
      </c>
      <c r="X648" s="17">
        <v>1.4</v>
      </c>
      <c r="Y648" s="17">
        <v>13.6</v>
      </c>
      <c r="Z648" s="17">
        <v>2.1</v>
      </c>
      <c r="AA648" s="17">
        <v>5</v>
      </c>
      <c r="AB648" s="17">
        <v>3.6</v>
      </c>
      <c r="AC648" s="17">
        <v>500</v>
      </c>
      <c r="AD648" s="17">
        <v>560</v>
      </c>
      <c r="AE648" s="17">
        <v>700</v>
      </c>
      <c r="AF648" s="17">
        <v>670</v>
      </c>
      <c r="AG648" s="17">
        <v>670</v>
      </c>
      <c r="AH648" s="17">
        <v>285</v>
      </c>
      <c r="AI648" s="17">
        <v>23.5</v>
      </c>
      <c r="AJ648" s="17">
        <v>13.6</v>
      </c>
      <c r="AK648" s="17">
        <v>1.4</v>
      </c>
      <c r="AL648" s="17">
        <v>50</v>
      </c>
      <c r="AM648" s="27">
        <v>0</v>
      </c>
    </row>
  </sheetData>
  <autoFilter ref="A1:AM64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baseColWidth="10" defaultColWidth="9.140625" defaultRowHeight="15" x14ac:dyDescent="0.25"/>
  <cols>
    <col min="1" max="1" width="9" customWidth="1"/>
    <col min="2" max="2" width="120" customWidth="1"/>
  </cols>
  <sheetData>
    <row r="1" spans="1:2" x14ac:dyDescent="0.25">
      <c r="A1" s="23" t="s">
        <v>769</v>
      </c>
      <c r="B1" s="23" t="s">
        <v>62</v>
      </c>
    </row>
    <row r="2" spans="1:2" x14ac:dyDescent="0.25">
      <c r="A2" s="24">
        <v>1</v>
      </c>
      <c r="B2" s="24" t="s">
        <v>770</v>
      </c>
    </row>
    <row r="3" spans="1:2" x14ac:dyDescent="0.25">
      <c r="A3" s="24">
        <v>2</v>
      </c>
      <c r="B3" s="24" t="s">
        <v>771</v>
      </c>
    </row>
    <row r="4" spans="1:2" x14ac:dyDescent="0.25">
      <c r="A4" s="24">
        <v>3</v>
      </c>
      <c r="B4" s="24" t="s">
        <v>772</v>
      </c>
    </row>
    <row r="5" spans="1:2" x14ac:dyDescent="0.25">
      <c r="A5" s="24">
        <v>4</v>
      </c>
      <c r="B5" s="24" t="s">
        <v>773</v>
      </c>
    </row>
    <row r="6" spans="1:2" x14ac:dyDescent="0.25">
      <c r="A6" s="24">
        <v>6</v>
      </c>
      <c r="B6" s="24" t="s">
        <v>774</v>
      </c>
    </row>
    <row r="7" spans="1:2" x14ac:dyDescent="0.25">
      <c r="A7" s="24"/>
      <c r="B7" s="24"/>
    </row>
    <row r="8" spans="1:2" x14ac:dyDescent="0.25">
      <c r="A8" s="24"/>
      <c r="B8" s="24" t="s">
        <v>775</v>
      </c>
    </row>
    <row r="9" spans="1:2" x14ac:dyDescent="0.25">
      <c r="A9" s="24"/>
      <c r="B9" s="24" t="s">
        <v>776</v>
      </c>
    </row>
    <row r="10" spans="1:2" x14ac:dyDescent="0.25">
      <c r="A10" s="24"/>
      <c r="B10" s="24" t="s">
        <v>777</v>
      </c>
    </row>
    <row r="11" spans="1:2" x14ac:dyDescent="0.25">
      <c r="A11" s="24"/>
      <c r="B11" s="24" t="s">
        <v>778</v>
      </c>
    </row>
    <row r="13" spans="1:2" x14ac:dyDescent="0.25">
      <c r="B13" s="29" t="s">
        <v>779</v>
      </c>
    </row>
    <row r="14" spans="1:2" x14ac:dyDescent="0.25">
      <c r="B14" s="30" t="s">
        <v>780</v>
      </c>
    </row>
    <row r="15" spans="1:2" x14ac:dyDescent="0.25">
      <c r="B15" s="30" t="s">
        <v>781</v>
      </c>
    </row>
    <row r="16" spans="1:2" x14ac:dyDescent="0.25">
      <c r="B16" s="30" t="s">
        <v>782</v>
      </c>
    </row>
    <row r="17" spans="2:2" x14ac:dyDescent="0.25">
      <c r="B17" s="30" t="s">
        <v>783</v>
      </c>
    </row>
    <row r="18" spans="2:2" x14ac:dyDescent="0.25">
      <c r="B18" s="30" t="s">
        <v>784</v>
      </c>
    </row>
    <row r="19" spans="2:2" x14ac:dyDescent="0.25">
      <c r="B19" s="30" t="s">
        <v>785</v>
      </c>
    </row>
    <row r="20" spans="2:2" x14ac:dyDescent="0.25">
      <c r="B20" s="30" t="s">
        <v>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47"/>
  <sheetViews>
    <sheetView workbookViewId="0"/>
  </sheetViews>
  <sheetFormatPr baseColWidth="10" defaultColWidth="9.140625" defaultRowHeight="15" x14ac:dyDescent="0.25"/>
  <sheetData>
    <row r="1" spans="1:4" x14ac:dyDescent="0.25">
      <c r="A1" t="s">
        <v>61</v>
      </c>
      <c r="B1" t="s">
        <v>787</v>
      </c>
      <c r="C1" t="s">
        <v>788</v>
      </c>
      <c r="D1" t="s">
        <v>789</v>
      </c>
    </row>
    <row r="2" spans="1:4" x14ac:dyDescent="0.25">
      <c r="A2" t="str">
        <f>Datos!C2</f>
        <v>Leche materna</v>
      </c>
      <c r="B2" t="str">
        <f>IF(ISNUMBER(SEARCH(Calculadora!$C$4,A2)),MAX(B$1:B1)+1,"")</f>
        <v/>
      </c>
      <c r="C2">
        <v>1</v>
      </c>
      <c r="D2" t="str">
        <f t="shared" ref="D2:D65" si="0">IFERROR(INDEX($A$2:$A$647,MATCH(C2,$B$2:$B$647,0)),"")</f>
        <v>Leche en polvo 26% MG con Vit. D</v>
      </c>
    </row>
    <row r="3" spans="1:4" x14ac:dyDescent="0.25">
      <c r="A3" t="str">
        <f>Datos!C3</f>
        <v>Leche de burra</v>
      </c>
      <c r="B3" t="str">
        <f>IF(ISNUMBER(SEARCH(Calculadora!$C$4,A3)),MAX(B$1:B2)+1,"")</f>
        <v/>
      </c>
      <c r="C3">
        <v>2</v>
      </c>
      <c r="D3" t="str">
        <f t="shared" si="0"/>
        <v/>
      </c>
    </row>
    <row r="4" spans="1:4" x14ac:dyDescent="0.25">
      <c r="A4" t="str">
        <f>Datos!C4</f>
        <v>Leche de cabra con Vit. D</v>
      </c>
      <c r="B4" t="str">
        <f>IF(ISNUMBER(SEARCH(Calculadora!$C$4,A4)),MAX(B$1:B3)+1,"")</f>
        <v/>
      </c>
      <c r="C4">
        <v>3</v>
      </c>
      <c r="D4" t="str">
        <f t="shared" si="0"/>
        <v/>
      </c>
    </row>
    <row r="5" spans="1:4" x14ac:dyDescent="0.25">
      <c r="A5" t="str">
        <f>Datos!C5</f>
        <v>Leche fluida entera (fuente 1)</v>
      </c>
      <c r="B5" t="str">
        <f>IF(ISNUMBER(SEARCH(Calculadora!$C$4,A5)),MAX(B$1:B4)+1,"")</f>
        <v/>
      </c>
      <c r="C5">
        <v>4</v>
      </c>
      <c r="D5" t="str">
        <f t="shared" si="0"/>
        <v/>
      </c>
    </row>
    <row r="6" spans="1:4" x14ac:dyDescent="0.25">
      <c r="A6" t="str">
        <f>Datos!C6</f>
        <v>Leche fluida entera (fuente 2)</v>
      </c>
      <c r="B6" t="str">
        <f>IF(ISNUMBER(SEARCH(Calculadora!$C$4,A6)),MAX(B$1:B5)+1,"")</f>
        <v/>
      </c>
      <c r="C6">
        <v>5</v>
      </c>
      <c r="D6" t="str">
        <f t="shared" si="0"/>
        <v/>
      </c>
    </row>
    <row r="7" spans="1:4" x14ac:dyDescent="0.25">
      <c r="A7" t="str">
        <f>Datos!C7</f>
        <v>Leche entera con sabor</v>
      </c>
      <c r="B7" t="str">
        <f>IF(ISNUMBER(SEARCH(Calculadora!$C$4,A7)),MAX(B$1:B6)+1,"")</f>
        <v/>
      </c>
      <c r="C7">
        <v>6</v>
      </c>
      <c r="D7" t="str">
        <f t="shared" si="0"/>
        <v/>
      </c>
    </row>
    <row r="8" spans="1:4" x14ac:dyDescent="0.25">
      <c r="A8" t="str">
        <f>Datos!C8</f>
        <v>Leche semidescremada</v>
      </c>
      <c r="B8" t="str">
        <f>IF(ISNUMBER(SEARCH(Calculadora!$C$4,A8)),MAX(B$1:B7)+1,"")</f>
        <v/>
      </c>
      <c r="C8">
        <v>7</v>
      </c>
      <c r="D8" t="str">
        <f t="shared" si="0"/>
        <v/>
      </c>
    </row>
    <row r="9" spans="1:4" x14ac:dyDescent="0.25">
      <c r="A9" t="str">
        <f>Datos!C9</f>
        <v>Leche semidescremada con sabor</v>
      </c>
      <c r="B9" t="str">
        <f>IF(ISNUMBER(SEARCH(Calculadora!$C$4,A9)),MAX(B$1:B8)+1,"")</f>
        <v/>
      </c>
      <c r="C9">
        <v>8</v>
      </c>
      <c r="D9" t="str">
        <f t="shared" si="0"/>
        <v/>
      </c>
    </row>
    <row r="10" spans="1:4" x14ac:dyDescent="0.25">
      <c r="A10" t="str">
        <f>Datos!C10</f>
        <v>Leche semidescremada con sabor chocolate</v>
      </c>
      <c r="B10" t="str">
        <f>IF(ISNUMBER(SEARCH(Calculadora!$C$4,A10)),MAX(B$1:B9)+1,"")</f>
        <v/>
      </c>
      <c r="C10">
        <v>9</v>
      </c>
      <c r="D10" t="str">
        <f t="shared" si="0"/>
        <v/>
      </c>
    </row>
    <row r="11" spans="1:4" x14ac:dyDescent="0.25">
      <c r="A11" t="str">
        <f>Datos!C11</f>
        <v>Leche semidescremada con sabor frutilla</v>
      </c>
      <c r="B11" t="str">
        <f>IF(ISNUMBER(SEARCH(Calculadora!$C$4,A11)),MAX(B$1:B10)+1,"")</f>
        <v/>
      </c>
      <c r="C11">
        <v>10</v>
      </c>
      <c r="D11" t="str">
        <f t="shared" si="0"/>
        <v/>
      </c>
    </row>
    <row r="12" spans="1:4" x14ac:dyDescent="0.25">
      <c r="A12" t="str">
        <f>Datos!C12</f>
        <v>Leche semidescremada sin lactosa</v>
      </c>
      <c r="B12" t="str">
        <f>IF(ISNUMBER(SEARCH(Calculadora!$C$4,A12)),MAX(B$1:B11)+1,"")</f>
        <v/>
      </c>
      <c r="C12">
        <v>11</v>
      </c>
      <c r="D12" t="str">
        <f t="shared" si="0"/>
        <v/>
      </c>
    </row>
    <row r="13" spans="1:4" x14ac:dyDescent="0.25">
      <c r="A13" t="str">
        <f>Datos!C13</f>
        <v>Leche descremada (fuente 4)</v>
      </c>
      <c r="B13" t="str">
        <f>IF(ISNUMBER(SEARCH(Calculadora!$C$4,A13)),MAX(B$1:B12)+1,"")</f>
        <v/>
      </c>
      <c r="C13">
        <v>12</v>
      </c>
      <c r="D13" t="str">
        <f t="shared" si="0"/>
        <v/>
      </c>
    </row>
    <row r="14" spans="1:4" x14ac:dyDescent="0.25">
      <c r="A14" t="str">
        <f>Datos!C14</f>
        <v>Leche descremada (fuente 1)</v>
      </c>
      <c r="B14" t="str">
        <f>IF(ISNUMBER(SEARCH(Calculadora!$C$4,A14)),MAX(B$1:B13)+1,"")</f>
        <v/>
      </c>
      <c r="C14">
        <v>13</v>
      </c>
      <c r="D14" t="str">
        <f t="shared" si="0"/>
        <v/>
      </c>
    </row>
    <row r="15" spans="1:4" x14ac:dyDescent="0.25">
      <c r="A15" t="str">
        <f>Datos!C15</f>
        <v>Leche en polvo 26% MG</v>
      </c>
      <c r="B15" t="str">
        <f>IF(ISNUMBER(SEARCH(Calculadora!$C$4,A15)),MAX(B$1:B14)+1,"")</f>
        <v/>
      </c>
      <c r="C15">
        <v>14</v>
      </c>
      <c r="D15" t="str">
        <f t="shared" si="0"/>
        <v/>
      </c>
    </row>
    <row r="16" spans="1:4" x14ac:dyDescent="0.25">
      <c r="A16" t="str">
        <f>Datos!C16</f>
        <v>Leche en polvo 26% MG con Vit. D</v>
      </c>
      <c r="B16">
        <f>IF(ISNUMBER(SEARCH(Calculadora!$C$4,A16)),MAX(B$1:B15)+1,"")</f>
        <v>1</v>
      </c>
      <c r="C16">
        <v>15</v>
      </c>
      <c r="D16" t="str">
        <f t="shared" si="0"/>
        <v/>
      </c>
    </row>
    <row r="17" spans="1:4" x14ac:dyDescent="0.25">
      <c r="A17" t="str">
        <f>Datos!C17</f>
        <v>Leche en polvo 18% MG extra calcio</v>
      </c>
      <c r="B17" t="str">
        <f>IF(ISNUMBER(SEARCH(Calculadora!$C$4,A17)),MAX(B$1:B16)+1,"")</f>
        <v/>
      </c>
      <c r="C17">
        <v>16</v>
      </c>
      <c r="D17" t="str">
        <f t="shared" si="0"/>
        <v/>
      </c>
    </row>
    <row r="18" spans="1:4" x14ac:dyDescent="0.25">
      <c r="A18" t="str">
        <f>Datos!C18</f>
        <v>Leche en polvo 12% MG</v>
      </c>
      <c r="B18" t="str">
        <f>IF(ISNUMBER(SEARCH(Calculadora!$C$4,A18)),MAX(B$1:B17)+1,"")</f>
        <v/>
      </c>
      <c r="C18">
        <v>17</v>
      </c>
      <c r="D18" t="str">
        <f t="shared" si="0"/>
        <v/>
      </c>
    </row>
    <row r="19" spans="1:4" x14ac:dyDescent="0.25">
      <c r="A19" t="str">
        <f>Datos!C19</f>
        <v>Leche en polvo descremada</v>
      </c>
      <c r="B19" t="str">
        <f>IF(ISNUMBER(SEARCH(Calculadora!$C$4,A19)),MAX(B$1:B18)+1,"")</f>
        <v/>
      </c>
      <c r="C19">
        <v>18</v>
      </c>
      <c r="D19" t="str">
        <f t="shared" si="0"/>
        <v/>
      </c>
    </row>
    <row r="20" spans="1:4" x14ac:dyDescent="0.25">
      <c r="A20" t="str">
        <f>Datos!C20</f>
        <v>Leche en polvo descremada extra calcio</v>
      </c>
      <c r="B20" t="str">
        <f>IF(ISNUMBER(SEARCH(Calculadora!$C$4,A20)),MAX(B$1:B19)+1,"")</f>
        <v/>
      </c>
      <c r="C20">
        <v>19</v>
      </c>
      <c r="D20" t="str">
        <f t="shared" si="0"/>
        <v/>
      </c>
    </row>
    <row r="21" spans="1:4" x14ac:dyDescent="0.25">
      <c r="A21" t="str">
        <f>Datos!C21</f>
        <v>Leche en polvo Purita Cereal</v>
      </c>
      <c r="B21" t="str">
        <f>IF(ISNUMBER(SEARCH(Calculadora!$C$4,A21)),MAX(B$1:B20)+1,"")</f>
        <v/>
      </c>
      <c r="C21">
        <v>20</v>
      </c>
      <c r="D21" t="str">
        <f t="shared" si="0"/>
        <v/>
      </c>
    </row>
    <row r="22" spans="1:4" x14ac:dyDescent="0.25">
      <c r="A22" t="str">
        <f>Datos!C22</f>
        <v>Leche condensada</v>
      </c>
      <c r="B22" t="str">
        <f>IF(ISNUMBER(SEARCH(Calculadora!$C$4,A22)),MAX(B$1:B21)+1,"")</f>
        <v/>
      </c>
      <c r="C22">
        <v>21</v>
      </c>
      <c r="D22" t="str">
        <f t="shared" si="0"/>
        <v/>
      </c>
    </row>
    <row r="23" spans="1:4" x14ac:dyDescent="0.25">
      <c r="A23" t="str">
        <f>Datos!C23</f>
        <v>Leche evaporada</v>
      </c>
      <c r="B23" t="str">
        <f>IF(ISNUMBER(SEARCH(Calculadora!$C$4,A23)),MAX(B$1:B22)+1,"")</f>
        <v/>
      </c>
      <c r="C23">
        <v>22</v>
      </c>
      <c r="D23" t="str">
        <f t="shared" si="0"/>
        <v/>
      </c>
    </row>
    <row r="24" spans="1:4" x14ac:dyDescent="0.25">
      <c r="A24" t="str">
        <f>Datos!C24</f>
        <v>Quesillo</v>
      </c>
      <c r="B24" t="str">
        <f>IF(ISNUMBER(SEARCH(Calculadora!$C$4,A24)),MAX(B$1:B23)+1,"")</f>
        <v/>
      </c>
      <c r="C24">
        <v>23</v>
      </c>
      <c r="D24" t="str">
        <f t="shared" si="0"/>
        <v/>
      </c>
    </row>
    <row r="25" spans="1:4" x14ac:dyDescent="0.25">
      <c r="A25" t="str">
        <f>Datos!C25</f>
        <v>Quesillo 0% MG</v>
      </c>
      <c r="B25" t="str">
        <f>IF(ISNUMBER(SEARCH(Calculadora!$C$4,A25)),MAX(B$1:B24)+1,"")</f>
        <v/>
      </c>
      <c r="C25">
        <v>24</v>
      </c>
      <c r="D25" t="str">
        <f t="shared" si="0"/>
        <v/>
      </c>
    </row>
    <row r="26" spans="1:4" x14ac:dyDescent="0.25">
      <c r="A26" t="str">
        <f>Datos!C26</f>
        <v>Quesillo sin sal</v>
      </c>
      <c r="B26" t="str">
        <f>IF(ISNUMBER(SEARCH(Calculadora!$C$4,A26)),MAX(B$1:B25)+1,"")</f>
        <v/>
      </c>
      <c r="C26">
        <v>25</v>
      </c>
      <c r="D26" t="str">
        <f t="shared" si="0"/>
        <v/>
      </c>
    </row>
    <row r="27" spans="1:4" x14ac:dyDescent="0.25">
      <c r="A27" t="str">
        <f>Datos!C27</f>
        <v>Queso cabra</v>
      </c>
      <c r="B27" t="str">
        <f>IF(ISNUMBER(SEARCH(Calculadora!$C$4,A27)),MAX(B$1:B26)+1,"")</f>
        <v/>
      </c>
      <c r="C27">
        <v>26</v>
      </c>
      <c r="D27" t="str">
        <f t="shared" si="0"/>
        <v/>
      </c>
    </row>
    <row r="28" spans="1:4" x14ac:dyDescent="0.25">
      <c r="A28" t="str">
        <f>Datos!C28</f>
        <v>Queso chanco</v>
      </c>
      <c r="B28" t="str">
        <f>IF(ISNUMBER(SEARCH(Calculadora!$C$4,A28)),MAX(B$1:B27)+1,"")</f>
        <v/>
      </c>
      <c r="C28">
        <v>27</v>
      </c>
      <c r="D28" t="str">
        <f t="shared" si="0"/>
        <v/>
      </c>
    </row>
    <row r="29" spans="1:4" x14ac:dyDescent="0.25">
      <c r="A29" t="str">
        <f>Datos!C29</f>
        <v>Queso cheddar</v>
      </c>
      <c r="B29" t="str">
        <f>IF(ISNUMBER(SEARCH(Calculadora!$C$4,A29)),MAX(B$1:B28)+1,"")</f>
        <v/>
      </c>
      <c r="C29">
        <v>28</v>
      </c>
      <c r="D29" t="str">
        <f t="shared" si="0"/>
        <v/>
      </c>
    </row>
    <row r="30" spans="1:4" x14ac:dyDescent="0.25">
      <c r="A30" t="str">
        <f>Datos!C30</f>
        <v>Queso crema (fuente 1)</v>
      </c>
      <c r="B30" t="str">
        <f>IF(ISNUMBER(SEARCH(Calculadora!$C$4,A30)),MAX(B$1:B29)+1,"")</f>
        <v/>
      </c>
      <c r="C30">
        <v>29</v>
      </c>
      <c r="D30" t="str">
        <f t="shared" si="0"/>
        <v/>
      </c>
    </row>
    <row r="31" spans="1:4" x14ac:dyDescent="0.25">
      <c r="A31" t="str">
        <f>Datos!C31</f>
        <v>Queso crema (fuente 3)</v>
      </c>
      <c r="B31" t="str">
        <f>IF(ISNUMBER(SEARCH(Calculadora!$C$4,A31)),MAX(B$1:B30)+1,"")</f>
        <v/>
      </c>
      <c r="C31">
        <v>30</v>
      </c>
      <c r="D31" t="str">
        <f t="shared" si="0"/>
        <v/>
      </c>
    </row>
    <row r="32" spans="1:4" x14ac:dyDescent="0.25">
      <c r="A32" t="str">
        <f>Datos!C32</f>
        <v>Queso fresco (fuente 3)</v>
      </c>
      <c r="B32" t="str">
        <f>IF(ISNUMBER(SEARCH(Calculadora!$C$4,A32)),MAX(B$1:B31)+1,"")</f>
        <v/>
      </c>
      <c r="C32">
        <v>31</v>
      </c>
      <c r="D32" t="str">
        <f t="shared" si="0"/>
        <v/>
      </c>
    </row>
    <row r="33" spans="1:4" x14ac:dyDescent="0.25">
      <c r="A33" t="str">
        <f>Datos!C33</f>
        <v>Queso fresco (fuente 4)</v>
      </c>
      <c r="B33" t="str">
        <f>IF(ISNUMBER(SEARCH(Calculadora!$C$4,A33)),MAX(B$1:B32)+1,"")</f>
        <v/>
      </c>
      <c r="C33">
        <v>32</v>
      </c>
      <c r="D33" t="str">
        <f t="shared" si="0"/>
        <v/>
      </c>
    </row>
    <row r="34" spans="1:4" x14ac:dyDescent="0.25">
      <c r="A34" t="str">
        <f>Datos!C34</f>
        <v>Queso fresco light</v>
      </c>
      <c r="B34" t="str">
        <f>IF(ISNUMBER(SEARCH(Calculadora!$C$4,A34)),MAX(B$1:B33)+1,"")</f>
        <v/>
      </c>
      <c r="C34">
        <v>33</v>
      </c>
      <c r="D34" t="str">
        <f t="shared" si="0"/>
        <v/>
      </c>
    </row>
    <row r="35" spans="1:4" x14ac:dyDescent="0.25">
      <c r="A35" t="str">
        <f>Datos!C35</f>
        <v>Queso gouda (fuente 1)</v>
      </c>
      <c r="B35" t="str">
        <f>IF(ISNUMBER(SEARCH(Calculadora!$C$4,A35)),MAX(B$1:B34)+1,"")</f>
        <v/>
      </c>
      <c r="C35">
        <v>34</v>
      </c>
      <c r="D35" t="str">
        <f t="shared" si="0"/>
        <v/>
      </c>
    </row>
    <row r="36" spans="1:4" x14ac:dyDescent="0.25">
      <c r="A36" t="str">
        <f>Datos!C36</f>
        <v>Queso gouda (fuente 3)</v>
      </c>
      <c r="B36" t="str">
        <f>IF(ISNUMBER(SEARCH(Calculadora!$C$4,A36)),MAX(B$1:B35)+1,"")</f>
        <v/>
      </c>
      <c r="C36">
        <v>35</v>
      </c>
      <c r="D36" t="str">
        <f t="shared" si="0"/>
        <v/>
      </c>
    </row>
    <row r="37" spans="1:4" x14ac:dyDescent="0.25">
      <c r="A37" t="str">
        <f>Datos!C37</f>
        <v>Queso mantecoso</v>
      </c>
      <c r="B37" t="str">
        <f>IF(ISNUMBER(SEARCH(Calculadora!$C$4,A37)),MAX(B$1:B36)+1,"")</f>
        <v/>
      </c>
      <c r="C37">
        <v>36</v>
      </c>
      <c r="D37" t="str">
        <f t="shared" si="0"/>
        <v/>
      </c>
    </row>
    <row r="38" spans="1:4" x14ac:dyDescent="0.25">
      <c r="A38" t="str">
        <f>Datos!C38</f>
        <v>Queso mozzarella</v>
      </c>
      <c r="B38" t="str">
        <f>IF(ISNUMBER(SEARCH(Calculadora!$C$4,A38)),MAX(B$1:B37)+1,"")</f>
        <v/>
      </c>
      <c r="C38">
        <v>37</v>
      </c>
      <c r="D38" t="str">
        <f t="shared" si="0"/>
        <v/>
      </c>
    </row>
    <row r="39" spans="1:4" x14ac:dyDescent="0.25">
      <c r="A39" t="str">
        <f>Datos!C39</f>
        <v>Queso parmesano (fuente 2)</v>
      </c>
      <c r="B39" t="str">
        <f>IF(ISNUMBER(SEARCH(Calculadora!$C$4,A39)),MAX(B$1:B38)+1,"")</f>
        <v/>
      </c>
      <c r="C39">
        <v>38</v>
      </c>
      <c r="D39" t="str">
        <f t="shared" si="0"/>
        <v/>
      </c>
    </row>
    <row r="40" spans="1:4" x14ac:dyDescent="0.25">
      <c r="A40" t="str">
        <f>Datos!C40</f>
        <v>Queso parmesano (fuente 1)</v>
      </c>
      <c r="B40" t="str">
        <f>IF(ISNUMBER(SEARCH(Calculadora!$C$4,A40)),MAX(B$1:B39)+1,"")</f>
        <v/>
      </c>
      <c r="C40">
        <v>39</v>
      </c>
      <c r="D40" t="str">
        <f t="shared" si="0"/>
        <v/>
      </c>
    </row>
    <row r="41" spans="1:4" x14ac:dyDescent="0.25">
      <c r="A41" t="str">
        <f>Datos!C41</f>
        <v>Queso pategras</v>
      </c>
      <c r="B41" t="str">
        <f>IF(ISNUMBER(SEARCH(Calculadora!$C$4,A41)),MAX(B$1:B40)+1,"")</f>
        <v/>
      </c>
      <c r="C41">
        <v>40</v>
      </c>
      <c r="D41" t="str">
        <f t="shared" si="0"/>
        <v/>
      </c>
    </row>
    <row r="42" spans="1:4" x14ac:dyDescent="0.25">
      <c r="A42" t="str">
        <f>Datos!C42</f>
        <v>Queso reggianito</v>
      </c>
      <c r="B42" t="str">
        <f>IF(ISNUMBER(SEARCH(Calculadora!$C$4,A42)),MAX(B$1:B41)+1,"")</f>
        <v/>
      </c>
      <c r="C42">
        <v>41</v>
      </c>
      <c r="D42" t="str">
        <f t="shared" si="0"/>
        <v/>
      </c>
    </row>
    <row r="43" spans="1:4" x14ac:dyDescent="0.25">
      <c r="A43" t="str">
        <f>Datos!C43</f>
        <v>Queso suizo</v>
      </c>
      <c r="B43" t="str">
        <f>IF(ISNUMBER(SEARCH(Calculadora!$C$4,A43)),MAX(B$1:B42)+1,"")</f>
        <v/>
      </c>
      <c r="C43">
        <v>42</v>
      </c>
      <c r="D43" t="str">
        <f t="shared" si="0"/>
        <v/>
      </c>
    </row>
    <row r="44" spans="1:4" x14ac:dyDescent="0.25">
      <c r="A44" t="str">
        <f>Datos!C44</f>
        <v>Queso untable</v>
      </c>
      <c r="B44" t="str">
        <f>IF(ISNUMBER(SEARCH(Calculadora!$C$4,A44)),MAX(B$1:B43)+1,"")</f>
        <v/>
      </c>
      <c r="C44">
        <v>43</v>
      </c>
      <c r="D44" t="str">
        <f t="shared" si="0"/>
        <v/>
      </c>
    </row>
    <row r="45" spans="1:4" x14ac:dyDescent="0.25">
      <c r="A45" t="str">
        <f>Datos!C45</f>
        <v>Ricota</v>
      </c>
      <c r="B45" t="str">
        <f>IF(ISNUMBER(SEARCH(Calculadora!$C$4,A45)),MAX(B$1:B44)+1,"")</f>
        <v/>
      </c>
      <c r="C45">
        <v>44</v>
      </c>
      <c r="D45" t="str">
        <f t="shared" si="0"/>
        <v/>
      </c>
    </row>
    <row r="46" spans="1:4" x14ac:dyDescent="0.25">
      <c r="A46" t="str">
        <f>Datos!C46</f>
        <v>Yogurt natural</v>
      </c>
      <c r="B46" t="str">
        <f>IF(ISNUMBER(SEARCH(Calculadora!$C$4,A46)),MAX(B$1:B45)+1,"")</f>
        <v/>
      </c>
      <c r="C46">
        <v>45</v>
      </c>
      <c r="D46" t="str">
        <f t="shared" si="0"/>
        <v/>
      </c>
    </row>
    <row r="47" spans="1:4" x14ac:dyDescent="0.25">
      <c r="A47" t="str">
        <f>Datos!C47</f>
        <v>Yogurt con sabor</v>
      </c>
      <c r="B47" t="str">
        <f>IF(ISNUMBER(SEARCH(Calculadora!$C$4,A47)),MAX(B$1:B46)+1,"")</f>
        <v/>
      </c>
      <c r="C47">
        <v>46</v>
      </c>
      <c r="D47" t="str">
        <f t="shared" si="0"/>
        <v/>
      </c>
    </row>
    <row r="48" spans="1:4" x14ac:dyDescent="0.25">
      <c r="A48" t="str">
        <f>Datos!C48</f>
        <v>Yogurt light</v>
      </c>
      <c r="B48" t="str">
        <f>IF(ISNUMBER(SEARCH(Calculadora!$C$4,A48)),MAX(B$1:B47)+1,"")</f>
        <v/>
      </c>
      <c r="C48">
        <v>47</v>
      </c>
      <c r="D48" t="str">
        <f t="shared" si="0"/>
        <v/>
      </c>
    </row>
    <row r="49" spans="1:4" x14ac:dyDescent="0.25">
      <c r="A49" t="str">
        <f>Datos!C49</f>
        <v>Yogurt sin lactosa</v>
      </c>
      <c r="B49" t="str">
        <f>IF(ISNUMBER(SEARCH(Calculadora!$C$4,A49)),MAX(B$1:B48)+1,"")</f>
        <v/>
      </c>
      <c r="C49">
        <v>48</v>
      </c>
      <c r="D49" t="str">
        <f t="shared" si="0"/>
        <v/>
      </c>
    </row>
    <row r="50" spans="1:4" x14ac:dyDescent="0.25">
      <c r="A50" t="str">
        <f>Datos!C50</f>
        <v>Yogurt con frutas</v>
      </c>
      <c r="B50" t="str">
        <f>IF(ISNUMBER(SEARCH(Calculadora!$C$4,A50)),MAX(B$1:B49)+1,"")</f>
        <v/>
      </c>
      <c r="C50">
        <v>49</v>
      </c>
      <c r="D50" t="str">
        <f t="shared" si="0"/>
        <v/>
      </c>
    </row>
    <row r="51" spans="1:4" x14ac:dyDescent="0.25">
      <c r="A51" t="str">
        <f>Datos!C51</f>
        <v>Yogurt con frutas bajo en grasa</v>
      </c>
      <c r="B51" t="str">
        <f>IF(ISNUMBER(SEARCH(Calculadora!$C$4,A51)),MAX(B$1:B50)+1,"")</f>
        <v/>
      </c>
      <c r="C51">
        <v>50</v>
      </c>
      <c r="D51" t="str">
        <f t="shared" si="0"/>
        <v/>
      </c>
    </row>
    <row r="52" spans="1:4" x14ac:dyDescent="0.25">
      <c r="A52" t="str">
        <f>Datos!C52</f>
        <v>Yogurt con fruta sin lactosa</v>
      </c>
      <c r="B52" t="str">
        <f>IF(ISNUMBER(SEARCH(Calculadora!$C$4,A52)),MAX(B$1:B51)+1,"")</f>
        <v/>
      </c>
      <c r="C52">
        <v>51</v>
      </c>
      <c r="D52" t="str">
        <f t="shared" si="0"/>
        <v/>
      </c>
    </row>
    <row r="53" spans="1:4" x14ac:dyDescent="0.25">
      <c r="A53" t="str">
        <f>Datos!C53</f>
        <v>Tofu (fuente 1)</v>
      </c>
      <c r="B53" t="str">
        <f>IF(ISNUMBER(SEARCH(Calculadora!$C$4,A53)),MAX(B$1:B52)+1,"")</f>
        <v/>
      </c>
      <c r="C53">
        <v>52</v>
      </c>
      <c r="D53" t="str">
        <f t="shared" si="0"/>
        <v/>
      </c>
    </row>
    <row r="54" spans="1:4" x14ac:dyDescent="0.25">
      <c r="A54" t="str">
        <f>Datos!C54</f>
        <v>Tofu (fuente 3)</v>
      </c>
      <c r="B54" t="str">
        <f>IF(ISNUMBER(SEARCH(Calculadora!$C$4,A54)),MAX(B$1:B53)+1,"")</f>
        <v/>
      </c>
      <c r="C54">
        <v>53</v>
      </c>
      <c r="D54" t="str">
        <f t="shared" si="0"/>
        <v/>
      </c>
    </row>
    <row r="55" spans="1:4" x14ac:dyDescent="0.25">
      <c r="A55" t="str">
        <f>Datos!C55</f>
        <v>Huevo entero (fuente 1)</v>
      </c>
      <c r="B55" t="str">
        <f>IF(ISNUMBER(SEARCH(Calculadora!$C$4,A55)),MAX(B$1:B54)+1,"")</f>
        <v/>
      </c>
      <c r="C55">
        <v>54</v>
      </c>
      <c r="D55" t="str">
        <f t="shared" si="0"/>
        <v/>
      </c>
    </row>
    <row r="56" spans="1:4" x14ac:dyDescent="0.25">
      <c r="A56" t="str">
        <f>Datos!C56</f>
        <v>Huevo entero (fuente 3)</v>
      </c>
      <c r="B56" t="str">
        <f>IF(ISNUMBER(SEARCH(Calculadora!$C$4,A56)),MAX(B$1:B55)+1,"")</f>
        <v/>
      </c>
      <c r="C56">
        <v>55</v>
      </c>
      <c r="D56" t="str">
        <f t="shared" si="0"/>
        <v/>
      </c>
    </row>
    <row r="57" spans="1:4" x14ac:dyDescent="0.25">
      <c r="A57" t="str">
        <f>Datos!C57</f>
        <v>Clara de huevo</v>
      </c>
      <c r="B57" t="str">
        <f>IF(ISNUMBER(SEARCH(Calculadora!$C$4,A57)),MAX(B$1:B56)+1,"")</f>
        <v/>
      </c>
      <c r="C57">
        <v>56</v>
      </c>
      <c r="D57" t="str">
        <f t="shared" si="0"/>
        <v/>
      </c>
    </row>
    <row r="58" spans="1:4" x14ac:dyDescent="0.25">
      <c r="A58" t="str">
        <f>Datos!C58</f>
        <v>Yema de huevo</v>
      </c>
      <c r="B58" t="str">
        <f>IF(ISNUMBER(SEARCH(Calculadora!$C$4,A58)),MAX(B$1:B57)+1,"")</f>
        <v/>
      </c>
      <c r="C58">
        <v>57</v>
      </c>
      <c r="D58" t="str">
        <f t="shared" si="0"/>
        <v/>
      </c>
    </row>
    <row r="59" spans="1:4" x14ac:dyDescent="0.25">
      <c r="A59" t="str">
        <f>Datos!C59</f>
        <v>Huevo de codorniz</v>
      </c>
      <c r="B59" t="str">
        <f>IF(ISNUMBER(SEARCH(Calculadora!$C$4,A59)),MAX(B$1:B58)+1,"")</f>
        <v/>
      </c>
      <c r="C59">
        <v>58</v>
      </c>
      <c r="D59" t="str">
        <f t="shared" si="0"/>
        <v/>
      </c>
    </row>
    <row r="60" spans="1:4" x14ac:dyDescent="0.25">
      <c r="A60" t="str">
        <f>Datos!C60</f>
        <v>Pollo cocido</v>
      </c>
      <c r="B60" t="str">
        <f>IF(ISNUMBER(SEARCH(Calculadora!$C$4,A60)),MAX(B$1:B59)+1,"")</f>
        <v/>
      </c>
      <c r="C60">
        <v>59</v>
      </c>
      <c r="D60" t="str">
        <f t="shared" si="0"/>
        <v/>
      </c>
    </row>
    <row r="61" spans="1:4" x14ac:dyDescent="0.25">
      <c r="A61" t="str">
        <f>Datos!C61</f>
        <v>Pollo pierna</v>
      </c>
      <c r="B61" t="str">
        <f>IF(ISNUMBER(SEARCH(Calculadora!$C$4,A61)),MAX(B$1:B60)+1,"")</f>
        <v/>
      </c>
      <c r="C61">
        <v>60</v>
      </c>
      <c r="D61" t="str">
        <f t="shared" si="0"/>
        <v/>
      </c>
    </row>
    <row r="62" spans="1:4" x14ac:dyDescent="0.25">
      <c r="A62" t="str">
        <f>Datos!C62</f>
        <v>Pollo pechuga</v>
      </c>
      <c r="B62" t="str">
        <f>IF(ISNUMBER(SEARCH(Calculadora!$C$4,A62)),MAX(B$1:B61)+1,"")</f>
        <v/>
      </c>
      <c r="C62">
        <v>61</v>
      </c>
      <c r="D62" t="str">
        <f t="shared" si="0"/>
        <v/>
      </c>
    </row>
    <row r="63" spans="1:4" x14ac:dyDescent="0.25">
      <c r="A63" t="str">
        <f>Datos!C63</f>
        <v>Pollo pechuga deshuesado</v>
      </c>
      <c r="B63" t="str">
        <f>IF(ISNUMBER(SEARCH(Calculadora!$C$4,A63)),MAX(B$1:B62)+1,"")</f>
        <v/>
      </c>
      <c r="C63">
        <v>62</v>
      </c>
      <c r="D63" t="str">
        <f t="shared" si="0"/>
        <v/>
      </c>
    </row>
    <row r="64" spans="1:4" x14ac:dyDescent="0.25">
      <c r="A64" t="str">
        <f>Datos!C64</f>
        <v>Pato cocido</v>
      </c>
      <c r="B64" t="str">
        <f>IF(ISNUMBER(SEARCH(Calculadora!$C$4,A64)),MAX(B$1:B63)+1,"")</f>
        <v/>
      </c>
      <c r="C64">
        <v>63</v>
      </c>
      <c r="D64" t="str">
        <f t="shared" si="0"/>
        <v/>
      </c>
    </row>
    <row r="65" spans="1:4" x14ac:dyDescent="0.25">
      <c r="A65" t="str">
        <f>Datos!C65</f>
        <v>Pavo pierna</v>
      </c>
      <c r="B65" t="str">
        <f>IF(ISNUMBER(SEARCH(Calculadora!$C$4,A65)),MAX(B$1:B64)+1,"")</f>
        <v/>
      </c>
      <c r="C65">
        <v>64</v>
      </c>
      <c r="D65" t="str">
        <f t="shared" si="0"/>
        <v/>
      </c>
    </row>
    <row r="66" spans="1:4" x14ac:dyDescent="0.25">
      <c r="A66" t="str">
        <f>Datos!C66</f>
        <v>Pavo rostizado</v>
      </c>
      <c r="B66" t="str">
        <f>IF(ISNUMBER(SEARCH(Calculadora!$C$4,A66)),MAX(B$1:B65)+1,"")</f>
        <v/>
      </c>
      <c r="C66">
        <v>65</v>
      </c>
      <c r="D66" t="str">
        <f t="shared" ref="D66:D129" si="1">IFERROR(INDEX($A$2:$A$647,MATCH(C66,$B$2:$B$647,0)),"")</f>
        <v/>
      </c>
    </row>
    <row r="67" spans="1:4" x14ac:dyDescent="0.25">
      <c r="A67" t="str">
        <f>Datos!C67</f>
        <v>Carne de cerdo</v>
      </c>
      <c r="B67" t="str">
        <f>IF(ISNUMBER(SEARCH(Calculadora!$C$4,A67)),MAX(B$1:B66)+1,"")</f>
        <v/>
      </c>
      <c r="C67">
        <v>66</v>
      </c>
      <c r="D67" t="str">
        <f t="shared" si="1"/>
        <v/>
      </c>
    </row>
    <row r="68" spans="1:4" x14ac:dyDescent="0.25">
      <c r="A68" t="str">
        <f>Datos!C68</f>
        <v>Cazuela de cerdo</v>
      </c>
      <c r="B68" t="str">
        <f>IF(ISNUMBER(SEARCH(Calculadora!$C$4,A68)),MAX(B$1:B67)+1,"")</f>
        <v/>
      </c>
      <c r="C68">
        <v>67</v>
      </c>
      <c r="D68" t="str">
        <f t="shared" si="1"/>
        <v/>
      </c>
    </row>
    <row r="69" spans="1:4" x14ac:dyDescent="0.25">
      <c r="A69" t="str">
        <f>Datos!C69</f>
        <v>Lomito de cerdo</v>
      </c>
      <c r="B69" t="str">
        <f>IF(ISNUMBER(SEARCH(Calculadora!$C$4,A69)),MAX(B$1:B68)+1,"")</f>
        <v/>
      </c>
      <c r="C69">
        <v>68</v>
      </c>
      <c r="D69" t="str">
        <f t="shared" si="1"/>
        <v/>
      </c>
    </row>
    <row r="70" spans="1:4" x14ac:dyDescent="0.25">
      <c r="A70" t="str">
        <f>Datos!C70</f>
        <v>Pierna de cerdo marinada</v>
      </c>
      <c r="B70" t="str">
        <f>IF(ISNUMBER(SEARCH(Calculadora!$C$4,A70)),MAX(B$1:B69)+1,"")</f>
        <v/>
      </c>
      <c r="C70">
        <v>69</v>
      </c>
      <c r="D70" t="str">
        <f t="shared" si="1"/>
        <v/>
      </c>
    </row>
    <row r="71" spans="1:4" x14ac:dyDescent="0.25">
      <c r="A71" t="str">
        <f>Datos!C71</f>
        <v>Chuleta de cerdo centro marinada</v>
      </c>
      <c r="B71" t="str">
        <f>IF(ISNUMBER(SEARCH(Calculadora!$C$4,A71)),MAX(B$1:B70)+1,"")</f>
        <v/>
      </c>
      <c r="C71">
        <v>70</v>
      </c>
      <c r="D71" t="str">
        <f t="shared" si="1"/>
        <v/>
      </c>
    </row>
    <row r="72" spans="1:4" x14ac:dyDescent="0.25">
      <c r="A72" t="str">
        <f>Datos!C72</f>
        <v>Chuleta de cerdo vetada marinada</v>
      </c>
      <c r="B72" t="str">
        <f>IF(ISNUMBER(SEARCH(Calculadora!$C$4,A72)),MAX(B$1:B71)+1,"")</f>
        <v/>
      </c>
      <c r="C72">
        <v>71</v>
      </c>
      <c r="D72" t="str">
        <f t="shared" si="1"/>
        <v/>
      </c>
    </row>
    <row r="73" spans="1:4" x14ac:dyDescent="0.25">
      <c r="A73" t="str">
        <f>Datos!C73</f>
        <v>Costillar de cerdo</v>
      </c>
      <c r="B73" t="str">
        <f>IF(ISNUMBER(SEARCH(Calculadora!$C$4,A73)),MAX(B$1:B72)+1,"")</f>
        <v/>
      </c>
      <c r="C73">
        <v>72</v>
      </c>
      <c r="D73" t="str">
        <f t="shared" si="1"/>
        <v/>
      </c>
    </row>
    <row r="74" spans="1:4" x14ac:dyDescent="0.25">
      <c r="A74" t="str">
        <f>Datos!C74</f>
        <v>Costillar de cerdo marinado</v>
      </c>
      <c r="B74" t="str">
        <f>IF(ISNUMBER(SEARCH(Calculadora!$C$4,A74)),MAX(B$1:B73)+1,"")</f>
        <v/>
      </c>
      <c r="C74">
        <v>73</v>
      </c>
      <c r="D74" t="str">
        <f t="shared" si="1"/>
        <v/>
      </c>
    </row>
    <row r="75" spans="1:4" x14ac:dyDescent="0.25">
      <c r="A75" t="str">
        <f>Datos!C75</f>
        <v>Filete de cerdo</v>
      </c>
      <c r="B75" t="str">
        <f>IF(ISNUMBER(SEARCH(Calculadora!$C$4,A75)),MAX(B$1:B74)+1,"")</f>
        <v/>
      </c>
      <c r="C75">
        <v>74</v>
      </c>
      <c r="D75" t="str">
        <f t="shared" si="1"/>
        <v/>
      </c>
    </row>
    <row r="76" spans="1:4" x14ac:dyDescent="0.25">
      <c r="A76" t="str">
        <f>Datos!C76</f>
        <v>Pulpa de cerdo</v>
      </c>
      <c r="B76" t="str">
        <f>IF(ISNUMBER(SEARCH(Calculadora!$C$4,A76)),MAX(B$1:B75)+1,"")</f>
        <v/>
      </c>
      <c r="C76">
        <v>75</v>
      </c>
      <c r="D76" t="str">
        <f t="shared" si="1"/>
        <v/>
      </c>
    </row>
    <row r="77" spans="1:4" x14ac:dyDescent="0.25">
      <c r="A77" t="str">
        <f>Datos!C77</f>
        <v>Cazuela de cordero</v>
      </c>
      <c r="B77" t="str">
        <f>IF(ISNUMBER(SEARCH(Calculadora!$C$4,A77)),MAX(B$1:B76)+1,"")</f>
        <v/>
      </c>
      <c r="C77">
        <v>76</v>
      </c>
      <c r="D77" t="str">
        <f t="shared" si="1"/>
        <v/>
      </c>
    </row>
    <row r="78" spans="1:4" x14ac:dyDescent="0.25">
      <c r="A78" t="str">
        <f>Datos!C78</f>
        <v>Chuleta de cordero</v>
      </c>
      <c r="B78" t="str">
        <f>IF(ISNUMBER(SEARCH(Calculadora!$C$4,A78)),MAX(B$1:B77)+1,"")</f>
        <v/>
      </c>
      <c r="C78">
        <v>77</v>
      </c>
      <c r="D78" t="str">
        <f t="shared" si="1"/>
        <v/>
      </c>
    </row>
    <row r="79" spans="1:4" x14ac:dyDescent="0.25">
      <c r="A79" t="str">
        <f>Datos!C79</f>
        <v>Pulpa de cordero</v>
      </c>
      <c r="B79" t="str">
        <f>IF(ISNUMBER(SEARCH(Calculadora!$C$4,A79)),MAX(B$1:B78)+1,"")</f>
        <v/>
      </c>
      <c r="C79">
        <v>78</v>
      </c>
      <c r="D79" t="str">
        <f t="shared" si="1"/>
        <v/>
      </c>
    </row>
    <row r="80" spans="1:4" x14ac:dyDescent="0.25">
      <c r="A80" t="str">
        <f>Datos!C80</f>
        <v>Conejo (fuente 2)</v>
      </c>
      <c r="B80" t="str">
        <f>IF(ISNUMBER(SEARCH(Calculadora!$C$4,A80)),MAX(B$1:B79)+1,"")</f>
        <v/>
      </c>
      <c r="C80">
        <v>79</v>
      </c>
      <c r="D80" t="str">
        <f t="shared" si="1"/>
        <v/>
      </c>
    </row>
    <row r="81" spans="1:4" x14ac:dyDescent="0.25">
      <c r="A81" t="str">
        <f>Datos!C81</f>
        <v>Conejo (fuente 1)</v>
      </c>
      <c r="B81" t="str">
        <f>IF(ISNUMBER(SEARCH(Calculadora!$C$4,A81)),MAX(B$1:B80)+1,"")</f>
        <v/>
      </c>
      <c r="C81">
        <v>80</v>
      </c>
      <c r="D81" t="str">
        <f t="shared" si="1"/>
        <v/>
      </c>
    </row>
    <row r="82" spans="1:4" x14ac:dyDescent="0.25">
      <c r="A82" t="str">
        <f>Datos!C82</f>
        <v>Conejo horneado</v>
      </c>
      <c r="B82" t="str">
        <f>IF(ISNUMBER(SEARCH(Calculadora!$C$4,A82)),MAX(B$1:B81)+1,"")</f>
        <v/>
      </c>
      <c r="C82">
        <v>81</v>
      </c>
      <c r="D82" t="str">
        <f t="shared" si="1"/>
        <v/>
      </c>
    </row>
    <row r="83" spans="1:4" x14ac:dyDescent="0.25">
      <c r="A83" t="str">
        <f>Datos!C83</f>
        <v>Filete de vacuno</v>
      </c>
      <c r="B83" t="str">
        <f>IF(ISNUMBER(SEARCH(Calculadora!$C$4,A83)),MAX(B$1:B82)+1,"")</f>
        <v/>
      </c>
      <c r="C83">
        <v>82</v>
      </c>
      <c r="D83" t="str">
        <f t="shared" si="1"/>
        <v/>
      </c>
    </row>
    <row r="84" spans="1:4" x14ac:dyDescent="0.25">
      <c r="A84" t="str">
        <f>Datos!C84</f>
        <v>Guachalomo</v>
      </c>
      <c r="B84" t="str">
        <f>IF(ISNUMBER(SEARCH(Calculadora!$C$4,A84)),MAX(B$1:B83)+1,"")</f>
        <v/>
      </c>
      <c r="C84">
        <v>83</v>
      </c>
      <c r="D84" t="str">
        <f t="shared" si="1"/>
        <v/>
      </c>
    </row>
    <row r="85" spans="1:4" x14ac:dyDescent="0.25">
      <c r="A85" t="str">
        <f>Datos!C85</f>
        <v>Lomo centro marinado</v>
      </c>
      <c r="B85" t="str">
        <f>IF(ISNUMBER(SEARCH(Calculadora!$C$4,A85)),MAX(B$1:B84)+1,"")</f>
        <v/>
      </c>
      <c r="C85">
        <v>84</v>
      </c>
      <c r="D85" t="str">
        <f t="shared" si="1"/>
        <v/>
      </c>
    </row>
    <row r="86" spans="1:4" x14ac:dyDescent="0.25">
      <c r="A86" t="str">
        <f>Datos!C86</f>
        <v>Lomo liso</v>
      </c>
      <c r="B86" t="str">
        <f>IF(ISNUMBER(SEARCH(Calculadora!$C$4,A86)),MAX(B$1:B85)+1,"")</f>
        <v/>
      </c>
      <c r="C86">
        <v>85</v>
      </c>
      <c r="D86" t="str">
        <f t="shared" si="1"/>
        <v/>
      </c>
    </row>
    <row r="87" spans="1:4" x14ac:dyDescent="0.25">
      <c r="A87" t="str">
        <f>Datos!C87</f>
        <v>Lomo vetado</v>
      </c>
      <c r="B87" t="str">
        <f>IF(ISNUMBER(SEARCH(Calculadora!$C$4,A87)),MAX(B$1:B86)+1,"")</f>
        <v/>
      </c>
      <c r="C87">
        <v>86</v>
      </c>
      <c r="D87" t="str">
        <f t="shared" si="1"/>
        <v/>
      </c>
    </row>
    <row r="88" spans="1:4" x14ac:dyDescent="0.25">
      <c r="A88" t="str">
        <f>Datos!C88</f>
        <v>Asiento picana</v>
      </c>
      <c r="B88" t="str">
        <f>IF(ISNUMBER(SEARCH(Calculadora!$C$4,A88)),MAX(B$1:B87)+1,"")</f>
        <v/>
      </c>
      <c r="C88">
        <v>87</v>
      </c>
      <c r="D88" t="str">
        <f t="shared" si="1"/>
        <v/>
      </c>
    </row>
    <row r="89" spans="1:4" x14ac:dyDescent="0.25">
      <c r="A89" t="str">
        <f>Datos!C89</f>
        <v>Plateada</v>
      </c>
      <c r="B89" t="str">
        <f>IF(ISNUMBER(SEARCH(Calculadora!$C$4,A89)),MAX(B$1:B88)+1,"")</f>
        <v/>
      </c>
      <c r="C89">
        <v>88</v>
      </c>
      <c r="D89" t="str">
        <f t="shared" si="1"/>
        <v/>
      </c>
    </row>
    <row r="90" spans="1:4" x14ac:dyDescent="0.25">
      <c r="A90" t="str">
        <f>Datos!C90</f>
        <v>Pollo ganso</v>
      </c>
      <c r="B90" t="str">
        <f>IF(ISNUMBER(SEARCH(Calculadora!$C$4,A90)),MAX(B$1:B89)+1,"")</f>
        <v/>
      </c>
      <c r="C90">
        <v>89</v>
      </c>
      <c r="D90" t="str">
        <f t="shared" si="1"/>
        <v/>
      </c>
    </row>
    <row r="91" spans="1:4" x14ac:dyDescent="0.25">
      <c r="A91" t="str">
        <f>Datos!C91</f>
        <v>Posta negra</v>
      </c>
      <c r="B91" t="str">
        <f>IF(ISNUMBER(SEARCH(Calculadora!$C$4,A91)),MAX(B$1:B90)+1,"")</f>
        <v/>
      </c>
      <c r="C91">
        <v>90</v>
      </c>
      <c r="D91" t="str">
        <f t="shared" si="1"/>
        <v/>
      </c>
    </row>
    <row r="92" spans="1:4" x14ac:dyDescent="0.25">
      <c r="A92" t="str">
        <f>Datos!C92</f>
        <v>Posta rosada</v>
      </c>
      <c r="B92" t="str">
        <f>IF(ISNUMBER(SEARCH(Calculadora!$C$4,A92)),MAX(B$1:B91)+1,"")</f>
        <v/>
      </c>
      <c r="C92">
        <v>91</v>
      </c>
      <c r="D92" t="str">
        <f t="shared" si="1"/>
        <v/>
      </c>
    </row>
    <row r="93" spans="1:4" x14ac:dyDescent="0.25">
      <c r="A93" t="str">
        <f>Datos!C93</f>
        <v>Cazuela de vacuno</v>
      </c>
      <c r="B93" t="str">
        <f>IF(ISNUMBER(SEARCH(Calculadora!$C$4,A93)),MAX(B$1:B92)+1,"")</f>
        <v/>
      </c>
      <c r="C93">
        <v>92</v>
      </c>
      <c r="D93" t="str">
        <f t="shared" si="1"/>
        <v/>
      </c>
    </row>
    <row r="94" spans="1:4" x14ac:dyDescent="0.25">
      <c r="A94" t="str">
        <f>Datos!C94</f>
        <v>Carne vacuno</v>
      </c>
      <c r="B94" t="str">
        <f>IF(ISNUMBER(SEARCH(Calculadora!$C$4,A94)),MAX(B$1:B93)+1,"")</f>
        <v/>
      </c>
      <c r="C94">
        <v>93</v>
      </c>
      <c r="D94" t="str">
        <f t="shared" si="1"/>
        <v/>
      </c>
    </row>
    <row r="95" spans="1:4" x14ac:dyDescent="0.25">
      <c r="A95" t="str">
        <f>Datos!C95</f>
        <v>Carne vacuno 5% MG</v>
      </c>
      <c r="B95" t="str">
        <f>IF(ISNUMBER(SEARCH(Calculadora!$C$4,A95)),MAX(B$1:B94)+1,"")</f>
        <v/>
      </c>
      <c r="C95">
        <v>94</v>
      </c>
      <c r="D95" t="str">
        <f t="shared" si="1"/>
        <v/>
      </c>
    </row>
    <row r="96" spans="1:4" x14ac:dyDescent="0.25">
      <c r="A96" t="str">
        <f>Datos!C96</f>
        <v>Carne vacuno 10% MG</v>
      </c>
      <c r="B96" t="str">
        <f>IF(ISNUMBER(SEARCH(Calculadora!$C$4,A96)),MAX(B$1:B95)+1,"")</f>
        <v/>
      </c>
      <c r="C96">
        <v>95</v>
      </c>
      <c r="D96" t="str">
        <f t="shared" si="1"/>
        <v/>
      </c>
    </row>
    <row r="97" spans="1:4" x14ac:dyDescent="0.25">
      <c r="A97" t="str">
        <f>Datos!C97</f>
        <v>Guatita</v>
      </c>
      <c r="B97" t="str">
        <f>IF(ISNUMBER(SEARCH(Calculadora!$C$4,A97)),MAX(B$1:B96)+1,"")</f>
        <v/>
      </c>
      <c r="C97">
        <v>96</v>
      </c>
      <c r="D97" t="str">
        <f t="shared" si="1"/>
        <v/>
      </c>
    </row>
    <row r="98" spans="1:4" x14ac:dyDescent="0.25">
      <c r="A98" t="str">
        <f>Datos!C98</f>
        <v>Molleja o contre de pollo cocido</v>
      </c>
      <c r="B98" t="str">
        <f>IF(ISNUMBER(SEARCH(Calculadora!$C$4,A98)),MAX(B$1:B97)+1,"")</f>
        <v/>
      </c>
      <c r="C98">
        <v>97</v>
      </c>
      <c r="D98" t="str">
        <f t="shared" si="1"/>
        <v/>
      </c>
    </row>
    <row r="99" spans="1:4" x14ac:dyDescent="0.25">
      <c r="A99" t="str">
        <f>Datos!C99</f>
        <v>Corazón de pollo cocido</v>
      </c>
      <c r="B99" t="str">
        <f>IF(ISNUMBER(SEARCH(Calculadora!$C$4,A99)),MAX(B$1:B98)+1,"")</f>
        <v/>
      </c>
      <c r="C99">
        <v>98</v>
      </c>
      <c r="D99" t="str">
        <f t="shared" si="1"/>
        <v/>
      </c>
    </row>
    <row r="100" spans="1:4" x14ac:dyDescent="0.25">
      <c r="A100" t="str">
        <f>Datos!C100</f>
        <v>Riñón de vacuno cocido</v>
      </c>
      <c r="B100" t="str">
        <f>IF(ISNUMBER(SEARCH(Calculadora!$C$4,A100)),MAX(B$1:B99)+1,"")</f>
        <v/>
      </c>
      <c r="C100">
        <v>99</v>
      </c>
      <c r="D100" t="str">
        <f t="shared" si="1"/>
        <v/>
      </c>
    </row>
    <row r="101" spans="1:4" x14ac:dyDescent="0.25">
      <c r="A101" t="str">
        <f>Datos!C101</f>
        <v>Criadillas de vacuno</v>
      </c>
      <c r="B101" t="str">
        <f>IF(ISNUMBER(SEARCH(Calculadora!$C$4,A101)),MAX(B$1:B100)+1,"")</f>
        <v/>
      </c>
      <c r="C101">
        <v>100</v>
      </c>
      <c r="D101" t="str">
        <f t="shared" si="1"/>
        <v/>
      </c>
    </row>
    <row r="102" spans="1:4" x14ac:dyDescent="0.25">
      <c r="A102" t="str">
        <f>Datos!C102</f>
        <v>Arrollado de huaso</v>
      </c>
      <c r="B102" t="str">
        <f>IF(ISNUMBER(SEARCH(Calculadora!$C$4,A102)),MAX(B$1:B101)+1,"")</f>
        <v/>
      </c>
      <c r="C102">
        <v>101</v>
      </c>
      <c r="D102" t="str">
        <f t="shared" si="1"/>
        <v/>
      </c>
    </row>
    <row r="103" spans="1:4" x14ac:dyDescent="0.25">
      <c r="A103" t="str">
        <f>Datos!C103</f>
        <v>Proteína de soja (carne vegetal)</v>
      </c>
      <c r="B103" t="str">
        <f>IF(ISNUMBER(SEARCH(Calculadora!$C$4,A103)),MAX(B$1:B102)+1,"")</f>
        <v/>
      </c>
      <c r="C103">
        <v>102</v>
      </c>
      <c r="D103" t="str">
        <f t="shared" si="1"/>
        <v/>
      </c>
    </row>
    <row r="104" spans="1:4" x14ac:dyDescent="0.25">
      <c r="A104" t="str">
        <f>Datos!C104</f>
        <v>Charqui de vacuno</v>
      </c>
      <c r="B104" t="str">
        <f>IF(ISNUMBER(SEARCH(Calculadora!$C$4,A104)),MAX(B$1:B103)+1,"")</f>
        <v/>
      </c>
      <c r="C104">
        <v>103</v>
      </c>
      <c r="D104" t="str">
        <f t="shared" si="1"/>
        <v/>
      </c>
    </row>
    <row r="105" spans="1:4" x14ac:dyDescent="0.25">
      <c r="A105" t="str">
        <f>Datos!C105</f>
        <v>Choricillo cocido</v>
      </c>
      <c r="B105" t="str">
        <f>IF(ISNUMBER(SEARCH(Calculadora!$C$4,A105)),MAX(B$1:B104)+1,"")</f>
        <v/>
      </c>
      <c r="C105">
        <v>104</v>
      </c>
      <c r="D105" t="str">
        <f t="shared" si="1"/>
        <v/>
      </c>
    </row>
    <row r="106" spans="1:4" x14ac:dyDescent="0.25">
      <c r="A106" t="str">
        <f>Datos!C106</f>
        <v>Chorizo</v>
      </c>
      <c r="B106" t="str">
        <f>IF(ISNUMBER(SEARCH(Calculadora!$C$4,A106)),MAX(B$1:B105)+1,"")</f>
        <v/>
      </c>
      <c r="C106">
        <v>105</v>
      </c>
      <c r="D106" t="str">
        <f t="shared" si="1"/>
        <v/>
      </c>
    </row>
    <row r="107" spans="1:4" x14ac:dyDescent="0.25">
      <c r="A107" t="str">
        <f>Datos!C107</f>
        <v>Hígado de cordero cocido</v>
      </c>
      <c r="B107" t="str">
        <f>IF(ISNUMBER(SEARCH(Calculadora!$C$4,A107)),MAX(B$1:B106)+1,"")</f>
        <v/>
      </c>
      <c r="C107">
        <v>106</v>
      </c>
      <c r="D107" t="str">
        <f t="shared" si="1"/>
        <v/>
      </c>
    </row>
    <row r="108" spans="1:4" x14ac:dyDescent="0.25">
      <c r="A108" t="str">
        <f>Datos!C108</f>
        <v>Hígado de pollo cocido</v>
      </c>
      <c r="B108" t="str">
        <f>IF(ISNUMBER(SEARCH(Calculadora!$C$4,A108)),MAX(B$1:B107)+1,"")</f>
        <v/>
      </c>
      <c r="C108">
        <v>107</v>
      </c>
      <c r="D108" t="str">
        <f t="shared" si="1"/>
        <v/>
      </c>
    </row>
    <row r="109" spans="1:4" x14ac:dyDescent="0.25">
      <c r="A109" t="str">
        <f>Datos!C109</f>
        <v>Hígado de vacuno cocido</v>
      </c>
      <c r="B109" t="str">
        <f>IF(ISNUMBER(SEARCH(Calculadora!$C$4,A109)),MAX(B$1:B108)+1,"")</f>
        <v/>
      </c>
      <c r="C109">
        <v>108</v>
      </c>
      <c r="D109" t="str">
        <f t="shared" si="1"/>
        <v/>
      </c>
    </row>
    <row r="110" spans="1:4" x14ac:dyDescent="0.25">
      <c r="A110" t="str">
        <f>Datos!C110</f>
        <v>Lengua de vacuno</v>
      </c>
      <c r="B110" t="str">
        <f>IF(ISNUMBER(SEARCH(Calculadora!$C$4,A110)),MAX(B$1:B109)+1,"")</f>
        <v/>
      </c>
      <c r="C110">
        <v>109</v>
      </c>
      <c r="D110" t="str">
        <f t="shared" si="1"/>
        <v/>
      </c>
    </row>
    <row r="111" spans="1:4" x14ac:dyDescent="0.25">
      <c r="A111" t="str">
        <f>Datos!C111</f>
        <v>Lengua vacuno cocida</v>
      </c>
      <c r="B111" t="str">
        <f>IF(ISNUMBER(SEARCH(Calculadora!$C$4,A111)),MAX(B$1:B110)+1,"")</f>
        <v/>
      </c>
      <c r="C111">
        <v>110</v>
      </c>
      <c r="D111" t="str">
        <f t="shared" si="1"/>
        <v/>
      </c>
    </row>
    <row r="112" spans="1:4" x14ac:dyDescent="0.25">
      <c r="A112" t="str">
        <f>Datos!C112</f>
        <v>Ubre</v>
      </c>
      <c r="B112" t="str">
        <f>IF(ISNUMBER(SEARCH(Calculadora!$C$4,A112)),MAX(B$1:B111)+1,"")</f>
        <v/>
      </c>
      <c r="C112">
        <v>111</v>
      </c>
      <c r="D112" t="str">
        <f t="shared" si="1"/>
        <v/>
      </c>
    </row>
    <row r="113" spans="1:4" x14ac:dyDescent="0.25">
      <c r="A113" t="str">
        <f>Datos!C113</f>
        <v>Jamón de cerdo</v>
      </c>
      <c r="B113" t="str">
        <f>IF(ISNUMBER(SEARCH(Calculadora!$C$4,A113)),MAX(B$1:B112)+1,"")</f>
        <v/>
      </c>
      <c r="C113">
        <v>112</v>
      </c>
      <c r="D113" t="str">
        <f t="shared" si="1"/>
        <v/>
      </c>
    </row>
    <row r="114" spans="1:4" x14ac:dyDescent="0.25">
      <c r="A114" t="str">
        <f>Datos!C114</f>
        <v>Jamón cerdo extramagro</v>
      </c>
      <c r="B114" t="str">
        <f>IF(ISNUMBER(SEARCH(Calculadora!$C$4,A114)),MAX(B$1:B113)+1,"")</f>
        <v/>
      </c>
      <c r="C114">
        <v>113</v>
      </c>
      <c r="D114" t="str">
        <f t="shared" si="1"/>
        <v/>
      </c>
    </row>
    <row r="115" spans="1:4" x14ac:dyDescent="0.25">
      <c r="A115" t="str">
        <f>Datos!C115</f>
        <v>Jamón crudo</v>
      </c>
      <c r="B115" t="str">
        <f>IF(ISNUMBER(SEARCH(Calculadora!$C$4,A115)),MAX(B$1:B114)+1,"")</f>
        <v/>
      </c>
      <c r="C115">
        <v>114</v>
      </c>
      <c r="D115" t="str">
        <f t="shared" si="1"/>
        <v/>
      </c>
    </row>
    <row r="116" spans="1:4" x14ac:dyDescent="0.25">
      <c r="A116" t="str">
        <f>Datos!C116</f>
        <v>Jamón pavo</v>
      </c>
      <c r="B116" t="str">
        <f>IF(ISNUMBER(SEARCH(Calculadora!$C$4,A116)),MAX(B$1:B115)+1,"")</f>
        <v/>
      </c>
      <c r="C116">
        <v>115</v>
      </c>
      <c r="D116" t="str">
        <f t="shared" si="1"/>
        <v/>
      </c>
    </row>
    <row r="117" spans="1:4" x14ac:dyDescent="0.25">
      <c r="A117" t="str">
        <f>Datos!C117</f>
        <v>Jamón de pavo ahumado</v>
      </c>
      <c r="B117" t="str">
        <f>IF(ISNUMBER(SEARCH(Calculadora!$C$4,A117)),MAX(B$1:B116)+1,"")</f>
        <v/>
      </c>
      <c r="C117">
        <v>116</v>
      </c>
      <c r="D117" t="str">
        <f t="shared" si="1"/>
        <v/>
      </c>
    </row>
    <row r="118" spans="1:4" x14ac:dyDescent="0.25">
      <c r="A118" t="str">
        <f>Datos!C118</f>
        <v>Jamón pavo acaramelado</v>
      </c>
      <c r="B118" t="str">
        <f>IF(ISNUMBER(SEARCH(Calculadora!$C$4,A118)),MAX(B$1:B117)+1,"")</f>
        <v/>
      </c>
      <c r="C118">
        <v>117</v>
      </c>
      <c r="D118" t="str">
        <f t="shared" si="1"/>
        <v/>
      </c>
    </row>
    <row r="119" spans="1:4" x14ac:dyDescent="0.25">
      <c r="A119" t="str">
        <f>Datos!C119</f>
        <v>Jamón picado</v>
      </c>
      <c r="B119" t="str">
        <f>IF(ISNUMBER(SEARCH(Calculadora!$C$4,A119)),MAX(B$1:B118)+1,"")</f>
        <v/>
      </c>
      <c r="C119">
        <v>118</v>
      </c>
      <c r="D119" t="str">
        <f t="shared" si="1"/>
        <v/>
      </c>
    </row>
    <row r="120" spans="1:4" x14ac:dyDescent="0.25">
      <c r="A120" t="str">
        <f>Datos!C120</f>
        <v>Longaniza (fuente 3)</v>
      </c>
      <c r="B120" t="str">
        <f>IF(ISNUMBER(SEARCH(Calculadora!$C$4,A120)),MAX(B$1:B119)+1,"")</f>
        <v/>
      </c>
      <c r="C120">
        <v>119</v>
      </c>
      <c r="D120" t="str">
        <f t="shared" si="1"/>
        <v/>
      </c>
    </row>
    <row r="121" spans="1:4" x14ac:dyDescent="0.25">
      <c r="A121" t="str">
        <f>Datos!C121</f>
        <v>Longaniza (fuente 1)</v>
      </c>
      <c r="B121" t="str">
        <f>IF(ISNUMBER(SEARCH(Calculadora!$C$4,A121)),MAX(B$1:B120)+1,"")</f>
        <v/>
      </c>
      <c r="C121">
        <v>120</v>
      </c>
      <c r="D121" t="str">
        <f t="shared" si="1"/>
        <v/>
      </c>
    </row>
    <row r="122" spans="1:4" x14ac:dyDescent="0.25">
      <c r="A122" t="str">
        <f>Datos!C122</f>
        <v>Mortadela</v>
      </c>
      <c r="B122" t="str">
        <f>IF(ISNUMBER(SEARCH(Calculadora!$C$4,A122)),MAX(B$1:B121)+1,"")</f>
        <v/>
      </c>
      <c r="C122">
        <v>121</v>
      </c>
      <c r="D122" t="str">
        <f t="shared" si="1"/>
        <v/>
      </c>
    </row>
    <row r="123" spans="1:4" x14ac:dyDescent="0.25">
      <c r="A123" t="str">
        <f>Datos!C123</f>
        <v>Nugget de pollo</v>
      </c>
      <c r="B123" t="str">
        <f>IF(ISNUMBER(SEARCH(Calculadora!$C$4,A123)),MAX(B$1:B122)+1,"")</f>
        <v/>
      </c>
      <c r="C123">
        <v>122</v>
      </c>
      <c r="D123" t="str">
        <f t="shared" si="1"/>
        <v/>
      </c>
    </row>
    <row r="124" spans="1:4" x14ac:dyDescent="0.25">
      <c r="A124" t="str">
        <f>Datos!C124</f>
        <v>Paté (fuente 2)</v>
      </c>
      <c r="B124" t="str">
        <f>IF(ISNUMBER(SEARCH(Calculadora!$C$4,A124)),MAX(B$1:B123)+1,"")</f>
        <v/>
      </c>
      <c r="C124">
        <v>123</v>
      </c>
      <c r="D124" t="str">
        <f t="shared" si="1"/>
        <v/>
      </c>
    </row>
    <row r="125" spans="1:4" x14ac:dyDescent="0.25">
      <c r="A125" t="str">
        <f>Datos!C125</f>
        <v>Paté (fuente 1)</v>
      </c>
      <c r="B125" t="str">
        <f>IF(ISNUMBER(SEARCH(Calculadora!$C$4,A125)),MAX(B$1:B124)+1,"")</f>
        <v/>
      </c>
      <c r="C125">
        <v>124</v>
      </c>
      <c r="D125" t="str">
        <f t="shared" si="1"/>
        <v/>
      </c>
    </row>
    <row r="126" spans="1:4" x14ac:dyDescent="0.25">
      <c r="A126" t="str">
        <f>Datos!C126</f>
        <v>Pechuga pavo ahumado</v>
      </c>
      <c r="B126" t="str">
        <f>IF(ISNUMBER(SEARCH(Calculadora!$C$4,A126)),MAX(B$1:B125)+1,"")</f>
        <v/>
      </c>
      <c r="C126">
        <v>125</v>
      </c>
      <c r="D126" t="str">
        <f t="shared" si="1"/>
        <v/>
      </c>
    </row>
    <row r="127" spans="1:4" x14ac:dyDescent="0.25">
      <c r="A127" t="str">
        <f>Datos!C127</f>
        <v>Pechuga pavo cocida (fuente 3)</v>
      </c>
      <c r="B127" t="str">
        <f>IF(ISNUMBER(SEARCH(Calculadora!$C$4,A127)),MAX(B$1:B126)+1,"")</f>
        <v/>
      </c>
      <c r="C127">
        <v>126</v>
      </c>
      <c r="D127" t="str">
        <f t="shared" si="1"/>
        <v/>
      </c>
    </row>
    <row r="128" spans="1:4" x14ac:dyDescent="0.25">
      <c r="A128" t="str">
        <f>Datos!C128</f>
        <v>Pechuga pavo cocida (fuente 1)</v>
      </c>
      <c r="B128" t="str">
        <f>IF(ISNUMBER(SEARCH(Calculadora!$C$4,A128)),MAX(B$1:B127)+1,"")</f>
        <v/>
      </c>
      <c r="C128">
        <v>127</v>
      </c>
      <c r="D128" t="str">
        <f t="shared" si="1"/>
        <v/>
      </c>
    </row>
    <row r="129" spans="1:4" x14ac:dyDescent="0.25">
      <c r="A129" t="str">
        <f>Datos!C129</f>
        <v>Pechuga de pollo cocida</v>
      </c>
      <c r="B129" t="str">
        <f>IF(ISNUMBER(SEARCH(Calculadora!$C$4,A129)),MAX(B$1:B128)+1,"")</f>
        <v/>
      </c>
      <c r="C129">
        <v>128</v>
      </c>
      <c r="D129" t="str">
        <f t="shared" si="1"/>
        <v/>
      </c>
    </row>
    <row r="130" spans="1:4" x14ac:dyDescent="0.25">
      <c r="A130" t="str">
        <f>Datos!C130</f>
        <v>Pepperoni</v>
      </c>
      <c r="B130" t="str">
        <f>IF(ISNUMBER(SEARCH(Calculadora!$C$4,A130)),MAX(B$1:B129)+1,"")</f>
        <v/>
      </c>
      <c r="C130">
        <v>129</v>
      </c>
      <c r="D130" t="str">
        <f t="shared" ref="D130:D193" si="2">IFERROR(INDEX($A$2:$A$647,MATCH(C130,$B$2:$B$647,0)),"")</f>
        <v/>
      </c>
    </row>
    <row r="131" spans="1:4" x14ac:dyDescent="0.25">
      <c r="A131" t="str">
        <f>Datos!C131</f>
        <v>Pernil</v>
      </c>
      <c r="B131" t="str">
        <f>IF(ISNUMBER(SEARCH(Calculadora!$C$4,A131)),MAX(B$1:B130)+1,"")</f>
        <v/>
      </c>
      <c r="C131">
        <v>130</v>
      </c>
      <c r="D131" t="str">
        <f t="shared" si="2"/>
        <v/>
      </c>
    </row>
    <row r="132" spans="1:4" x14ac:dyDescent="0.25">
      <c r="A132" t="str">
        <f>Datos!C132</f>
        <v>Prieta (fuente 3)</v>
      </c>
      <c r="B132" t="str">
        <f>IF(ISNUMBER(SEARCH(Calculadora!$C$4,A132)),MAX(B$1:B131)+1,"")</f>
        <v/>
      </c>
      <c r="C132">
        <v>131</v>
      </c>
      <c r="D132" t="str">
        <f t="shared" si="2"/>
        <v/>
      </c>
    </row>
    <row r="133" spans="1:4" x14ac:dyDescent="0.25">
      <c r="A133" t="str">
        <f>Datos!C133</f>
        <v>Prieta (fuente 1)</v>
      </c>
      <c r="B133" t="str">
        <f>IF(ISNUMBER(SEARCH(Calculadora!$C$4,A133)),MAX(B$1:B132)+1,"")</f>
        <v/>
      </c>
      <c r="C133">
        <v>132</v>
      </c>
      <c r="D133" t="str">
        <f t="shared" si="2"/>
        <v/>
      </c>
    </row>
    <row r="134" spans="1:4" x14ac:dyDescent="0.25">
      <c r="A134" t="str">
        <f>Datos!C134</f>
        <v>Queso cabeza (fuente 3)</v>
      </c>
      <c r="B134" t="str">
        <f>IF(ISNUMBER(SEARCH(Calculadora!$C$4,A134)),MAX(B$1:B133)+1,"")</f>
        <v/>
      </c>
      <c r="C134">
        <v>133</v>
      </c>
      <c r="D134" t="str">
        <f t="shared" si="2"/>
        <v/>
      </c>
    </row>
    <row r="135" spans="1:4" x14ac:dyDescent="0.25">
      <c r="A135" t="str">
        <f>Datos!C135</f>
        <v>Queso cabeza (fuente 2)</v>
      </c>
      <c r="B135" t="str">
        <f>IF(ISNUMBER(SEARCH(Calculadora!$C$4,A135)),MAX(B$1:B134)+1,"")</f>
        <v/>
      </c>
      <c r="C135">
        <v>134</v>
      </c>
      <c r="D135" t="str">
        <f t="shared" si="2"/>
        <v/>
      </c>
    </row>
    <row r="136" spans="1:4" x14ac:dyDescent="0.25">
      <c r="A136" t="str">
        <f>Datos!C136</f>
        <v>Salame (fuente 4)</v>
      </c>
      <c r="B136" t="str">
        <f>IF(ISNUMBER(SEARCH(Calculadora!$C$4,A136)),MAX(B$1:B135)+1,"")</f>
        <v/>
      </c>
      <c r="C136">
        <v>135</v>
      </c>
      <c r="D136" t="str">
        <f t="shared" si="2"/>
        <v/>
      </c>
    </row>
    <row r="137" spans="1:4" x14ac:dyDescent="0.25">
      <c r="A137" t="str">
        <f>Datos!C137</f>
        <v>Salame (fuente 1)</v>
      </c>
      <c r="B137" t="str">
        <f>IF(ISNUMBER(SEARCH(Calculadora!$C$4,A137)),MAX(B$1:B136)+1,"")</f>
        <v/>
      </c>
      <c r="C137">
        <v>136</v>
      </c>
      <c r="D137" t="str">
        <f t="shared" si="2"/>
        <v/>
      </c>
    </row>
    <row r="138" spans="1:4" x14ac:dyDescent="0.25">
      <c r="A138" t="str">
        <f>Datos!C138</f>
        <v>Seso cocido</v>
      </c>
      <c r="B138" t="str">
        <f>IF(ISNUMBER(SEARCH(Calculadora!$C$4,A138)),MAX(B$1:B137)+1,"")</f>
        <v/>
      </c>
      <c r="C138">
        <v>137</v>
      </c>
      <c r="D138" t="str">
        <f t="shared" si="2"/>
        <v/>
      </c>
    </row>
    <row r="139" spans="1:4" x14ac:dyDescent="0.25">
      <c r="A139" t="str">
        <f>Datos!C139</f>
        <v>Tocino</v>
      </c>
      <c r="B139" t="str">
        <f>IF(ISNUMBER(SEARCH(Calculadora!$C$4,A139)),MAX(B$1:B138)+1,"")</f>
        <v/>
      </c>
      <c r="C139">
        <v>138</v>
      </c>
      <c r="D139" t="str">
        <f t="shared" si="2"/>
        <v/>
      </c>
    </row>
    <row r="140" spans="1:4" x14ac:dyDescent="0.25">
      <c r="A140" t="str">
        <f>Datos!C140</f>
        <v>Turín</v>
      </c>
      <c r="B140" t="str">
        <f>IF(ISNUMBER(SEARCH(Calculadora!$C$4,A140)),MAX(B$1:B139)+1,"")</f>
        <v/>
      </c>
      <c r="C140">
        <v>139</v>
      </c>
      <c r="D140" t="str">
        <f t="shared" si="2"/>
        <v/>
      </c>
    </row>
    <row r="141" spans="1:4" x14ac:dyDescent="0.25">
      <c r="A141" t="str">
        <f>Datos!C141</f>
        <v>Vienesa</v>
      </c>
      <c r="B141" t="str">
        <f>IF(ISNUMBER(SEARCH(Calculadora!$C$4,A141)),MAX(B$1:B140)+1,"")</f>
        <v/>
      </c>
      <c r="C141">
        <v>140</v>
      </c>
      <c r="D141" t="str">
        <f t="shared" si="2"/>
        <v/>
      </c>
    </row>
    <row r="142" spans="1:4" x14ac:dyDescent="0.25">
      <c r="A142" t="str">
        <f>Datos!C142</f>
        <v>Vienesa de pavo</v>
      </c>
      <c r="B142" t="str">
        <f>IF(ISNUMBER(SEARCH(Calculadora!$C$4,A142)),MAX(B$1:B141)+1,"")</f>
        <v/>
      </c>
      <c r="C142">
        <v>141</v>
      </c>
      <c r="D142" t="str">
        <f t="shared" si="2"/>
        <v/>
      </c>
    </row>
    <row r="143" spans="1:4" x14ac:dyDescent="0.25">
      <c r="A143" t="str">
        <f>Datos!C143</f>
        <v>Vienesa de pollo</v>
      </c>
      <c r="B143" t="str">
        <f>IF(ISNUMBER(SEARCH(Calculadora!$C$4,A143)),MAX(B$1:B142)+1,"")</f>
        <v/>
      </c>
      <c r="C143">
        <v>142</v>
      </c>
      <c r="D143" t="str">
        <f t="shared" si="2"/>
        <v/>
      </c>
    </row>
    <row r="144" spans="1:4" x14ac:dyDescent="0.25">
      <c r="A144" t="str">
        <f>Datos!C144</f>
        <v>Almeja</v>
      </c>
      <c r="B144" t="str">
        <f>IF(ISNUMBER(SEARCH(Calculadora!$C$4,A144)),MAX(B$1:B143)+1,"")</f>
        <v/>
      </c>
      <c r="C144">
        <v>143</v>
      </c>
      <c r="D144" t="str">
        <f t="shared" si="2"/>
        <v/>
      </c>
    </row>
    <row r="145" spans="1:4" x14ac:dyDescent="0.25">
      <c r="A145" t="str">
        <f>Datos!C145</f>
        <v>Almeja conserva en agua</v>
      </c>
      <c r="B145" t="str">
        <f>IF(ISNUMBER(SEARCH(Calculadora!$C$4,A145)),MAX(B$1:B144)+1,"")</f>
        <v/>
      </c>
      <c r="C145">
        <v>144</v>
      </c>
      <c r="D145" t="str">
        <f t="shared" si="2"/>
        <v/>
      </c>
    </row>
    <row r="146" spans="1:4" x14ac:dyDescent="0.25">
      <c r="A146" t="str">
        <f>Datos!C146</f>
        <v>Caracol de mar</v>
      </c>
      <c r="B146" t="str">
        <f>IF(ISNUMBER(SEARCH(Calculadora!$C$4,A146)),MAX(B$1:B145)+1,"")</f>
        <v/>
      </c>
      <c r="C146">
        <v>145</v>
      </c>
      <c r="D146" t="str">
        <f t="shared" si="2"/>
        <v/>
      </c>
    </row>
    <row r="147" spans="1:4" x14ac:dyDescent="0.25">
      <c r="A147" t="str">
        <f>Datos!C147</f>
        <v>Cholga en agua</v>
      </c>
      <c r="B147" t="str">
        <f>IF(ISNUMBER(SEARCH(Calculadora!$C$4,A147)),MAX(B$1:B146)+1,"")</f>
        <v/>
      </c>
      <c r="C147">
        <v>146</v>
      </c>
      <c r="D147" t="str">
        <f t="shared" si="2"/>
        <v/>
      </c>
    </row>
    <row r="148" spans="1:4" x14ac:dyDescent="0.25">
      <c r="A148" t="str">
        <f>Datos!C148</f>
        <v>Cholga conserva en aceite</v>
      </c>
      <c r="B148" t="str">
        <f>IF(ISNUMBER(SEARCH(Calculadora!$C$4,A148)),MAX(B$1:B147)+1,"")</f>
        <v/>
      </c>
      <c r="C148">
        <v>147</v>
      </c>
      <c r="D148" t="str">
        <f t="shared" si="2"/>
        <v/>
      </c>
    </row>
    <row r="149" spans="1:4" x14ac:dyDescent="0.25">
      <c r="A149" t="str">
        <f>Datos!C149</f>
        <v>Chorito conserva en aceite</v>
      </c>
      <c r="B149" t="str">
        <f>IF(ISNUMBER(SEARCH(Calculadora!$C$4,A149)),MAX(B$1:B148)+1,"")</f>
        <v/>
      </c>
      <c r="C149">
        <v>148</v>
      </c>
      <c r="D149" t="str">
        <f t="shared" si="2"/>
        <v/>
      </c>
    </row>
    <row r="150" spans="1:4" x14ac:dyDescent="0.25">
      <c r="A150" t="str">
        <f>Datos!C150</f>
        <v>Chorito en agua</v>
      </c>
      <c r="B150" t="str">
        <f>IF(ISNUMBER(SEARCH(Calculadora!$C$4,A150)),MAX(B$1:B149)+1,"")</f>
        <v/>
      </c>
      <c r="C150">
        <v>149</v>
      </c>
      <c r="D150" t="str">
        <f t="shared" si="2"/>
        <v/>
      </c>
    </row>
    <row r="151" spans="1:4" x14ac:dyDescent="0.25">
      <c r="A151" t="str">
        <f>Datos!C151</f>
        <v>Chorito</v>
      </c>
      <c r="B151" t="str">
        <f>IF(ISNUMBER(SEARCH(Calculadora!$C$4,A151)),MAX(B$1:B150)+1,"")</f>
        <v/>
      </c>
      <c r="C151">
        <v>150</v>
      </c>
      <c r="D151" t="str">
        <f t="shared" si="2"/>
        <v/>
      </c>
    </row>
    <row r="152" spans="1:4" x14ac:dyDescent="0.25">
      <c r="A152" t="str">
        <f>Datos!C152</f>
        <v>Erizo</v>
      </c>
      <c r="B152" t="str">
        <f>IF(ISNUMBER(SEARCH(Calculadora!$C$4,A152)),MAX(B$1:B151)+1,"")</f>
        <v/>
      </c>
      <c r="C152">
        <v>151</v>
      </c>
      <c r="D152" t="str">
        <f t="shared" si="2"/>
        <v/>
      </c>
    </row>
    <row r="153" spans="1:4" x14ac:dyDescent="0.25">
      <c r="A153" t="str">
        <f>Datos!C153</f>
        <v>Jibia</v>
      </c>
      <c r="B153" t="str">
        <f>IF(ISNUMBER(SEARCH(Calculadora!$C$4,A153)),MAX(B$1:B152)+1,"")</f>
        <v/>
      </c>
      <c r="C153">
        <v>152</v>
      </c>
      <c r="D153" t="str">
        <f t="shared" si="2"/>
        <v/>
      </c>
    </row>
    <row r="154" spans="1:4" x14ac:dyDescent="0.25">
      <c r="A154" t="str">
        <f>Datos!C154</f>
        <v>Loco</v>
      </c>
      <c r="B154" t="str">
        <f>IF(ISNUMBER(SEARCH(Calculadora!$C$4,A154)),MAX(B$1:B153)+1,"")</f>
        <v/>
      </c>
      <c r="C154">
        <v>153</v>
      </c>
      <c r="D154" t="str">
        <f t="shared" si="2"/>
        <v/>
      </c>
    </row>
    <row r="155" spans="1:4" x14ac:dyDescent="0.25">
      <c r="A155" t="str">
        <f>Datos!C155</f>
        <v>Macha en conserva en agua</v>
      </c>
      <c r="B155" t="str">
        <f>IF(ISNUMBER(SEARCH(Calculadora!$C$4,A155)),MAX(B$1:B154)+1,"")</f>
        <v/>
      </c>
      <c r="C155">
        <v>154</v>
      </c>
      <c r="D155" t="str">
        <f t="shared" si="2"/>
        <v/>
      </c>
    </row>
    <row r="156" spans="1:4" x14ac:dyDescent="0.25">
      <c r="A156" t="str">
        <f>Datos!C156</f>
        <v>Navajuela</v>
      </c>
      <c r="B156" t="str">
        <f>IF(ISNUMBER(SEARCH(Calculadora!$C$4,A156)),MAX(B$1:B155)+1,"")</f>
        <v/>
      </c>
      <c r="C156">
        <v>155</v>
      </c>
      <c r="D156" t="str">
        <f t="shared" si="2"/>
        <v/>
      </c>
    </row>
    <row r="157" spans="1:4" x14ac:dyDescent="0.25">
      <c r="A157" t="str">
        <f>Datos!C157</f>
        <v>Ostra</v>
      </c>
      <c r="B157" t="str">
        <f>IF(ISNUMBER(SEARCH(Calculadora!$C$4,A157)),MAX(B$1:B156)+1,"")</f>
        <v/>
      </c>
      <c r="C157">
        <v>156</v>
      </c>
      <c r="D157" t="str">
        <f t="shared" si="2"/>
        <v/>
      </c>
    </row>
    <row r="158" spans="1:4" x14ac:dyDescent="0.25">
      <c r="A158" t="str">
        <f>Datos!C158</f>
        <v>Piure</v>
      </c>
      <c r="B158" t="str">
        <f>IF(ISNUMBER(SEARCH(Calculadora!$C$4,A158)),MAX(B$1:B157)+1,"")</f>
        <v/>
      </c>
      <c r="C158">
        <v>157</v>
      </c>
      <c r="D158" t="str">
        <f t="shared" si="2"/>
        <v/>
      </c>
    </row>
    <row r="159" spans="1:4" x14ac:dyDescent="0.25">
      <c r="A159" t="str">
        <f>Datos!C159</f>
        <v>Camarón</v>
      </c>
      <c r="B159" t="str">
        <f>IF(ISNUMBER(SEARCH(Calculadora!$C$4,A159)),MAX(B$1:B158)+1,"")</f>
        <v/>
      </c>
      <c r="C159">
        <v>158</v>
      </c>
      <c r="D159" t="str">
        <f t="shared" si="2"/>
        <v/>
      </c>
    </row>
    <row r="160" spans="1:4" x14ac:dyDescent="0.25">
      <c r="A160" t="str">
        <f>Datos!C160</f>
        <v>Camarón congelado</v>
      </c>
      <c r="B160" t="str">
        <f>IF(ISNUMBER(SEARCH(Calculadora!$C$4,A160)),MAX(B$1:B159)+1,"")</f>
        <v/>
      </c>
      <c r="C160">
        <v>159</v>
      </c>
      <c r="D160" t="str">
        <f t="shared" si="2"/>
        <v/>
      </c>
    </row>
    <row r="161" spans="1:4" x14ac:dyDescent="0.25">
      <c r="A161" t="str">
        <f>Datos!C161</f>
        <v>Centolla</v>
      </c>
      <c r="B161" t="str">
        <f>IF(ISNUMBER(SEARCH(Calculadora!$C$4,A161)),MAX(B$1:B160)+1,"")</f>
        <v/>
      </c>
      <c r="C161">
        <v>160</v>
      </c>
      <c r="D161" t="str">
        <f t="shared" si="2"/>
        <v/>
      </c>
    </row>
    <row r="162" spans="1:4" x14ac:dyDescent="0.25">
      <c r="A162" t="str">
        <f>Datos!C162</f>
        <v>Centollón</v>
      </c>
      <c r="B162" t="str">
        <f>IF(ISNUMBER(SEARCH(Calculadora!$C$4,A162)),MAX(B$1:B161)+1,"")</f>
        <v/>
      </c>
      <c r="C162">
        <v>161</v>
      </c>
      <c r="D162" t="str">
        <f t="shared" si="2"/>
        <v/>
      </c>
    </row>
    <row r="163" spans="1:4" x14ac:dyDescent="0.25">
      <c r="A163" t="str">
        <f>Datos!C163</f>
        <v>Jaiva</v>
      </c>
      <c r="B163" t="str">
        <f>IF(ISNUMBER(SEARCH(Calculadora!$C$4,A163)),MAX(B$1:B162)+1,"")</f>
        <v/>
      </c>
      <c r="C163">
        <v>162</v>
      </c>
      <c r="D163" t="str">
        <f t="shared" si="2"/>
        <v/>
      </c>
    </row>
    <row r="164" spans="1:4" x14ac:dyDescent="0.25">
      <c r="A164" t="str">
        <f>Datos!C164</f>
        <v>Atún conserva en agua (fuente 4)</v>
      </c>
      <c r="B164" t="str">
        <f>IF(ISNUMBER(SEARCH(Calculadora!$C$4,A164)),MAX(B$1:B163)+1,"")</f>
        <v/>
      </c>
      <c r="C164">
        <v>163</v>
      </c>
      <c r="D164" t="str">
        <f t="shared" si="2"/>
        <v/>
      </c>
    </row>
    <row r="165" spans="1:4" x14ac:dyDescent="0.25">
      <c r="A165" t="str">
        <f>Datos!C165</f>
        <v>Atún conserva en agua (fuente 1)</v>
      </c>
      <c r="B165" t="str">
        <f>IF(ISNUMBER(SEARCH(Calculadora!$C$4,A165)),MAX(B$1:B164)+1,"")</f>
        <v/>
      </c>
      <c r="C165">
        <v>164</v>
      </c>
      <c r="D165" t="str">
        <f t="shared" si="2"/>
        <v/>
      </c>
    </row>
    <row r="166" spans="1:4" x14ac:dyDescent="0.25">
      <c r="A166" t="str">
        <f>Datos!C166</f>
        <v>Atún conserva en aceite</v>
      </c>
      <c r="B166" t="str">
        <f>IF(ISNUMBER(SEARCH(Calculadora!$C$4,A166)),MAX(B$1:B165)+1,"")</f>
        <v/>
      </c>
      <c r="C166">
        <v>165</v>
      </c>
      <c r="D166" t="str">
        <f t="shared" si="2"/>
        <v/>
      </c>
    </row>
    <row r="167" spans="1:4" x14ac:dyDescent="0.25">
      <c r="A167" t="str">
        <f>Datos!C167</f>
        <v>Cojinova</v>
      </c>
      <c r="B167" t="str">
        <f>IF(ISNUMBER(SEARCH(Calculadora!$C$4,A167)),MAX(B$1:B166)+1,"")</f>
        <v/>
      </c>
      <c r="C167">
        <v>166</v>
      </c>
      <c r="D167" t="str">
        <f t="shared" si="2"/>
        <v/>
      </c>
    </row>
    <row r="168" spans="1:4" x14ac:dyDescent="0.25">
      <c r="A168" t="str">
        <f>Datos!C168</f>
        <v>Congrio colorado</v>
      </c>
      <c r="B168" t="str">
        <f>IF(ISNUMBER(SEARCH(Calculadora!$C$4,A168)),MAX(B$1:B167)+1,"")</f>
        <v/>
      </c>
      <c r="C168">
        <v>167</v>
      </c>
      <c r="D168" t="str">
        <f t="shared" si="2"/>
        <v/>
      </c>
    </row>
    <row r="169" spans="1:4" x14ac:dyDescent="0.25">
      <c r="A169" t="str">
        <f>Datos!C169</f>
        <v>Congrio dorado</v>
      </c>
      <c r="B169" t="str">
        <f>IF(ISNUMBER(SEARCH(Calculadora!$C$4,A169)),MAX(B$1:B168)+1,"")</f>
        <v/>
      </c>
      <c r="C169">
        <v>168</v>
      </c>
      <c r="D169" t="str">
        <f t="shared" si="2"/>
        <v/>
      </c>
    </row>
    <row r="170" spans="1:4" x14ac:dyDescent="0.25">
      <c r="A170" t="str">
        <f>Datos!C170</f>
        <v>Congrio negro</v>
      </c>
      <c r="B170" t="str">
        <f>IF(ISNUMBER(SEARCH(Calculadora!$C$4,A170)),MAX(B$1:B169)+1,"")</f>
        <v/>
      </c>
      <c r="C170">
        <v>169</v>
      </c>
      <c r="D170" t="str">
        <f t="shared" si="2"/>
        <v/>
      </c>
    </row>
    <row r="171" spans="1:4" x14ac:dyDescent="0.25">
      <c r="A171" t="str">
        <f>Datos!C171</f>
        <v>Corvina</v>
      </c>
      <c r="B171" t="str">
        <f>IF(ISNUMBER(SEARCH(Calculadora!$C$4,A171)),MAX(B$1:B170)+1,"")</f>
        <v/>
      </c>
      <c r="C171">
        <v>170</v>
      </c>
      <c r="D171" t="str">
        <f t="shared" si="2"/>
        <v/>
      </c>
    </row>
    <row r="172" spans="1:4" x14ac:dyDescent="0.25">
      <c r="A172" t="str">
        <f>Datos!C172</f>
        <v>Jurel (fuente 2)</v>
      </c>
      <c r="B172" t="str">
        <f>IF(ISNUMBER(SEARCH(Calculadora!$C$4,A172)),MAX(B$1:B171)+1,"")</f>
        <v/>
      </c>
      <c r="C172">
        <v>171</v>
      </c>
      <c r="D172" t="str">
        <f t="shared" si="2"/>
        <v/>
      </c>
    </row>
    <row r="173" spans="1:4" x14ac:dyDescent="0.25">
      <c r="A173" t="str">
        <f>Datos!C173</f>
        <v>Jurel (fuente 1)</v>
      </c>
      <c r="B173" t="str">
        <f>IF(ISNUMBER(SEARCH(Calculadora!$C$4,A173)),MAX(B$1:B172)+1,"")</f>
        <v/>
      </c>
      <c r="C173">
        <v>172</v>
      </c>
      <c r="D173" t="str">
        <f t="shared" si="2"/>
        <v/>
      </c>
    </row>
    <row r="174" spans="1:4" x14ac:dyDescent="0.25">
      <c r="A174" t="str">
        <f>Datos!C174</f>
        <v>Jurel conserva en agua</v>
      </c>
      <c r="B174" t="str">
        <f>IF(ISNUMBER(SEARCH(Calculadora!$C$4,A174)),MAX(B$1:B173)+1,"")</f>
        <v/>
      </c>
      <c r="C174">
        <v>173</v>
      </c>
      <c r="D174" t="str">
        <f t="shared" si="2"/>
        <v/>
      </c>
    </row>
    <row r="175" spans="1:4" x14ac:dyDescent="0.25">
      <c r="A175" t="str">
        <f>Datos!C175</f>
        <v>Jurel conserva en aceite</v>
      </c>
      <c r="B175" t="str">
        <f>IF(ISNUMBER(SEARCH(Calculadora!$C$4,A175)),MAX(B$1:B174)+1,"")</f>
        <v/>
      </c>
      <c r="C175">
        <v>174</v>
      </c>
      <c r="D175" t="str">
        <f t="shared" si="2"/>
        <v/>
      </c>
    </row>
    <row r="176" spans="1:4" x14ac:dyDescent="0.25">
      <c r="A176" t="str">
        <f>Datos!C176</f>
        <v>Lenguado (fuente 2)</v>
      </c>
      <c r="B176" t="str">
        <f>IF(ISNUMBER(SEARCH(Calculadora!$C$4,A176)),MAX(B$1:B175)+1,"")</f>
        <v/>
      </c>
      <c r="C176">
        <v>175</v>
      </c>
      <c r="D176" t="str">
        <f t="shared" si="2"/>
        <v/>
      </c>
    </row>
    <row r="177" spans="1:4" x14ac:dyDescent="0.25">
      <c r="A177" t="str">
        <f>Datos!C177</f>
        <v>Lenguado (fuente 1)</v>
      </c>
      <c r="B177" t="str">
        <f>IF(ISNUMBER(SEARCH(Calculadora!$C$4,A177)),MAX(B$1:B176)+1,"")</f>
        <v/>
      </c>
      <c r="C177">
        <v>176</v>
      </c>
      <c r="D177" t="str">
        <f t="shared" si="2"/>
        <v/>
      </c>
    </row>
    <row r="178" spans="1:4" x14ac:dyDescent="0.25">
      <c r="A178" t="str">
        <f>Datos!C178</f>
        <v>Merluza o pescada</v>
      </c>
      <c r="B178" t="str">
        <f>IF(ISNUMBER(SEARCH(Calculadora!$C$4,A178)),MAX(B$1:B177)+1,"")</f>
        <v/>
      </c>
      <c r="C178">
        <v>177</v>
      </c>
      <c r="D178" t="str">
        <f t="shared" si="2"/>
        <v/>
      </c>
    </row>
    <row r="179" spans="1:4" x14ac:dyDescent="0.25">
      <c r="A179" t="str">
        <f>Datos!C179</f>
        <v>Mero</v>
      </c>
      <c r="B179" t="str">
        <f>IF(ISNUMBER(SEARCH(Calculadora!$C$4,A179)),MAX(B$1:B178)+1,"")</f>
        <v/>
      </c>
      <c r="C179">
        <v>178</v>
      </c>
      <c r="D179" t="str">
        <f t="shared" si="2"/>
        <v/>
      </c>
    </row>
    <row r="180" spans="1:4" x14ac:dyDescent="0.25">
      <c r="A180" t="str">
        <f>Datos!C180</f>
        <v>Pejegallo</v>
      </c>
      <c r="B180" t="str">
        <f>IF(ISNUMBER(SEARCH(Calculadora!$C$4,A180)),MAX(B$1:B179)+1,"")</f>
        <v/>
      </c>
      <c r="C180">
        <v>179</v>
      </c>
      <c r="D180" t="str">
        <f t="shared" si="2"/>
        <v/>
      </c>
    </row>
    <row r="181" spans="1:4" x14ac:dyDescent="0.25">
      <c r="A181" t="str">
        <f>Datos!C181</f>
        <v>Pejerrey</v>
      </c>
      <c r="B181" t="str">
        <f>IF(ISNUMBER(SEARCH(Calculadora!$C$4,A181)),MAX(B$1:B180)+1,"")</f>
        <v/>
      </c>
      <c r="C181">
        <v>180</v>
      </c>
      <c r="D181" t="str">
        <f t="shared" si="2"/>
        <v/>
      </c>
    </row>
    <row r="182" spans="1:4" x14ac:dyDescent="0.25">
      <c r="A182" t="str">
        <f>Datos!C182</f>
        <v>Reineta</v>
      </c>
      <c r="B182" t="str">
        <f>IF(ISNUMBER(SEARCH(Calculadora!$C$4,A182)),MAX(B$1:B181)+1,"")</f>
        <v/>
      </c>
      <c r="C182">
        <v>181</v>
      </c>
      <c r="D182" t="str">
        <f t="shared" si="2"/>
        <v/>
      </c>
    </row>
    <row r="183" spans="1:4" x14ac:dyDescent="0.25">
      <c r="A183" t="str">
        <f>Datos!C183</f>
        <v>Roncador</v>
      </c>
      <c r="B183" t="str">
        <f>IF(ISNUMBER(SEARCH(Calculadora!$C$4,A183)),MAX(B$1:B182)+1,"")</f>
        <v/>
      </c>
      <c r="C183">
        <v>182</v>
      </c>
      <c r="D183" t="str">
        <f t="shared" si="2"/>
        <v/>
      </c>
    </row>
    <row r="184" spans="1:4" x14ac:dyDescent="0.25">
      <c r="A184" t="str">
        <f>Datos!C184</f>
        <v>Salmón coho fresco</v>
      </c>
      <c r="B184" t="str">
        <f>IF(ISNUMBER(SEARCH(Calculadora!$C$4,A184)),MAX(B$1:B183)+1,"")</f>
        <v/>
      </c>
      <c r="C184">
        <v>183</v>
      </c>
      <c r="D184" t="str">
        <f t="shared" si="2"/>
        <v/>
      </c>
    </row>
    <row r="185" spans="1:4" x14ac:dyDescent="0.25">
      <c r="A185" t="str">
        <f>Datos!C185</f>
        <v>Salmón</v>
      </c>
      <c r="B185" t="str">
        <f>IF(ISNUMBER(SEARCH(Calculadora!$C$4,A185)),MAX(B$1:B184)+1,"")</f>
        <v/>
      </c>
      <c r="C185">
        <v>184</v>
      </c>
      <c r="D185" t="str">
        <f t="shared" si="2"/>
        <v/>
      </c>
    </row>
    <row r="186" spans="1:4" x14ac:dyDescent="0.25">
      <c r="A186" t="str">
        <f>Datos!C186</f>
        <v>Salmón filete sin piel</v>
      </c>
      <c r="B186" t="str">
        <f>IF(ISNUMBER(SEARCH(Calculadora!$C$4,A186)),MAX(B$1:B185)+1,"")</f>
        <v/>
      </c>
      <c r="C186">
        <v>185</v>
      </c>
      <c r="D186" t="str">
        <f t="shared" si="2"/>
        <v/>
      </c>
    </row>
    <row r="187" spans="1:4" x14ac:dyDescent="0.25">
      <c r="A187" t="str">
        <f>Datos!C187</f>
        <v>Sardina conserva en aceite</v>
      </c>
      <c r="B187" t="str">
        <f>IF(ISNUMBER(SEARCH(Calculadora!$C$4,A187)),MAX(B$1:B186)+1,"")</f>
        <v/>
      </c>
      <c r="C187">
        <v>186</v>
      </c>
      <c r="D187" t="str">
        <f t="shared" si="2"/>
        <v/>
      </c>
    </row>
    <row r="188" spans="1:4" x14ac:dyDescent="0.25">
      <c r="A188" t="str">
        <f>Datos!C188</f>
        <v>Sardina española</v>
      </c>
      <c r="B188" t="str">
        <f>IF(ISNUMBER(SEARCH(Calculadora!$C$4,A188)),MAX(B$1:B187)+1,"")</f>
        <v/>
      </c>
      <c r="C188">
        <v>187</v>
      </c>
      <c r="D188" t="str">
        <f t="shared" si="2"/>
        <v/>
      </c>
    </row>
    <row r="189" spans="1:4" x14ac:dyDescent="0.25">
      <c r="A189" t="str">
        <f>Datos!C189</f>
        <v>Sierra</v>
      </c>
      <c r="B189" t="str">
        <f>IF(ISNUMBER(SEARCH(Calculadora!$C$4,A189)),MAX(B$1:B188)+1,"")</f>
        <v/>
      </c>
      <c r="C189">
        <v>188</v>
      </c>
      <c r="D189" t="str">
        <f t="shared" si="2"/>
        <v/>
      </c>
    </row>
    <row r="190" spans="1:4" x14ac:dyDescent="0.25">
      <c r="A190" t="str">
        <f>Datos!C190</f>
        <v>Trucha congelada</v>
      </c>
      <c r="B190" t="str">
        <f>IF(ISNUMBER(SEARCH(Calculadora!$C$4,A190)),MAX(B$1:B189)+1,"")</f>
        <v/>
      </c>
      <c r="C190">
        <v>189</v>
      </c>
      <c r="D190" t="str">
        <f t="shared" si="2"/>
        <v/>
      </c>
    </row>
    <row r="191" spans="1:4" x14ac:dyDescent="0.25">
      <c r="A191" t="str">
        <f>Datos!C191</f>
        <v>Trucha de cultivo</v>
      </c>
      <c r="B191" t="str">
        <f>IF(ISNUMBER(SEARCH(Calculadora!$C$4,A191)),MAX(B$1:B190)+1,"")</f>
        <v/>
      </c>
      <c r="C191">
        <v>190</v>
      </c>
      <c r="D191" t="str">
        <f t="shared" si="2"/>
        <v/>
      </c>
    </row>
    <row r="192" spans="1:4" x14ac:dyDescent="0.25">
      <c r="A192" t="str">
        <f>Datos!C192</f>
        <v>Trucha filete</v>
      </c>
      <c r="B192" t="str">
        <f>IF(ISNUMBER(SEARCH(Calculadora!$C$4,A192)),MAX(B$1:B191)+1,"")</f>
        <v/>
      </c>
      <c r="C192">
        <v>191</v>
      </c>
      <c r="D192" t="str">
        <f t="shared" si="2"/>
        <v/>
      </c>
    </row>
    <row r="193" spans="1:4" x14ac:dyDescent="0.25">
      <c r="A193" t="str">
        <f>Datos!C193</f>
        <v>Trucha fresca de mar</v>
      </c>
      <c r="B193" t="str">
        <f>IF(ISNUMBER(SEARCH(Calculadora!$C$4,A193)),MAX(B$1:B192)+1,"")</f>
        <v/>
      </c>
      <c r="C193">
        <v>192</v>
      </c>
      <c r="D193" t="str">
        <f t="shared" si="2"/>
        <v/>
      </c>
    </row>
    <row r="194" spans="1:4" x14ac:dyDescent="0.25">
      <c r="A194" t="str">
        <f>Datos!C194</f>
        <v>Kanikama (carne de pescado procesada)</v>
      </c>
      <c r="B194" t="str">
        <f>IF(ISNUMBER(SEARCH(Calculadora!$C$4,A194)),MAX(B$1:B193)+1,"")</f>
        <v/>
      </c>
      <c r="C194">
        <v>193</v>
      </c>
      <c r="D194" t="str">
        <f t="shared" ref="D194:D257" si="3">IFERROR(INDEX($A$2:$A$647,MATCH(C194,$B$2:$B$647,0)),"")</f>
        <v/>
      </c>
    </row>
    <row r="195" spans="1:4" x14ac:dyDescent="0.25">
      <c r="A195" t="str">
        <f>Datos!C195</f>
        <v>Ovas (masago)</v>
      </c>
      <c r="B195" t="str">
        <f>IF(ISNUMBER(SEARCH(Calculadora!$C$4,A195)),MAX(B$1:B194)+1,"")</f>
        <v/>
      </c>
      <c r="C195">
        <v>194</v>
      </c>
      <c r="D195" t="str">
        <f t="shared" si="3"/>
        <v/>
      </c>
    </row>
    <row r="196" spans="1:4" x14ac:dyDescent="0.25">
      <c r="A196" t="str">
        <f>Datos!C196</f>
        <v>Paté de trucha ahumada</v>
      </c>
      <c r="B196" t="str">
        <f>IF(ISNUMBER(SEARCH(Calculadora!$C$4,A196)),MAX(B$1:B195)+1,"")</f>
        <v/>
      </c>
      <c r="C196">
        <v>195</v>
      </c>
      <c r="D196" t="str">
        <f t="shared" si="3"/>
        <v/>
      </c>
    </row>
    <row r="197" spans="1:4" x14ac:dyDescent="0.25">
      <c r="A197" t="str">
        <f>Datos!C197</f>
        <v>Arveja seca</v>
      </c>
      <c r="B197" t="str">
        <f>IF(ISNUMBER(SEARCH(Calculadora!$C$4,A197)),MAX(B$1:B196)+1,"")</f>
        <v/>
      </c>
      <c r="C197">
        <v>196</v>
      </c>
      <c r="D197" t="str">
        <f t="shared" si="3"/>
        <v/>
      </c>
    </row>
    <row r="198" spans="1:4" x14ac:dyDescent="0.25">
      <c r="A198" t="str">
        <f>Datos!C198</f>
        <v>Arveja harina</v>
      </c>
      <c r="B198" t="str">
        <f>IF(ISNUMBER(SEARCH(Calculadora!$C$4,A198)),MAX(B$1:B197)+1,"")</f>
        <v/>
      </c>
      <c r="C198">
        <v>197</v>
      </c>
      <c r="D198" t="str">
        <f t="shared" si="3"/>
        <v/>
      </c>
    </row>
    <row r="199" spans="1:4" x14ac:dyDescent="0.25">
      <c r="A199" t="str">
        <f>Datos!C199</f>
        <v>Arvejas</v>
      </c>
      <c r="B199" t="str">
        <f>IF(ISNUMBER(SEARCH(Calculadora!$C$4,A199)),MAX(B$1:B198)+1,"")</f>
        <v/>
      </c>
      <c r="C199">
        <v>198</v>
      </c>
      <c r="D199" t="str">
        <f t="shared" si="3"/>
        <v/>
      </c>
    </row>
    <row r="200" spans="1:4" x14ac:dyDescent="0.25">
      <c r="A200" t="str">
        <f>Datos!C200</f>
        <v>Arvejas conserva</v>
      </c>
      <c r="B200" t="str">
        <f>IF(ISNUMBER(SEARCH(Calculadora!$C$4,A200)),MAX(B$1:B199)+1,"")</f>
        <v/>
      </c>
      <c r="C200">
        <v>199</v>
      </c>
      <c r="D200" t="str">
        <f t="shared" si="3"/>
        <v/>
      </c>
    </row>
    <row r="201" spans="1:4" x14ac:dyDescent="0.25">
      <c r="A201" t="str">
        <f>Datos!C201</f>
        <v>Garbanzo cocido</v>
      </c>
      <c r="B201" t="str">
        <f>IF(ISNUMBER(SEARCH(Calculadora!$C$4,A201)),MAX(B$1:B200)+1,"")</f>
        <v/>
      </c>
      <c r="C201">
        <v>200</v>
      </c>
      <c r="D201" t="str">
        <f t="shared" si="3"/>
        <v/>
      </c>
    </row>
    <row r="202" spans="1:4" x14ac:dyDescent="0.25">
      <c r="A202" t="str">
        <f>Datos!C202</f>
        <v>Garbanzo</v>
      </c>
      <c r="B202" t="str">
        <f>IF(ISNUMBER(SEARCH(Calculadora!$C$4,A202)),MAX(B$1:B201)+1,"")</f>
        <v/>
      </c>
      <c r="C202">
        <v>201</v>
      </c>
      <c r="D202" t="str">
        <f t="shared" si="3"/>
        <v/>
      </c>
    </row>
    <row r="203" spans="1:4" x14ac:dyDescent="0.25">
      <c r="A203" t="str">
        <f>Datos!C203</f>
        <v>Garbanzo harina</v>
      </c>
      <c r="B203" t="str">
        <f>IF(ISNUMBER(SEARCH(Calculadora!$C$4,A203)),MAX(B$1:B202)+1,"")</f>
        <v/>
      </c>
      <c r="C203">
        <v>202</v>
      </c>
      <c r="D203" t="str">
        <f t="shared" si="3"/>
        <v/>
      </c>
    </row>
    <row r="204" spans="1:4" x14ac:dyDescent="0.25">
      <c r="A204" t="str">
        <f>Datos!C204</f>
        <v>Haba</v>
      </c>
      <c r="B204" t="str">
        <f>IF(ISNUMBER(SEARCH(Calculadora!$C$4,A204)),MAX(B$1:B203)+1,"")</f>
        <v/>
      </c>
      <c r="C204">
        <v>203</v>
      </c>
      <c r="D204" t="str">
        <f t="shared" si="3"/>
        <v/>
      </c>
    </row>
    <row r="205" spans="1:4" x14ac:dyDescent="0.25">
      <c r="A205" t="str">
        <f>Datos!C205</f>
        <v>Haba seca</v>
      </c>
      <c r="B205" t="str">
        <f>IF(ISNUMBER(SEARCH(Calculadora!$C$4,A205)),MAX(B$1:B204)+1,"")</f>
        <v/>
      </c>
      <c r="C205">
        <v>204</v>
      </c>
      <c r="D205" t="str">
        <f t="shared" si="3"/>
        <v/>
      </c>
    </row>
    <row r="206" spans="1:4" x14ac:dyDescent="0.25">
      <c r="A206" t="str">
        <f>Datos!C206</f>
        <v>Lenteja cocida</v>
      </c>
      <c r="B206" t="str">
        <f>IF(ISNUMBER(SEARCH(Calculadora!$C$4,A206)),MAX(B$1:B205)+1,"")</f>
        <v/>
      </c>
      <c r="C206">
        <v>205</v>
      </c>
      <c r="D206" t="str">
        <f t="shared" si="3"/>
        <v/>
      </c>
    </row>
    <row r="207" spans="1:4" x14ac:dyDescent="0.25">
      <c r="A207" t="str">
        <f>Datos!C207</f>
        <v>Lenteja</v>
      </c>
      <c r="B207" t="str">
        <f>IF(ISNUMBER(SEARCH(Calculadora!$C$4,A207)),MAX(B$1:B206)+1,"")</f>
        <v/>
      </c>
      <c r="C207">
        <v>206</v>
      </c>
      <c r="D207" t="str">
        <f t="shared" si="3"/>
        <v/>
      </c>
    </row>
    <row r="208" spans="1:4" x14ac:dyDescent="0.25">
      <c r="A208" t="str">
        <f>Datos!C208</f>
        <v>Lenteja harina</v>
      </c>
      <c r="B208" t="str">
        <f>IF(ISNUMBER(SEARCH(Calculadora!$C$4,A208)),MAX(B$1:B207)+1,"")</f>
        <v/>
      </c>
      <c r="C208">
        <v>207</v>
      </c>
      <c r="D208" t="str">
        <f t="shared" si="3"/>
        <v/>
      </c>
    </row>
    <row r="209" spans="1:4" x14ac:dyDescent="0.25">
      <c r="A209" t="str">
        <f>Datos!C209</f>
        <v>Poroto cocido</v>
      </c>
      <c r="B209" t="str">
        <f>IF(ISNUMBER(SEARCH(Calculadora!$C$4,A209)),MAX(B$1:B208)+1,"")</f>
        <v/>
      </c>
      <c r="C209">
        <v>208</v>
      </c>
      <c r="D209" t="str">
        <f t="shared" si="3"/>
        <v/>
      </c>
    </row>
    <row r="210" spans="1:4" x14ac:dyDescent="0.25">
      <c r="A210" t="str">
        <f>Datos!C210</f>
        <v>Poroto</v>
      </c>
      <c r="B210" t="str">
        <f>IF(ISNUMBER(SEARCH(Calculadora!$C$4,A210)),MAX(B$1:B209)+1,"")</f>
        <v/>
      </c>
      <c r="C210">
        <v>209</v>
      </c>
      <c r="D210" t="str">
        <f t="shared" si="3"/>
        <v/>
      </c>
    </row>
    <row r="211" spans="1:4" x14ac:dyDescent="0.25">
      <c r="A211" t="str">
        <f>Datos!C211</f>
        <v>Poroto de soya cocido</v>
      </c>
      <c r="B211" t="str">
        <f>IF(ISNUMBER(SEARCH(Calculadora!$C$4,A211)),MAX(B$1:B210)+1,"")</f>
        <v/>
      </c>
      <c r="C211">
        <v>210</v>
      </c>
      <c r="D211" t="str">
        <f t="shared" si="3"/>
        <v/>
      </c>
    </row>
    <row r="212" spans="1:4" x14ac:dyDescent="0.25">
      <c r="A212" t="str">
        <f>Datos!C212</f>
        <v>Poroto de soya</v>
      </c>
      <c r="B212" t="str">
        <f>IF(ISNUMBER(SEARCH(Calculadora!$C$4,A212)),MAX(B$1:B211)+1,"")</f>
        <v/>
      </c>
      <c r="C212">
        <v>211</v>
      </c>
      <c r="D212" t="str">
        <f t="shared" si="3"/>
        <v/>
      </c>
    </row>
    <row r="213" spans="1:4" x14ac:dyDescent="0.25">
      <c r="A213" t="str">
        <f>Datos!C213</f>
        <v>Porotos granados</v>
      </c>
      <c r="B213" t="str">
        <f>IF(ISNUMBER(SEARCH(Calculadora!$C$4,A213)),MAX(B$1:B212)+1,"")</f>
        <v/>
      </c>
      <c r="C213">
        <v>212</v>
      </c>
      <c r="D213" t="str">
        <f t="shared" si="3"/>
        <v/>
      </c>
    </row>
    <row r="214" spans="1:4" x14ac:dyDescent="0.25">
      <c r="A214" t="str">
        <f>Datos!C214</f>
        <v>Porotos negros</v>
      </c>
      <c r="B214" t="str">
        <f>IF(ISNUMBER(SEARCH(Calculadora!$C$4,A214)),MAX(B$1:B213)+1,"")</f>
        <v/>
      </c>
      <c r="C214">
        <v>213</v>
      </c>
      <c r="D214" t="str">
        <f t="shared" si="3"/>
        <v/>
      </c>
    </row>
    <row r="215" spans="1:4" x14ac:dyDescent="0.25">
      <c r="A215" t="str">
        <f>Datos!C215</f>
        <v>Almendras (fuente 1)</v>
      </c>
      <c r="B215" t="str">
        <f>IF(ISNUMBER(SEARCH(Calculadora!$C$4,A215)),MAX(B$1:B214)+1,"")</f>
        <v/>
      </c>
      <c r="C215">
        <v>214</v>
      </c>
      <c r="D215" t="str">
        <f t="shared" si="3"/>
        <v/>
      </c>
    </row>
    <row r="216" spans="1:4" x14ac:dyDescent="0.25">
      <c r="A216" t="str">
        <f>Datos!C216</f>
        <v>Almendras (fuente 3)</v>
      </c>
      <c r="B216" t="str">
        <f>IF(ISNUMBER(SEARCH(Calculadora!$C$4,A216)),MAX(B$1:B215)+1,"")</f>
        <v/>
      </c>
      <c r="C216">
        <v>215</v>
      </c>
      <c r="D216" t="str">
        <f t="shared" si="3"/>
        <v/>
      </c>
    </row>
    <row r="217" spans="1:4" x14ac:dyDescent="0.25">
      <c r="A217" t="str">
        <f>Datos!C217</f>
        <v>Avellana</v>
      </c>
      <c r="B217" t="str">
        <f>IF(ISNUMBER(SEARCH(Calculadora!$C$4,A217)),MAX(B$1:B216)+1,"")</f>
        <v/>
      </c>
      <c r="C217">
        <v>216</v>
      </c>
      <c r="D217" t="str">
        <f t="shared" si="3"/>
        <v/>
      </c>
    </row>
    <row r="218" spans="1:4" x14ac:dyDescent="0.25">
      <c r="A218" t="str">
        <f>Datos!C218</f>
        <v>Castaña de cajú tostada</v>
      </c>
      <c r="B218" t="str">
        <f>IF(ISNUMBER(SEARCH(Calculadora!$C$4,A218)),MAX(B$1:B217)+1,"")</f>
        <v/>
      </c>
      <c r="C218">
        <v>217</v>
      </c>
      <c r="D218" t="str">
        <f t="shared" si="3"/>
        <v/>
      </c>
    </row>
    <row r="219" spans="1:4" x14ac:dyDescent="0.25">
      <c r="A219" t="str">
        <f>Datos!C219</f>
        <v>Macadamia</v>
      </c>
      <c r="B219" t="str">
        <f>IF(ISNUMBER(SEARCH(Calculadora!$C$4,A219)),MAX(B$1:B218)+1,"")</f>
        <v/>
      </c>
      <c r="C219">
        <v>218</v>
      </c>
      <c r="D219" t="str">
        <f t="shared" si="3"/>
        <v/>
      </c>
    </row>
    <row r="220" spans="1:4" x14ac:dyDescent="0.25">
      <c r="A220" t="str">
        <f>Datos!C220</f>
        <v>Maní</v>
      </c>
      <c r="B220" t="str">
        <f>IF(ISNUMBER(SEARCH(Calculadora!$C$4,A220)),MAX(B$1:B219)+1,"")</f>
        <v/>
      </c>
      <c r="C220">
        <v>219</v>
      </c>
      <c r="D220" t="str">
        <f t="shared" si="3"/>
        <v/>
      </c>
    </row>
    <row r="221" spans="1:4" x14ac:dyDescent="0.25">
      <c r="A221" t="str">
        <f>Datos!C221</f>
        <v>Maní japonés</v>
      </c>
      <c r="B221" t="str">
        <f>IF(ISNUMBER(SEARCH(Calculadora!$C$4,A221)),MAX(B$1:B220)+1,"")</f>
        <v/>
      </c>
      <c r="C221">
        <v>220</v>
      </c>
      <c r="D221" t="str">
        <f t="shared" si="3"/>
        <v/>
      </c>
    </row>
    <row r="222" spans="1:4" x14ac:dyDescent="0.25">
      <c r="A222" t="str">
        <f>Datos!C222</f>
        <v>Maní tostado salado</v>
      </c>
      <c r="B222" t="str">
        <f>IF(ISNUMBER(SEARCH(Calculadora!$C$4,A222)),MAX(B$1:B221)+1,"")</f>
        <v/>
      </c>
      <c r="C222">
        <v>221</v>
      </c>
      <c r="D222" t="str">
        <f t="shared" si="3"/>
        <v/>
      </c>
    </row>
    <row r="223" spans="1:4" x14ac:dyDescent="0.25">
      <c r="A223" t="str">
        <f>Datos!C223</f>
        <v>Nueces (fuente 3)</v>
      </c>
      <c r="B223" t="str">
        <f>IF(ISNUMBER(SEARCH(Calculadora!$C$4,A223)),MAX(B$1:B222)+1,"")</f>
        <v/>
      </c>
      <c r="C223">
        <v>222</v>
      </c>
      <c r="D223" t="str">
        <f t="shared" si="3"/>
        <v/>
      </c>
    </row>
    <row r="224" spans="1:4" x14ac:dyDescent="0.25">
      <c r="A224" t="str">
        <f>Datos!C224</f>
        <v>Nueces (fuente 1)</v>
      </c>
      <c r="B224" t="str">
        <f>IF(ISNUMBER(SEARCH(Calculadora!$C$4,A224)),MAX(B$1:B223)+1,"")</f>
        <v/>
      </c>
      <c r="C224">
        <v>223</v>
      </c>
      <c r="D224" t="str">
        <f t="shared" si="3"/>
        <v/>
      </c>
    </row>
    <row r="225" spans="1:4" x14ac:dyDescent="0.25">
      <c r="A225" t="str">
        <f>Datos!C225</f>
        <v>Pistacho</v>
      </c>
      <c r="B225" t="str">
        <f>IF(ISNUMBER(SEARCH(Calculadora!$C$4,A225)),MAX(B$1:B224)+1,"")</f>
        <v/>
      </c>
      <c r="C225">
        <v>224</v>
      </c>
      <c r="D225" t="str">
        <f t="shared" si="3"/>
        <v/>
      </c>
    </row>
    <row r="226" spans="1:4" x14ac:dyDescent="0.25">
      <c r="A226" t="str">
        <f>Datos!C226</f>
        <v>Castaña cruda pelada</v>
      </c>
      <c r="B226" t="str">
        <f>IF(ISNUMBER(SEARCH(Calculadora!$C$4,A226)),MAX(B$1:B225)+1,"")</f>
        <v/>
      </c>
      <c r="C226">
        <v>225</v>
      </c>
      <c r="D226" t="str">
        <f t="shared" si="3"/>
        <v/>
      </c>
    </row>
    <row r="227" spans="1:4" x14ac:dyDescent="0.25">
      <c r="A227" t="str">
        <f>Datos!C227</f>
        <v>Piñón</v>
      </c>
      <c r="B227" t="str">
        <f>IF(ISNUMBER(SEARCH(Calculadora!$C$4,A227)),MAX(B$1:B226)+1,"")</f>
        <v/>
      </c>
      <c r="C227">
        <v>226</v>
      </c>
      <c r="D227" t="str">
        <f t="shared" si="3"/>
        <v/>
      </c>
    </row>
    <row r="228" spans="1:4" x14ac:dyDescent="0.25">
      <c r="A228" t="str">
        <f>Datos!C228</f>
        <v>Piñón deshidratado</v>
      </c>
      <c r="B228" t="str">
        <f>IF(ISNUMBER(SEARCH(Calculadora!$C$4,A228)),MAX(B$1:B227)+1,"")</f>
        <v/>
      </c>
      <c r="C228">
        <v>227</v>
      </c>
      <c r="D228" t="str">
        <f t="shared" si="3"/>
        <v/>
      </c>
    </row>
    <row r="229" spans="1:4" x14ac:dyDescent="0.25">
      <c r="A229" t="str">
        <f>Datos!C229</f>
        <v>Chía</v>
      </c>
      <c r="B229" t="str">
        <f>IF(ISNUMBER(SEARCH(Calculadora!$C$4,A229)),MAX(B$1:B228)+1,"")</f>
        <v/>
      </c>
      <c r="C229">
        <v>228</v>
      </c>
      <c r="D229" t="str">
        <f t="shared" si="3"/>
        <v/>
      </c>
    </row>
    <row r="230" spans="1:4" x14ac:dyDescent="0.25">
      <c r="A230" t="str">
        <f>Datos!C230</f>
        <v>Semilla amapola</v>
      </c>
      <c r="B230" t="str">
        <f>IF(ISNUMBER(SEARCH(Calculadora!$C$4,A230)),MAX(B$1:B229)+1,"")</f>
        <v/>
      </c>
      <c r="C230">
        <v>229</v>
      </c>
      <c r="D230" t="str">
        <f t="shared" si="3"/>
        <v/>
      </c>
    </row>
    <row r="231" spans="1:4" x14ac:dyDescent="0.25">
      <c r="A231" t="str">
        <f>Datos!C231</f>
        <v>Semilla tostada de sésamo</v>
      </c>
      <c r="B231" t="str">
        <f>IF(ISNUMBER(SEARCH(Calculadora!$C$4,A231)),MAX(B$1:B230)+1,"")</f>
        <v/>
      </c>
      <c r="C231">
        <v>230</v>
      </c>
      <c r="D231" t="str">
        <f t="shared" si="3"/>
        <v/>
      </c>
    </row>
    <row r="232" spans="1:4" x14ac:dyDescent="0.25">
      <c r="A232" t="str">
        <f>Datos!C232</f>
        <v>Semilla maravilla tostada pelada</v>
      </c>
      <c r="B232" t="str">
        <f>IF(ISNUMBER(SEARCH(Calculadora!$C$4,A232)),MAX(B$1:B231)+1,"")</f>
        <v/>
      </c>
      <c r="C232">
        <v>231</v>
      </c>
      <c r="D232" t="str">
        <f t="shared" si="3"/>
        <v/>
      </c>
    </row>
    <row r="233" spans="1:4" x14ac:dyDescent="0.25">
      <c r="A233" t="str">
        <f>Datos!C233</f>
        <v>Semilla zapallo</v>
      </c>
      <c r="B233" t="str">
        <f>IF(ISNUMBER(SEARCH(Calculadora!$C$4,A233)),MAX(B$1:B232)+1,"")</f>
        <v/>
      </c>
      <c r="C233">
        <v>232</v>
      </c>
      <c r="D233" t="str">
        <f t="shared" si="3"/>
        <v/>
      </c>
    </row>
    <row r="234" spans="1:4" x14ac:dyDescent="0.25">
      <c r="A234" t="str">
        <f>Datos!C234</f>
        <v>Semillas de linaza</v>
      </c>
      <c r="B234" t="str">
        <f>IF(ISNUMBER(SEARCH(Calculadora!$C$4,A234)),MAX(B$1:B233)+1,"")</f>
        <v/>
      </c>
      <c r="C234">
        <v>233</v>
      </c>
      <c r="D234" t="str">
        <f t="shared" si="3"/>
        <v/>
      </c>
    </row>
    <row r="235" spans="1:4" x14ac:dyDescent="0.25">
      <c r="A235" t="str">
        <f>Datos!C235</f>
        <v>Crutones</v>
      </c>
      <c r="B235" t="str">
        <f>IF(ISNUMBER(SEARCH(Calculadora!$C$4,A235)),MAX(B$1:B234)+1,"")</f>
        <v/>
      </c>
      <c r="C235">
        <v>234</v>
      </c>
      <c r="D235" t="str">
        <f t="shared" si="3"/>
        <v/>
      </c>
    </row>
    <row r="236" spans="1:4" x14ac:dyDescent="0.25">
      <c r="A236" t="str">
        <f>Datos!C236</f>
        <v>Pan blanco sin sal</v>
      </c>
      <c r="B236" t="str">
        <f>IF(ISNUMBER(SEARCH(Calculadora!$C$4,A236)),MAX(B$1:B235)+1,"")</f>
        <v/>
      </c>
      <c r="C236">
        <v>235</v>
      </c>
      <c r="D236" t="str">
        <f t="shared" si="3"/>
        <v/>
      </c>
    </row>
    <row r="237" spans="1:4" x14ac:dyDescent="0.25">
      <c r="A237" t="str">
        <f>Datos!C237</f>
        <v>Pan de centeno</v>
      </c>
      <c r="B237" t="str">
        <f>IF(ISNUMBER(SEARCH(Calculadora!$C$4,A237)),MAX(B$1:B236)+1,"")</f>
        <v/>
      </c>
      <c r="C237">
        <v>236</v>
      </c>
      <c r="D237" t="str">
        <f t="shared" si="3"/>
        <v/>
      </c>
    </row>
    <row r="238" spans="1:4" x14ac:dyDescent="0.25">
      <c r="A238" t="str">
        <f>Datos!C238</f>
        <v>Pan de miel</v>
      </c>
      <c r="B238" t="str">
        <f>IF(ISNUMBER(SEARCH(Calculadora!$C$4,A238)),MAX(B$1:B237)+1,"")</f>
        <v/>
      </c>
      <c r="C238">
        <v>237</v>
      </c>
      <c r="D238" t="str">
        <f t="shared" si="3"/>
        <v/>
      </c>
    </row>
    <row r="239" spans="1:4" x14ac:dyDescent="0.25">
      <c r="A239" t="str">
        <f>Datos!C239</f>
        <v>Pan especial</v>
      </c>
      <c r="B239" t="str">
        <f>IF(ISNUMBER(SEARCH(Calculadora!$C$4,A239)),MAX(B$1:B238)+1,"")</f>
        <v/>
      </c>
      <c r="C239">
        <v>238</v>
      </c>
      <c r="D239" t="str">
        <f t="shared" si="3"/>
        <v/>
      </c>
    </row>
    <row r="240" spans="1:4" x14ac:dyDescent="0.25">
      <c r="A240" t="str">
        <f>Datos!C240</f>
        <v>Pan hallulla</v>
      </c>
      <c r="B240" t="str">
        <f>IF(ISNUMBER(SEARCH(Calculadora!$C$4,A240)),MAX(B$1:B239)+1,"")</f>
        <v/>
      </c>
      <c r="C240">
        <v>239</v>
      </c>
      <c r="D240" t="str">
        <f t="shared" si="3"/>
        <v/>
      </c>
    </row>
    <row r="241" spans="1:4" x14ac:dyDescent="0.25">
      <c r="A241" t="str">
        <f>Datos!C241</f>
        <v>Pan integral</v>
      </c>
      <c r="B241" t="str">
        <f>IF(ISNUMBER(SEARCH(Calculadora!$C$4,A241)),MAX(B$1:B240)+1,"")</f>
        <v/>
      </c>
      <c r="C241">
        <v>240</v>
      </c>
      <c r="D241" t="str">
        <f t="shared" si="3"/>
        <v/>
      </c>
    </row>
    <row r="242" spans="1:4" x14ac:dyDescent="0.25">
      <c r="A242" t="str">
        <f>Datos!C242</f>
        <v>Pan marraqueta</v>
      </c>
      <c r="B242" t="str">
        <f>IF(ISNUMBER(SEARCH(Calculadora!$C$4,A242)),MAX(B$1:B241)+1,"")</f>
        <v/>
      </c>
      <c r="C242">
        <v>241</v>
      </c>
      <c r="D242" t="str">
        <f t="shared" si="3"/>
        <v/>
      </c>
    </row>
    <row r="243" spans="1:4" x14ac:dyDescent="0.25">
      <c r="A243" t="str">
        <f>Datos!C243</f>
        <v>Pan molde (fuente 1)</v>
      </c>
      <c r="B243" t="str">
        <f>IF(ISNUMBER(SEARCH(Calculadora!$C$4,A243)),MAX(B$1:B242)+1,"")</f>
        <v/>
      </c>
      <c r="C243">
        <v>242</v>
      </c>
      <c r="D243" t="str">
        <f t="shared" si="3"/>
        <v/>
      </c>
    </row>
    <row r="244" spans="1:4" x14ac:dyDescent="0.25">
      <c r="A244" t="str">
        <f>Datos!C244</f>
        <v>Pan molde (fuente 3)</v>
      </c>
      <c r="B244" t="str">
        <f>IF(ISNUMBER(SEARCH(Calculadora!$C$4,A244)),MAX(B$1:B243)+1,"")</f>
        <v/>
      </c>
      <c r="C244">
        <v>243</v>
      </c>
      <c r="D244" t="str">
        <f t="shared" si="3"/>
        <v/>
      </c>
    </row>
    <row r="245" spans="1:4" x14ac:dyDescent="0.25">
      <c r="A245" t="str">
        <f>Datos!C245</f>
        <v>Pan pita blanco</v>
      </c>
      <c r="B245" t="str">
        <f>IF(ISNUMBER(SEARCH(Calculadora!$C$4,A245)),MAX(B$1:B244)+1,"")</f>
        <v/>
      </c>
      <c r="C245">
        <v>244</v>
      </c>
      <c r="D245" t="str">
        <f t="shared" si="3"/>
        <v/>
      </c>
    </row>
    <row r="246" spans="1:4" x14ac:dyDescent="0.25">
      <c r="A246" t="str">
        <f>Datos!C246</f>
        <v>Pan rallado seco</v>
      </c>
      <c r="B246" t="str">
        <f>IF(ISNUMBER(SEARCH(Calculadora!$C$4,A246)),MAX(B$1:B245)+1,"")</f>
        <v/>
      </c>
      <c r="C246">
        <v>245</v>
      </c>
      <c r="D246" t="str">
        <f t="shared" si="3"/>
        <v/>
      </c>
    </row>
    <row r="247" spans="1:4" x14ac:dyDescent="0.25">
      <c r="A247" t="str">
        <f>Datos!C247</f>
        <v>Pan salvado de trigo</v>
      </c>
      <c r="B247" t="str">
        <f>IF(ISNUMBER(SEARCH(Calculadora!$C$4,A247)),MAX(B$1:B246)+1,"")</f>
        <v/>
      </c>
      <c r="C247">
        <v>246</v>
      </c>
      <c r="D247" t="str">
        <f t="shared" si="3"/>
        <v/>
      </c>
    </row>
    <row r="248" spans="1:4" x14ac:dyDescent="0.25">
      <c r="A248" t="str">
        <f>Datos!C248</f>
        <v>Pan trigo</v>
      </c>
      <c r="B248" t="str">
        <f>IF(ISNUMBER(SEARCH(Calculadora!$C$4,A248)),MAX(B$1:B247)+1,"")</f>
        <v/>
      </c>
      <c r="C248">
        <v>247</v>
      </c>
      <c r="D248" t="str">
        <f t="shared" si="3"/>
        <v/>
      </c>
    </row>
    <row r="249" spans="1:4" x14ac:dyDescent="0.25">
      <c r="A249" t="str">
        <f>Datos!C249</f>
        <v>Tortilla para tacos</v>
      </c>
      <c r="B249" t="str">
        <f>IF(ISNUMBER(SEARCH(Calculadora!$C$4,A249)),MAX(B$1:B248)+1,"")</f>
        <v/>
      </c>
      <c r="C249">
        <v>248</v>
      </c>
      <c r="D249" t="str">
        <f t="shared" si="3"/>
        <v/>
      </c>
    </row>
    <row r="250" spans="1:4" x14ac:dyDescent="0.25">
      <c r="A250" t="str">
        <f>Datos!C250</f>
        <v>Arroz blanco</v>
      </c>
      <c r="B250" t="str">
        <f>IF(ISNUMBER(SEARCH(Calculadora!$C$4,A250)),MAX(B$1:B249)+1,"")</f>
        <v/>
      </c>
      <c r="C250">
        <v>249</v>
      </c>
      <c r="D250" t="str">
        <f t="shared" si="3"/>
        <v/>
      </c>
    </row>
    <row r="251" spans="1:4" x14ac:dyDescent="0.25">
      <c r="A251" t="str">
        <f>Datos!C251</f>
        <v>Arroz blanco cocido</v>
      </c>
      <c r="B251" t="str">
        <f>IF(ISNUMBER(SEARCH(Calculadora!$C$4,A251)),MAX(B$1:B250)+1,"")</f>
        <v/>
      </c>
      <c r="C251">
        <v>250</v>
      </c>
      <c r="D251" t="str">
        <f t="shared" si="3"/>
        <v/>
      </c>
    </row>
    <row r="252" spans="1:4" x14ac:dyDescent="0.25">
      <c r="A252" t="str">
        <f>Datos!C252</f>
        <v>Arroz integral</v>
      </c>
      <c r="B252" t="str">
        <f>IF(ISNUMBER(SEARCH(Calculadora!$C$4,A252)),MAX(B$1:B251)+1,"")</f>
        <v/>
      </c>
      <c r="C252">
        <v>251</v>
      </c>
      <c r="D252" t="str">
        <f t="shared" si="3"/>
        <v/>
      </c>
    </row>
    <row r="253" spans="1:4" x14ac:dyDescent="0.25">
      <c r="A253" t="str">
        <f>Datos!C253</f>
        <v>Arroz integral cocido</v>
      </c>
      <c r="B253" t="str">
        <f>IF(ISNUMBER(SEARCH(Calculadora!$C$4,A253)),MAX(B$1:B252)+1,"")</f>
        <v/>
      </c>
      <c r="C253">
        <v>252</v>
      </c>
      <c r="D253" t="str">
        <f t="shared" si="3"/>
        <v/>
      </c>
    </row>
    <row r="254" spans="1:4" x14ac:dyDescent="0.25">
      <c r="A254" t="str">
        <f>Datos!C254</f>
        <v>Cabritas</v>
      </c>
      <c r="B254" t="str">
        <f>IF(ISNUMBER(SEARCH(Calculadora!$C$4,A254)),MAX(B$1:B253)+1,"")</f>
        <v/>
      </c>
      <c r="C254">
        <v>253</v>
      </c>
      <c r="D254" t="str">
        <f t="shared" si="3"/>
        <v/>
      </c>
    </row>
    <row r="255" spans="1:4" x14ac:dyDescent="0.25">
      <c r="A255" t="str">
        <f>Datos!C255</f>
        <v>Choclo cocido</v>
      </c>
      <c r="B255" t="str">
        <f>IF(ISNUMBER(SEARCH(Calculadora!$C$4,A255)),MAX(B$1:B254)+1,"")</f>
        <v/>
      </c>
      <c r="C255">
        <v>254</v>
      </c>
      <c r="D255" t="str">
        <f t="shared" si="3"/>
        <v/>
      </c>
    </row>
    <row r="256" spans="1:4" x14ac:dyDescent="0.25">
      <c r="A256" t="str">
        <f>Datos!C256</f>
        <v>Choclo congelado</v>
      </c>
      <c r="B256" t="str">
        <f>IF(ISNUMBER(SEARCH(Calculadora!$C$4,A256)),MAX(B$1:B255)+1,"")</f>
        <v/>
      </c>
      <c r="C256">
        <v>255</v>
      </c>
      <c r="D256" t="str">
        <f t="shared" si="3"/>
        <v/>
      </c>
    </row>
    <row r="257" spans="1:4" x14ac:dyDescent="0.25">
      <c r="A257" t="str">
        <f>Datos!C257</f>
        <v>Choclo</v>
      </c>
      <c r="B257" t="str">
        <f>IF(ISNUMBER(SEARCH(Calculadora!$C$4,A257)),MAX(B$1:B256)+1,"")</f>
        <v/>
      </c>
      <c r="C257">
        <v>256</v>
      </c>
      <c r="D257" t="str">
        <f t="shared" si="3"/>
        <v/>
      </c>
    </row>
    <row r="258" spans="1:4" x14ac:dyDescent="0.25">
      <c r="A258" t="str">
        <f>Datos!C258</f>
        <v>Mote trigo cocido</v>
      </c>
      <c r="B258" t="str">
        <f>IF(ISNUMBER(SEARCH(Calculadora!$C$4,A258)),MAX(B$1:B257)+1,"")</f>
        <v/>
      </c>
      <c r="C258">
        <v>257</v>
      </c>
      <c r="D258" t="str">
        <f t="shared" ref="D258:D321" si="4">IFERROR(INDEX($A$2:$A$647,MATCH(C258,$B$2:$B$647,0)),"")</f>
        <v/>
      </c>
    </row>
    <row r="259" spans="1:4" x14ac:dyDescent="0.25">
      <c r="A259" t="str">
        <f>Datos!C259</f>
        <v>Mote trigo</v>
      </c>
      <c r="B259" t="str">
        <f>IF(ISNUMBER(SEARCH(Calculadora!$C$4,A259)),MAX(B$1:B258)+1,"")</f>
        <v/>
      </c>
      <c r="C259">
        <v>258</v>
      </c>
      <c r="D259" t="str">
        <f t="shared" si="4"/>
        <v/>
      </c>
    </row>
    <row r="260" spans="1:4" x14ac:dyDescent="0.25">
      <c r="A260" t="str">
        <f>Datos!C260</f>
        <v>Quinoa (fuente 1)</v>
      </c>
      <c r="B260" t="str">
        <f>IF(ISNUMBER(SEARCH(Calculadora!$C$4,A260)),MAX(B$1:B259)+1,"")</f>
        <v/>
      </c>
      <c r="C260">
        <v>259</v>
      </c>
      <c r="D260" t="str">
        <f t="shared" si="4"/>
        <v/>
      </c>
    </row>
    <row r="261" spans="1:4" x14ac:dyDescent="0.25">
      <c r="A261" t="str">
        <f>Datos!C261</f>
        <v>Quinoa (fuente 3)</v>
      </c>
      <c r="B261" t="str">
        <f>IF(ISNUMBER(SEARCH(Calculadora!$C$4,A261)),MAX(B$1:B260)+1,"")</f>
        <v/>
      </c>
      <c r="C261">
        <v>260</v>
      </c>
      <c r="D261" t="str">
        <f t="shared" si="4"/>
        <v/>
      </c>
    </row>
    <row r="262" spans="1:4" x14ac:dyDescent="0.25">
      <c r="A262" t="str">
        <f>Datos!C262</f>
        <v>Quinoa cocida</v>
      </c>
      <c r="B262" t="str">
        <f>IF(ISNUMBER(SEARCH(Calculadora!$C$4,A262)),MAX(B$1:B261)+1,"")</f>
        <v/>
      </c>
      <c r="C262">
        <v>261</v>
      </c>
      <c r="D262" t="str">
        <f t="shared" si="4"/>
        <v/>
      </c>
    </row>
    <row r="263" spans="1:4" x14ac:dyDescent="0.25">
      <c r="A263" t="str">
        <f>Datos!C263</f>
        <v>Salvado de avena</v>
      </c>
      <c r="B263" t="str">
        <f>IF(ISNUMBER(SEARCH(Calculadora!$C$4,A263)),MAX(B$1:B262)+1,"")</f>
        <v/>
      </c>
      <c r="C263">
        <v>262</v>
      </c>
      <c r="D263" t="str">
        <f t="shared" si="4"/>
        <v/>
      </c>
    </row>
    <row r="264" spans="1:4" x14ac:dyDescent="0.25">
      <c r="A264" t="str">
        <f>Datos!C264</f>
        <v>Salvado de trigo</v>
      </c>
      <c r="B264" t="str">
        <f>IF(ISNUMBER(SEARCH(Calculadora!$C$4,A264)),MAX(B$1:B263)+1,"")</f>
        <v/>
      </c>
      <c r="C264">
        <v>263</v>
      </c>
      <c r="D264" t="str">
        <f t="shared" si="4"/>
        <v/>
      </c>
    </row>
    <row r="265" spans="1:4" x14ac:dyDescent="0.25">
      <c r="A265" t="str">
        <f>Datos!C265</f>
        <v>Avena</v>
      </c>
      <c r="B265" t="str">
        <f>IF(ISNUMBER(SEARCH(Calculadora!$C$4,A265)),MAX(B$1:B264)+1,"")</f>
        <v/>
      </c>
      <c r="C265">
        <v>264</v>
      </c>
      <c r="D265" t="str">
        <f t="shared" si="4"/>
        <v/>
      </c>
    </row>
    <row r="266" spans="1:4" x14ac:dyDescent="0.25">
      <c r="A266" t="str">
        <f>Datos!C266</f>
        <v>Cereal de maíz (fuente 3)</v>
      </c>
      <c r="B266" t="str">
        <f>IF(ISNUMBER(SEARCH(Calculadora!$C$4,A266)),MAX(B$1:B265)+1,"")</f>
        <v/>
      </c>
      <c r="C266">
        <v>265</v>
      </c>
      <c r="D266" t="str">
        <f t="shared" si="4"/>
        <v/>
      </c>
    </row>
    <row r="267" spans="1:4" x14ac:dyDescent="0.25">
      <c r="A267" t="str">
        <f>Datos!C267</f>
        <v>Cereal de maíz (fuente 1)</v>
      </c>
      <c r="B267" t="str">
        <f>IF(ISNUMBER(SEARCH(Calculadora!$C$4,A267)),MAX(B$1:B266)+1,"")</f>
        <v/>
      </c>
      <c r="C267">
        <v>266</v>
      </c>
      <c r="D267" t="str">
        <f t="shared" si="4"/>
        <v/>
      </c>
    </row>
    <row r="268" spans="1:4" x14ac:dyDescent="0.25">
      <c r="A268" t="str">
        <f>Datos!C268</f>
        <v>Granola</v>
      </c>
      <c r="B268" t="str">
        <f>IF(ISNUMBER(SEARCH(Calculadora!$C$4,A268)),MAX(B$1:B267)+1,"")</f>
        <v/>
      </c>
      <c r="C268">
        <v>267</v>
      </c>
      <c r="D268" t="str">
        <f t="shared" si="4"/>
        <v/>
      </c>
    </row>
    <row r="269" spans="1:4" x14ac:dyDescent="0.25">
      <c r="A269" t="str">
        <f>Datos!C269</f>
        <v>Burgol</v>
      </c>
      <c r="B269" t="str">
        <f>IF(ISNUMBER(SEARCH(Calculadora!$C$4,A269)),MAX(B$1:B268)+1,"")</f>
        <v/>
      </c>
      <c r="C269">
        <v>268</v>
      </c>
      <c r="D269" t="str">
        <f t="shared" si="4"/>
        <v/>
      </c>
    </row>
    <row r="270" spans="1:4" x14ac:dyDescent="0.25">
      <c r="A270" t="str">
        <f>Datos!C270</f>
        <v>Cuscús cocido</v>
      </c>
      <c r="B270" t="str">
        <f>IF(ISNUMBER(SEARCH(Calculadora!$C$4,A270)),MAX(B$1:B269)+1,"")</f>
        <v/>
      </c>
      <c r="C270">
        <v>269</v>
      </c>
      <c r="D270" t="str">
        <f t="shared" si="4"/>
        <v/>
      </c>
    </row>
    <row r="271" spans="1:4" x14ac:dyDescent="0.25">
      <c r="A271" t="str">
        <f>Datos!C271</f>
        <v>Cuscús seco</v>
      </c>
      <c r="B271" t="str">
        <f>IF(ISNUMBER(SEARCH(Calculadora!$C$4,A271)),MAX(B$1:B270)+1,"")</f>
        <v/>
      </c>
      <c r="C271">
        <v>270</v>
      </c>
      <c r="D271" t="str">
        <f t="shared" si="4"/>
        <v/>
      </c>
    </row>
    <row r="272" spans="1:4" x14ac:dyDescent="0.25">
      <c r="A272" t="str">
        <f>Datos!C272</f>
        <v>Fideos</v>
      </c>
      <c r="B272" t="str">
        <f>IF(ISNUMBER(SEARCH(Calculadora!$C$4,A272)),MAX(B$1:B271)+1,"")</f>
        <v/>
      </c>
      <c r="C272">
        <v>271</v>
      </c>
      <c r="D272" t="str">
        <f t="shared" si="4"/>
        <v/>
      </c>
    </row>
    <row r="273" spans="1:4" x14ac:dyDescent="0.25">
      <c r="A273" t="str">
        <f>Datos!C273</f>
        <v>Fideos cocidos</v>
      </c>
      <c r="B273" t="str">
        <f>IF(ISNUMBER(SEARCH(Calculadora!$C$4,A273)),MAX(B$1:B272)+1,"")</f>
        <v/>
      </c>
      <c r="C273">
        <v>272</v>
      </c>
      <c r="D273" t="str">
        <f t="shared" si="4"/>
        <v/>
      </c>
    </row>
    <row r="274" spans="1:4" x14ac:dyDescent="0.25">
      <c r="A274" t="str">
        <f>Datos!C274</f>
        <v>Fideos de arroz cocido</v>
      </c>
      <c r="B274" t="str">
        <f>IF(ISNUMBER(SEARCH(Calculadora!$C$4,A274)),MAX(B$1:B273)+1,"")</f>
        <v/>
      </c>
      <c r="C274">
        <v>273</v>
      </c>
      <c r="D274" t="str">
        <f t="shared" si="4"/>
        <v/>
      </c>
    </row>
    <row r="275" spans="1:4" x14ac:dyDescent="0.25">
      <c r="A275" t="str">
        <f>Datos!C275</f>
        <v>Galleta champaña</v>
      </c>
      <c r="B275" t="str">
        <f>IF(ISNUMBER(SEARCH(Calculadora!$C$4,A275)),MAX(B$1:B274)+1,"")</f>
        <v/>
      </c>
      <c r="C275">
        <v>274</v>
      </c>
      <c r="D275" t="str">
        <f t="shared" si="4"/>
        <v/>
      </c>
    </row>
    <row r="276" spans="1:4" x14ac:dyDescent="0.25">
      <c r="A276" t="str">
        <f>Datos!C276</f>
        <v>Galleta cereal avena manzana</v>
      </c>
      <c r="B276" t="str">
        <f>IF(ISNUMBER(SEARCH(Calculadora!$C$4,A276)),MAX(B$1:B275)+1,"")</f>
        <v/>
      </c>
      <c r="C276">
        <v>275</v>
      </c>
      <c r="D276" t="str">
        <f t="shared" si="4"/>
        <v/>
      </c>
    </row>
    <row r="277" spans="1:4" x14ac:dyDescent="0.25">
      <c r="A277" t="str">
        <f>Datos!C277</f>
        <v>Galleta cereal berries</v>
      </c>
      <c r="B277" t="str">
        <f>IF(ISNUMBER(SEARCH(Calculadora!$C$4,A277)),MAX(B$1:B276)+1,"")</f>
        <v/>
      </c>
      <c r="C277">
        <v>276</v>
      </c>
      <c r="D277" t="str">
        <f t="shared" si="4"/>
        <v/>
      </c>
    </row>
    <row r="278" spans="1:4" x14ac:dyDescent="0.25">
      <c r="A278" t="str">
        <f>Datos!C278</f>
        <v>Galleta cereal cacao</v>
      </c>
      <c r="B278" t="str">
        <f>IF(ISNUMBER(SEARCH(Calculadora!$C$4,A278)),MAX(B$1:B277)+1,"")</f>
        <v/>
      </c>
      <c r="C278">
        <v>277</v>
      </c>
      <c r="D278" t="str">
        <f t="shared" si="4"/>
        <v/>
      </c>
    </row>
    <row r="279" spans="1:4" x14ac:dyDescent="0.25">
      <c r="A279" t="str">
        <f>Datos!C279</f>
        <v>Galleta cereal clásica</v>
      </c>
      <c r="B279" t="str">
        <f>IF(ISNUMBER(SEARCH(Calculadora!$C$4,A279)),MAX(B$1:B278)+1,"")</f>
        <v/>
      </c>
      <c r="C279">
        <v>278</v>
      </c>
      <c r="D279" t="str">
        <f t="shared" si="4"/>
        <v/>
      </c>
    </row>
    <row r="280" spans="1:4" x14ac:dyDescent="0.25">
      <c r="A280" t="str">
        <f>Datos!C280</f>
        <v>Galleta cereal fibra cacao</v>
      </c>
      <c r="B280" t="str">
        <f>IF(ISNUMBER(SEARCH(Calculadora!$C$4,A280)),MAX(B$1:B279)+1,"")</f>
        <v/>
      </c>
      <c r="C280">
        <v>279</v>
      </c>
      <c r="D280" t="str">
        <f t="shared" si="4"/>
        <v/>
      </c>
    </row>
    <row r="281" spans="1:4" x14ac:dyDescent="0.25">
      <c r="A281" t="str">
        <f>Datos!C281</f>
        <v>Galleta chips de chocolate</v>
      </c>
      <c r="B281" t="str">
        <f>IF(ISNUMBER(SEARCH(Calculadora!$C$4,A281)),MAX(B$1:B280)+1,"")</f>
        <v/>
      </c>
      <c r="C281">
        <v>280</v>
      </c>
      <c r="D281" t="str">
        <f t="shared" si="4"/>
        <v/>
      </c>
    </row>
    <row r="282" spans="1:4" x14ac:dyDescent="0.25">
      <c r="A282" t="str">
        <f>Datos!C282</f>
        <v>Galleta chocolate</v>
      </c>
      <c r="B282" t="str">
        <f>IF(ISNUMBER(SEARCH(Calculadora!$C$4,A282)),MAX(B$1:B281)+1,"")</f>
        <v/>
      </c>
      <c r="C282">
        <v>281</v>
      </c>
      <c r="D282" t="str">
        <f t="shared" si="4"/>
        <v/>
      </c>
    </row>
    <row r="283" spans="1:4" x14ac:dyDescent="0.25">
      <c r="A283" t="str">
        <f>Datos!C283</f>
        <v>Galleta de arroz (fuente 3)</v>
      </c>
      <c r="B283" t="str">
        <f>IF(ISNUMBER(SEARCH(Calculadora!$C$4,A283)),MAX(B$1:B282)+1,"")</f>
        <v/>
      </c>
      <c r="C283">
        <v>282</v>
      </c>
      <c r="D283" t="str">
        <f t="shared" si="4"/>
        <v/>
      </c>
    </row>
    <row r="284" spans="1:4" x14ac:dyDescent="0.25">
      <c r="A284" t="str">
        <f>Datos!C284</f>
        <v>Galleta de arroz (fuente 4)</v>
      </c>
      <c r="B284" t="str">
        <f>IF(ISNUMBER(SEARCH(Calculadora!$C$4,A284)),MAX(B$1:B283)+1,"")</f>
        <v/>
      </c>
      <c r="C284">
        <v>283</v>
      </c>
      <c r="D284" t="str">
        <f t="shared" si="4"/>
        <v/>
      </c>
    </row>
    <row r="285" spans="1:4" x14ac:dyDescent="0.25">
      <c r="A285" t="str">
        <f>Datos!C285</f>
        <v>Galleta de arroz sésamo</v>
      </c>
      <c r="B285" t="str">
        <f>IF(ISNUMBER(SEARCH(Calculadora!$C$4,A285)),MAX(B$1:B284)+1,"")</f>
        <v/>
      </c>
      <c r="C285">
        <v>284</v>
      </c>
      <c r="D285" t="str">
        <f t="shared" si="4"/>
        <v/>
      </c>
    </row>
    <row r="286" spans="1:4" x14ac:dyDescent="0.25">
      <c r="A286" t="str">
        <f>Datos!C286</f>
        <v>Galleta de arroz sin sal</v>
      </c>
      <c r="B286" t="str">
        <f>IF(ISNUMBER(SEARCH(Calculadora!$C$4,A286)),MAX(B$1:B285)+1,"")</f>
        <v/>
      </c>
      <c r="C286">
        <v>285</v>
      </c>
      <c r="D286" t="str">
        <f t="shared" si="4"/>
        <v/>
      </c>
    </row>
    <row r="287" spans="1:4" x14ac:dyDescent="0.25">
      <c r="A287" t="str">
        <f>Datos!C287</f>
        <v>Galleta de arroz trigo avena</v>
      </c>
      <c r="B287" t="str">
        <f>IF(ISNUMBER(SEARCH(Calculadora!$C$4,A287)),MAX(B$1:B286)+1,"")</f>
        <v/>
      </c>
      <c r="C287">
        <v>286</v>
      </c>
      <c r="D287" t="str">
        <f t="shared" si="4"/>
        <v/>
      </c>
    </row>
    <row r="288" spans="1:4" x14ac:dyDescent="0.25">
      <c r="A288" t="str">
        <f>Datos!C288</f>
        <v>Galleta mantequilla</v>
      </c>
      <c r="B288" t="str">
        <f>IF(ISNUMBER(SEARCH(Calculadora!$C$4,A288)),MAX(B$1:B287)+1,"")</f>
        <v/>
      </c>
      <c r="C288">
        <v>287</v>
      </c>
      <c r="D288" t="str">
        <f t="shared" si="4"/>
        <v/>
      </c>
    </row>
    <row r="289" spans="1:4" x14ac:dyDescent="0.25">
      <c r="A289" t="str">
        <f>Datos!C289</f>
        <v>Galleta mini cocaditas</v>
      </c>
      <c r="B289" t="str">
        <f>IF(ISNUMBER(SEARCH(Calculadora!$C$4,A289)),MAX(B$1:B288)+1,"")</f>
        <v/>
      </c>
      <c r="C289">
        <v>288</v>
      </c>
      <c r="D289" t="str">
        <f t="shared" si="4"/>
        <v/>
      </c>
    </row>
    <row r="290" spans="1:4" x14ac:dyDescent="0.25">
      <c r="A290" t="str">
        <f>Datos!C290</f>
        <v>Galleta mini limón</v>
      </c>
      <c r="B290" t="str">
        <f>IF(ISNUMBER(SEARCH(Calculadora!$C$4,A290)),MAX(B$1:B289)+1,"")</f>
        <v/>
      </c>
      <c r="C290">
        <v>289</v>
      </c>
      <c r="D290" t="str">
        <f t="shared" si="4"/>
        <v/>
      </c>
    </row>
    <row r="291" spans="1:4" x14ac:dyDescent="0.25">
      <c r="A291" t="str">
        <f>Datos!C291</f>
        <v>Galleta mini mantequilla</v>
      </c>
      <c r="B291" t="str">
        <f>IF(ISNUMBER(SEARCH(Calculadora!$C$4,A291)),MAX(B$1:B290)+1,"")</f>
        <v/>
      </c>
      <c r="C291">
        <v>290</v>
      </c>
      <c r="D291" t="str">
        <f t="shared" si="4"/>
        <v/>
      </c>
    </row>
    <row r="292" spans="1:4" x14ac:dyDescent="0.25">
      <c r="A292" t="str">
        <f>Datos!C292</f>
        <v>Galleta mini vino</v>
      </c>
      <c r="B292" t="str">
        <f>IF(ISNUMBER(SEARCH(Calculadora!$C$4,A292)),MAX(B$1:B291)+1,"")</f>
        <v/>
      </c>
      <c r="C292">
        <v>291</v>
      </c>
      <c r="D292" t="str">
        <f t="shared" si="4"/>
        <v/>
      </c>
    </row>
    <row r="293" spans="1:4" x14ac:dyDescent="0.25">
      <c r="A293" t="str">
        <f>Datos!C293</f>
        <v>Galleta soda</v>
      </c>
      <c r="B293" t="str">
        <f>IF(ISNUMBER(SEARCH(Calculadora!$C$4,A293)),MAX(B$1:B292)+1,"")</f>
        <v/>
      </c>
      <c r="C293">
        <v>292</v>
      </c>
      <c r="D293" t="str">
        <f t="shared" si="4"/>
        <v/>
      </c>
    </row>
    <row r="294" spans="1:4" x14ac:dyDescent="0.25">
      <c r="A294" t="str">
        <f>Datos!C294</f>
        <v>Galleta vainilla</v>
      </c>
      <c r="B294" t="str">
        <f>IF(ISNUMBER(SEARCH(Calculadora!$C$4,A294)),MAX(B$1:B293)+1,"")</f>
        <v/>
      </c>
      <c r="C294">
        <v>293</v>
      </c>
      <c r="D294" t="str">
        <f t="shared" si="4"/>
        <v/>
      </c>
    </row>
    <row r="295" spans="1:4" x14ac:dyDescent="0.25">
      <c r="A295" t="str">
        <f>Datos!C295</f>
        <v>Galleta vino</v>
      </c>
      <c r="B295" t="str">
        <f>IF(ISNUMBER(SEARCH(Calculadora!$C$4,A295)),MAX(B$1:B294)+1,"")</f>
        <v/>
      </c>
      <c r="C295">
        <v>294</v>
      </c>
      <c r="D295" t="str">
        <f t="shared" si="4"/>
        <v/>
      </c>
    </row>
    <row r="296" spans="1:4" x14ac:dyDescent="0.25">
      <c r="A296" t="str">
        <f>Datos!C296</f>
        <v>Galletas cracker</v>
      </c>
      <c r="B296" t="str">
        <f>IF(ISNUMBER(SEARCH(Calculadora!$C$4,A296)),MAX(B$1:B295)+1,"")</f>
        <v/>
      </c>
      <c r="C296">
        <v>295</v>
      </c>
      <c r="D296" t="str">
        <f t="shared" si="4"/>
        <v/>
      </c>
    </row>
    <row r="297" spans="1:4" x14ac:dyDescent="0.25">
      <c r="A297" t="str">
        <f>Datos!C297</f>
        <v>Galletas de agua</v>
      </c>
      <c r="B297" t="str">
        <f>IF(ISNUMBER(SEARCH(Calculadora!$C$4,A297)),MAX(B$1:B296)+1,"")</f>
        <v/>
      </c>
      <c r="C297">
        <v>296</v>
      </c>
      <c r="D297" t="str">
        <f t="shared" si="4"/>
        <v/>
      </c>
    </row>
    <row r="298" spans="1:4" x14ac:dyDescent="0.25">
      <c r="A298" t="str">
        <f>Datos!C298</f>
        <v>Galletas de arroz</v>
      </c>
      <c r="B298" t="str">
        <f>IF(ISNUMBER(SEARCH(Calculadora!$C$4,A298)),MAX(B$1:B297)+1,"")</f>
        <v/>
      </c>
      <c r="C298">
        <v>297</v>
      </c>
      <c r="D298" t="str">
        <f t="shared" si="4"/>
        <v/>
      </c>
    </row>
    <row r="299" spans="1:4" x14ac:dyDescent="0.25">
      <c r="A299" t="str">
        <f>Datos!C299</f>
        <v>Harina de centeno</v>
      </c>
      <c r="B299" t="str">
        <f>IF(ISNUMBER(SEARCH(Calculadora!$C$4,A299)),MAX(B$1:B298)+1,"")</f>
        <v/>
      </c>
      <c r="C299">
        <v>298</v>
      </c>
      <c r="D299" t="str">
        <f t="shared" si="4"/>
        <v/>
      </c>
    </row>
    <row r="300" spans="1:4" x14ac:dyDescent="0.25">
      <c r="A300" t="str">
        <f>Datos!C300</f>
        <v>Harina de trigo</v>
      </c>
      <c r="B300" t="str">
        <f>IF(ISNUMBER(SEARCH(Calculadora!$C$4,A300)),MAX(B$1:B299)+1,"")</f>
        <v/>
      </c>
      <c r="C300">
        <v>299</v>
      </c>
      <c r="D300" t="str">
        <f t="shared" si="4"/>
        <v/>
      </c>
    </row>
    <row r="301" spans="1:4" x14ac:dyDescent="0.25">
      <c r="A301" t="str">
        <f>Datos!C301</f>
        <v>Harina de yuca</v>
      </c>
      <c r="B301" t="str">
        <f>IF(ISNUMBER(SEARCH(Calculadora!$C$4,A301)),MAX(B$1:B300)+1,"")</f>
        <v/>
      </c>
      <c r="C301">
        <v>300</v>
      </c>
      <c r="D301" t="str">
        <f t="shared" si="4"/>
        <v/>
      </c>
    </row>
    <row r="302" spans="1:4" x14ac:dyDescent="0.25">
      <c r="A302" t="str">
        <f>Datos!C302</f>
        <v>Harina de trigo tostada</v>
      </c>
      <c r="B302" t="str">
        <f>IF(ISNUMBER(SEARCH(Calculadora!$C$4,A302)),MAX(B$1:B301)+1,"")</f>
        <v/>
      </c>
      <c r="C302">
        <v>301</v>
      </c>
      <c r="D302" t="str">
        <f t="shared" si="4"/>
        <v/>
      </c>
    </row>
    <row r="303" spans="1:4" x14ac:dyDescent="0.25">
      <c r="A303" t="str">
        <f>Datos!C303</f>
        <v>Chuchoca</v>
      </c>
      <c r="B303" t="str">
        <f>IF(ISNUMBER(SEARCH(Calculadora!$C$4,A303)),MAX(B$1:B302)+1,"")</f>
        <v/>
      </c>
      <c r="C303">
        <v>302</v>
      </c>
      <c r="D303" t="str">
        <f t="shared" si="4"/>
        <v/>
      </c>
    </row>
    <row r="304" spans="1:4" x14ac:dyDescent="0.25">
      <c r="A304" t="str">
        <f>Datos!C304</f>
        <v>Chuño</v>
      </c>
      <c r="B304" t="str">
        <f>IF(ISNUMBER(SEARCH(Calculadora!$C$4,A304)),MAX(B$1:B303)+1,"")</f>
        <v/>
      </c>
      <c r="C304">
        <v>303</v>
      </c>
      <c r="D304" t="str">
        <f t="shared" si="4"/>
        <v/>
      </c>
    </row>
    <row r="305" spans="1:4" x14ac:dyDescent="0.25">
      <c r="A305" t="str">
        <f>Datos!C305</f>
        <v>Maicena</v>
      </c>
      <c r="B305" t="str">
        <f>IF(ISNUMBER(SEARCH(Calculadora!$C$4,A305)),MAX(B$1:B304)+1,"")</f>
        <v/>
      </c>
      <c r="C305">
        <v>304</v>
      </c>
      <c r="D305" t="str">
        <f t="shared" si="4"/>
        <v/>
      </c>
    </row>
    <row r="306" spans="1:4" x14ac:dyDescent="0.25">
      <c r="A306" t="str">
        <f>Datos!C306</f>
        <v>Sémola (fuente 1)</v>
      </c>
      <c r="B306" t="str">
        <f>IF(ISNUMBER(SEARCH(Calculadora!$C$4,A306)),MAX(B$1:B305)+1,"")</f>
        <v/>
      </c>
      <c r="C306">
        <v>305</v>
      </c>
      <c r="D306" t="str">
        <f t="shared" si="4"/>
        <v/>
      </c>
    </row>
    <row r="307" spans="1:4" x14ac:dyDescent="0.25">
      <c r="A307" t="str">
        <f>Datos!C307</f>
        <v>Sémola (fuente 4)</v>
      </c>
      <c r="B307" t="str">
        <f>IF(ISNUMBER(SEARCH(Calculadora!$C$4,A307)),MAX(B$1:B306)+1,"")</f>
        <v/>
      </c>
      <c r="C307">
        <v>306</v>
      </c>
      <c r="D307" t="str">
        <f t="shared" si="4"/>
        <v/>
      </c>
    </row>
    <row r="308" spans="1:4" x14ac:dyDescent="0.25">
      <c r="A308" t="str">
        <f>Datos!C308</f>
        <v>Tapioca</v>
      </c>
      <c r="B308" t="str">
        <f>IF(ISNUMBER(SEARCH(Calculadora!$C$4,A308)),MAX(B$1:B307)+1,"")</f>
        <v/>
      </c>
      <c r="C308">
        <v>307</v>
      </c>
      <c r="D308" t="str">
        <f t="shared" si="4"/>
        <v/>
      </c>
    </row>
    <row r="309" spans="1:4" x14ac:dyDescent="0.25">
      <c r="A309" t="str">
        <f>Datos!C309</f>
        <v>Camote</v>
      </c>
      <c r="B309" t="str">
        <f>IF(ISNUMBER(SEARCH(Calculadora!$C$4,A309)),MAX(B$1:B308)+1,"")</f>
        <v/>
      </c>
      <c r="C309">
        <v>308</v>
      </c>
      <c r="D309" t="str">
        <f t="shared" si="4"/>
        <v/>
      </c>
    </row>
    <row r="310" spans="1:4" x14ac:dyDescent="0.25">
      <c r="A310" t="str">
        <f>Datos!C310</f>
        <v>Papa cocida</v>
      </c>
      <c r="B310" t="str">
        <f>IF(ISNUMBER(SEARCH(Calculadora!$C$4,A310)),MAX(B$1:B309)+1,"")</f>
        <v/>
      </c>
      <c r="C310">
        <v>309</v>
      </c>
      <c r="D310" t="str">
        <f t="shared" si="4"/>
        <v/>
      </c>
    </row>
    <row r="311" spans="1:4" x14ac:dyDescent="0.25">
      <c r="A311" t="str">
        <f>Datos!C311</f>
        <v>Papa cruda</v>
      </c>
      <c r="B311" t="str">
        <f>IF(ISNUMBER(SEARCH(Calculadora!$C$4,A311)),MAX(B$1:B310)+1,"")</f>
        <v/>
      </c>
      <c r="C311">
        <v>310</v>
      </c>
      <c r="D311" t="str">
        <f t="shared" si="4"/>
        <v/>
      </c>
    </row>
    <row r="312" spans="1:4" x14ac:dyDescent="0.25">
      <c r="A312" t="str">
        <f>Datos!C312</f>
        <v>Papa entera rojiza</v>
      </c>
      <c r="B312" t="str">
        <f>IF(ISNUMBER(SEARCH(Calculadora!$C$4,A312)),MAX(B$1:B311)+1,"")</f>
        <v/>
      </c>
      <c r="C312">
        <v>311</v>
      </c>
      <c r="D312" t="str">
        <f t="shared" si="4"/>
        <v/>
      </c>
    </row>
    <row r="313" spans="1:4" x14ac:dyDescent="0.25">
      <c r="A313" t="str">
        <f>Datos!C313</f>
        <v>Aceite de canola</v>
      </c>
      <c r="B313" t="str">
        <f>IF(ISNUMBER(SEARCH(Calculadora!$C$4,A313)),MAX(B$1:B312)+1,"")</f>
        <v/>
      </c>
      <c r="C313">
        <v>312</v>
      </c>
      <c r="D313" t="str">
        <f t="shared" si="4"/>
        <v/>
      </c>
    </row>
    <row r="314" spans="1:4" x14ac:dyDescent="0.25">
      <c r="A314" t="str">
        <f>Datos!C314</f>
        <v>Aceite de coco</v>
      </c>
      <c r="B314" t="str">
        <f>IF(ISNUMBER(SEARCH(Calculadora!$C$4,A314)),MAX(B$1:B313)+1,"")</f>
        <v/>
      </c>
      <c r="C314">
        <v>313</v>
      </c>
      <c r="D314" t="str">
        <f t="shared" si="4"/>
        <v/>
      </c>
    </row>
    <row r="315" spans="1:4" x14ac:dyDescent="0.25">
      <c r="A315" t="str">
        <f>Datos!C315</f>
        <v>Aceite de maíz</v>
      </c>
      <c r="B315" t="str">
        <f>IF(ISNUMBER(SEARCH(Calculadora!$C$4,A315)),MAX(B$1:B314)+1,"")</f>
        <v/>
      </c>
      <c r="C315">
        <v>314</v>
      </c>
      <c r="D315" t="str">
        <f t="shared" si="4"/>
        <v/>
      </c>
    </row>
    <row r="316" spans="1:4" x14ac:dyDescent="0.25">
      <c r="A316" t="str">
        <f>Datos!C316</f>
        <v>Aceite de maravilla (fuente 1)</v>
      </c>
      <c r="B316" t="str">
        <f>IF(ISNUMBER(SEARCH(Calculadora!$C$4,A316)),MAX(B$1:B315)+1,"")</f>
        <v/>
      </c>
      <c r="C316">
        <v>315</v>
      </c>
      <c r="D316" t="str">
        <f t="shared" si="4"/>
        <v/>
      </c>
    </row>
    <row r="317" spans="1:4" x14ac:dyDescent="0.25">
      <c r="A317" t="str">
        <f>Datos!C317</f>
        <v>Aceite de maravilla (fuente 3)</v>
      </c>
      <c r="B317" t="str">
        <f>IF(ISNUMBER(SEARCH(Calculadora!$C$4,A317)),MAX(B$1:B316)+1,"")</f>
        <v/>
      </c>
      <c r="C317">
        <v>316</v>
      </c>
      <c r="D317" t="str">
        <f t="shared" si="4"/>
        <v/>
      </c>
    </row>
    <row r="318" spans="1:4" x14ac:dyDescent="0.25">
      <c r="A318" t="str">
        <f>Datos!C318</f>
        <v>Aceite de maravilla (fuente 2)</v>
      </c>
      <c r="B318" t="str">
        <f>IF(ISNUMBER(SEARCH(Calculadora!$C$4,A318)),MAX(B$1:B317)+1,"")</f>
        <v/>
      </c>
      <c r="C318">
        <v>317</v>
      </c>
      <c r="D318" t="str">
        <f t="shared" si="4"/>
        <v/>
      </c>
    </row>
    <row r="319" spans="1:4" x14ac:dyDescent="0.25">
      <c r="A319" t="str">
        <f>Datos!C319</f>
        <v>Aceite de oliva</v>
      </c>
      <c r="B319" t="str">
        <f>IF(ISNUMBER(SEARCH(Calculadora!$C$4,A319)),MAX(B$1:B318)+1,"")</f>
        <v/>
      </c>
      <c r="C319">
        <v>318</v>
      </c>
      <c r="D319" t="str">
        <f t="shared" si="4"/>
        <v/>
      </c>
    </row>
    <row r="320" spans="1:4" x14ac:dyDescent="0.25">
      <c r="A320" t="str">
        <f>Datos!C320</f>
        <v>Aceite de oliva extra virgen</v>
      </c>
      <c r="B320" t="str">
        <f>IF(ISNUMBER(SEARCH(Calculadora!$C$4,A320)),MAX(B$1:B319)+1,"")</f>
        <v/>
      </c>
      <c r="C320">
        <v>319</v>
      </c>
      <c r="D320" t="str">
        <f t="shared" si="4"/>
        <v/>
      </c>
    </row>
    <row r="321" spans="1:4" x14ac:dyDescent="0.25">
      <c r="A321" t="str">
        <f>Datos!C321</f>
        <v>Aceite de palma</v>
      </c>
      <c r="B321" t="str">
        <f>IF(ISNUMBER(SEARCH(Calculadora!$C$4,A321)),MAX(B$1:B320)+1,"")</f>
        <v/>
      </c>
      <c r="C321">
        <v>320</v>
      </c>
      <c r="D321" t="str">
        <f t="shared" si="4"/>
        <v/>
      </c>
    </row>
    <row r="322" spans="1:4" x14ac:dyDescent="0.25">
      <c r="A322" t="str">
        <f>Datos!C322</f>
        <v>Aceite de soja (fuente 2)</v>
      </c>
      <c r="B322" t="str">
        <f>IF(ISNUMBER(SEARCH(Calculadora!$C$4,A322)),MAX(B$1:B321)+1,"")</f>
        <v/>
      </c>
      <c r="C322">
        <v>321</v>
      </c>
      <c r="D322" t="str">
        <f t="shared" ref="D322:D385" si="5">IFERROR(INDEX($A$2:$A$647,MATCH(C322,$B$2:$B$647,0)),"")</f>
        <v/>
      </c>
    </row>
    <row r="323" spans="1:4" x14ac:dyDescent="0.25">
      <c r="A323" t="str">
        <f>Datos!C323</f>
        <v>Aceite de soja (fuente 1)</v>
      </c>
      <c r="B323" t="str">
        <f>IF(ISNUMBER(SEARCH(Calculadora!$C$4,A323)),MAX(B$1:B322)+1,"")</f>
        <v/>
      </c>
      <c r="C323">
        <v>322</v>
      </c>
      <c r="D323" t="str">
        <f t="shared" si="5"/>
        <v/>
      </c>
    </row>
    <row r="324" spans="1:4" x14ac:dyDescent="0.25">
      <c r="A324" t="str">
        <f>Datos!C324</f>
        <v>Aceite palta orgánico</v>
      </c>
      <c r="B324" t="str">
        <f>IF(ISNUMBER(SEARCH(Calculadora!$C$4,A324)),MAX(B$1:B323)+1,"")</f>
        <v/>
      </c>
      <c r="C324">
        <v>323</v>
      </c>
      <c r="D324" t="str">
        <f t="shared" si="5"/>
        <v/>
      </c>
    </row>
    <row r="325" spans="1:4" x14ac:dyDescent="0.25">
      <c r="A325" t="str">
        <f>Datos!C325</f>
        <v>Crema ácida</v>
      </c>
      <c r="B325" t="str">
        <f>IF(ISNUMBER(SEARCH(Calculadora!$C$4,A325)),MAX(B$1:B324)+1,"")</f>
        <v/>
      </c>
      <c r="C325">
        <v>324</v>
      </c>
      <c r="D325" t="str">
        <f t="shared" si="5"/>
        <v/>
      </c>
    </row>
    <row r="326" spans="1:4" x14ac:dyDescent="0.25">
      <c r="A326" t="str">
        <f>Datos!C326</f>
        <v>Crema chantilly</v>
      </c>
      <c r="B326" t="str">
        <f>IF(ISNUMBER(SEARCH(Calculadora!$C$4,A326)),MAX(B$1:B325)+1,"")</f>
        <v/>
      </c>
      <c r="C326">
        <v>325</v>
      </c>
      <c r="D326" t="str">
        <f t="shared" si="5"/>
        <v/>
      </c>
    </row>
    <row r="327" spans="1:4" x14ac:dyDescent="0.25">
      <c r="A327" t="str">
        <f>Datos!C327</f>
        <v>Crema de leche light</v>
      </c>
      <c r="B327" t="str">
        <f>IF(ISNUMBER(SEARCH(Calculadora!$C$4,A327)),MAX(B$1:B326)+1,"")</f>
        <v/>
      </c>
      <c r="C327">
        <v>326</v>
      </c>
      <c r="D327" t="str">
        <f t="shared" si="5"/>
        <v/>
      </c>
    </row>
    <row r="328" spans="1:4" x14ac:dyDescent="0.25">
      <c r="A328" t="str">
        <f>Datos!C328</f>
        <v>Grasa animal</v>
      </c>
      <c r="B328" t="str">
        <f>IF(ISNUMBER(SEARCH(Calculadora!$C$4,A328)),MAX(B$1:B327)+1,"")</f>
        <v/>
      </c>
      <c r="C328">
        <v>327</v>
      </c>
      <c r="D328" t="str">
        <f t="shared" si="5"/>
        <v/>
      </c>
    </row>
    <row r="329" spans="1:4" x14ac:dyDescent="0.25">
      <c r="A329" t="str">
        <f>Datos!C329</f>
        <v>Manteca vegetal</v>
      </c>
      <c r="B329" t="str">
        <f>IF(ISNUMBER(SEARCH(Calculadora!$C$4,A329)),MAX(B$1:B328)+1,"")</f>
        <v/>
      </c>
      <c r="C329">
        <v>328</v>
      </c>
      <c r="D329" t="str">
        <f t="shared" si="5"/>
        <v/>
      </c>
    </row>
    <row r="330" spans="1:4" x14ac:dyDescent="0.25">
      <c r="A330" t="str">
        <f>Datos!C330</f>
        <v>Mantequilla (fuente 1)</v>
      </c>
      <c r="B330" t="str">
        <f>IF(ISNUMBER(SEARCH(Calculadora!$C$4,A330)),MAX(B$1:B329)+1,"")</f>
        <v/>
      </c>
      <c r="C330">
        <v>329</v>
      </c>
      <c r="D330" t="str">
        <f t="shared" si="5"/>
        <v/>
      </c>
    </row>
    <row r="331" spans="1:4" x14ac:dyDescent="0.25">
      <c r="A331" t="str">
        <f>Datos!C331</f>
        <v>Mantequilla (fuente 3)</v>
      </c>
      <c r="B331" t="str">
        <f>IF(ISNUMBER(SEARCH(Calculadora!$C$4,A331)),MAX(B$1:B330)+1,"")</f>
        <v/>
      </c>
      <c r="C331">
        <v>330</v>
      </c>
      <c r="D331" t="str">
        <f t="shared" si="5"/>
        <v/>
      </c>
    </row>
    <row r="332" spans="1:4" x14ac:dyDescent="0.25">
      <c r="A332" t="str">
        <f>Datos!C332</f>
        <v>Margarina (fuente 1)</v>
      </c>
      <c r="B332" t="str">
        <f>IF(ISNUMBER(SEARCH(Calculadora!$C$4,A332)),MAX(B$1:B331)+1,"")</f>
        <v/>
      </c>
      <c r="C332">
        <v>331</v>
      </c>
      <c r="D332" t="str">
        <f t="shared" si="5"/>
        <v/>
      </c>
    </row>
    <row r="333" spans="1:4" x14ac:dyDescent="0.25">
      <c r="A333" t="str">
        <f>Datos!C333</f>
        <v>Margarina (fuente 3)</v>
      </c>
      <c r="B333" t="str">
        <f>IF(ISNUMBER(SEARCH(Calculadora!$C$4,A333)),MAX(B$1:B332)+1,"")</f>
        <v/>
      </c>
      <c r="C333">
        <v>332</v>
      </c>
      <c r="D333" t="str">
        <f t="shared" si="5"/>
        <v/>
      </c>
    </row>
    <row r="334" spans="1:4" x14ac:dyDescent="0.25">
      <c r="A334" t="str">
        <f>Datos!C334</f>
        <v>Margarina reducida en grasa (fuente 1)</v>
      </c>
      <c r="B334" t="str">
        <f>IF(ISNUMBER(SEARCH(Calculadora!$C$4,A334)),MAX(B$1:B333)+1,"")</f>
        <v/>
      </c>
      <c r="C334">
        <v>333</v>
      </c>
      <c r="D334" t="str">
        <f t="shared" si="5"/>
        <v/>
      </c>
    </row>
    <row r="335" spans="1:4" x14ac:dyDescent="0.25">
      <c r="A335" t="str">
        <f>Datos!C335</f>
        <v>Margarina reducida en grasa (fuente 4)</v>
      </c>
      <c r="B335" t="str">
        <f>IF(ISNUMBER(SEARCH(Calculadora!$C$4,A335)),MAX(B$1:B334)+1,"")</f>
        <v/>
      </c>
      <c r="C335">
        <v>334</v>
      </c>
      <c r="D335" t="str">
        <f t="shared" si="5"/>
        <v/>
      </c>
    </row>
    <row r="336" spans="1:4" x14ac:dyDescent="0.25">
      <c r="A336" t="str">
        <f>Datos!C336</f>
        <v>Mayonesa</v>
      </c>
      <c r="B336" t="str">
        <f>IF(ISNUMBER(SEARCH(Calculadora!$C$4,A336)),MAX(B$1:B335)+1,"")</f>
        <v/>
      </c>
      <c r="C336">
        <v>335</v>
      </c>
      <c r="D336" t="str">
        <f t="shared" si="5"/>
        <v/>
      </c>
    </row>
    <row r="337" spans="1:4" x14ac:dyDescent="0.25">
      <c r="A337" t="str">
        <f>Datos!C337</f>
        <v>Mayonesa casera</v>
      </c>
      <c r="B337" t="str">
        <f>IF(ISNUMBER(SEARCH(Calculadora!$C$4,A337)),MAX(B$1:B336)+1,"")</f>
        <v/>
      </c>
      <c r="C337">
        <v>336</v>
      </c>
      <c r="D337" t="str">
        <f t="shared" si="5"/>
        <v/>
      </c>
    </row>
    <row r="338" spans="1:4" x14ac:dyDescent="0.25">
      <c r="A338" t="str">
        <f>Datos!C338</f>
        <v>Acelga (fuente 3)</v>
      </c>
      <c r="B338" t="str">
        <f>IF(ISNUMBER(SEARCH(Calculadora!$C$4,A338)),MAX(B$1:B337)+1,"")</f>
        <v/>
      </c>
      <c r="C338">
        <v>337</v>
      </c>
      <c r="D338" t="str">
        <f t="shared" si="5"/>
        <v/>
      </c>
    </row>
    <row r="339" spans="1:4" x14ac:dyDescent="0.25">
      <c r="A339" t="str">
        <f>Datos!C339</f>
        <v>Acelga cocida</v>
      </c>
      <c r="B339" t="str">
        <f>IF(ISNUMBER(SEARCH(Calculadora!$C$4,A339)),MAX(B$1:B338)+1,"")</f>
        <v/>
      </c>
      <c r="C339">
        <v>338</v>
      </c>
      <c r="D339" t="str">
        <f t="shared" si="5"/>
        <v/>
      </c>
    </row>
    <row r="340" spans="1:4" x14ac:dyDescent="0.25">
      <c r="A340" t="str">
        <f>Datos!C340</f>
        <v>Acelga (fuente 1)</v>
      </c>
      <c r="B340" t="str">
        <f>IF(ISNUMBER(SEARCH(Calculadora!$C$4,A340)),MAX(B$1:B339)+1,"")</f>
        <v/>
      </c>
      <c r="C340">
        <v>339</v>
      </c>
      <c r="D340" t="str">
        <f t="shared" si="5"/>
        <v/>
      </c>
    </row>
    <row r="341" spans="1:4" x14ac:dyDescent="0.25">
      <c r="A341" t="str">
        <f>Datos!C341</f>
        <v>Achicoria</v>
      </c>
      <c r="B341" t="str">
        <f>IF(ISNUMBER(SEARCH(Calculadora!$C$4,A341)),MAX(B$1:B340)+1,"")</f>
        <v/>
      </c>
      <c r="C341">
        <v>340</v>
      </c>
      <c r="D341" t="str">
        <f t="shared" si="5"/>
        <v/>
      </c>
    </row>
    <row r="342" spans="1:4" x14ac:dyDescent="0.25">
      <c r="A342" t="str">
        <f>Datos!C342</f>
        <v>Ajo</v>
      </c>
      <c r="B342" t="str">
        <f>IF(ISNUMBER(SEARCH(Calculadora!$C$4,A342)),MAX(B$1:B341)+1,"")</f>
        <v/>
      </c>
      <c r="C342">
        <v>341</v>
      </c>
      <c r="D342" t="str">
        <f t="shared" si="5"/>
        <v/>
      </c>
    </row>
    <row r="343" spans="1:4" x14ac:dyDescent="0.25">
      <c r="A343" t="str">
        <f>Datos!C343</f>
        <v>Alcachofa</v>
      </c>
      <c r="B343" t="str">
        <f>IF(ISNUMBER(SEARCH(Calculadora!$C$4,A343)),MAX(B$1:B342)+1,"")</f>
        <v/>
      </c>
      <c r="C343">
        <v>342</v>
      </c>
      <c r="D343" t="str">
        <f t="shared" si="5"/>
        <v/>
      </c>
    </row>
    <row r="344" spans="1:4" x14ac:dyDescent="0.25">
      <c r="A344" t="str">
        <f>Datos!C344</f>
        <v>Alfalfa brotes</v>
      </c>
      <c r="B344" t="str">
        <f>IF(ISNUMBER(SEARCH(Calculadora!$C$4,A344)),MAX(B$1:B343)+1,"")</f>
        <v/>
      </c>
      <c r="C344">
        <v>343</v>
      </c>
      <c r="D344" t="str">
        <f t="shared" si="5"/>
        <v/>
      </c>
    </row>
    <row r="345" spans="1:4" x14ac:dyDescent="0.25">
      <c r="A345" t="str">
        <f>Datos!C345</f>
        <v>Apio</v>
      </c>
      <c r="B345" t="str">
        <f>IF(ISNUMBER(SEARCH(Calculadora!$C$4,A345)),MAX(B$1:B344)+1,"")</f>
        <v/>
      </c>
      <c r="C345">
        <v>344</v>
      </c>
      <c r="D345" t="str">
        <f t="shared" si="5"/>
        <v/>
      </c>
    </row>
    <row r="346" spans="1:4" x14ac:dyDescent="0.25">
      <c r="A346" t="str">
        <f>Datos!C346</f>
        <v>Berenjena</v>
      </c>
      <c r="B346" t="str">
        <f>IF(ISNUMBER(SEARCH(Calculadora!$C$4,A346)),MAX(B$1:B345)+1,"")</f>
        <v/>
      </c>
      <c r="C346">
        <v>345</v>
      </c>
      <c r="D346" t="str">
        <f t="shared" si="5"/>
        <v/>
      </c>
    </row>
    <row r="347" spans="1:4" x14ac:dyDescent="0.25">
      <c r="A347" t="str">
        <f>Datos!C347</f>
        <v>Berro</v>
      </c>
      <c r="B347" t="str">
        <f>IF(ISNUMBER(SEARCH(Calculadora!$C$4,A347)),MAX(B$1:B346)+1,"")</f>
        <v/>
      </c>
      <c r="C347">
        <v>346</v>
      </c>
      <c r="D347" t="str">
        <f t="shared" si="5"/>
        <v/>
      </c>
    </row>
    <row r="348" spans="1:4" x14ac:dyDescent="0.25">
      <c r="A348" t="str">
        <f>Datos!C348</f>
        <v>Betarraga</v>
      </c>
      <c r="B348" t="str">
        <f>IF(ISNUMBER(SEARCH(Calculadora!$C$4,A348)),MAX(B$1:B347)+1,"")</f>
        <v/>
      </c>
      <c r="C348">
        <v>347</v>
      </c>
      <c r="D348" t="str">
        <f t="shared" si="5"/>
        <v/>
      </c>
    </row>
    <row r="349" spans="1:4" x14ac:dyDescent="0.25">
      <c r="A349" t="str">
        <f>Datos!C349</f>
        <v>Brócoli</v>
      </c>
      <c r="B349" t="str">
        <f>IF(ISNUMBER(SEARCH(Calculadora!$C$4,A349)),MAX(B$1:B348)+1,"")</f>
        <v/>
      </c>
      <c r="C349">
        <v>348</v>
      </c>
      <c r="D349" t="str">
        <f t="shared" si="5"/>
        <v/>
      </c>
    </row>
    <row r="350" spans="1:4" x14ac:dyDescent="0.25">
      <c r="A350" t="str">
        <f>Datos!C350</f>
        <v>Cebolla</v>
      </c>
      <c r="B350" t="str">
        <f>IF(ISNUMBER(SEARCH(Calculadora!$C$4,A350)),MAX(B$1:B349)+1,"")</f>
        <v/>
      </c>
      <c r="C350">
        <v>349</v>
      </c>
      <c r="D350" t="str">
        <f t="shared" si="5"/>
        <v/>
      </c>
    </row>
    <row r="351" spans="1:4" x14ac:dyDescent="0.25">
      <c r="A351" t="str">
        <f>Datos!C351</f>
        <v>Cebollín</v>
      </c>
      <c r="B351" t="str">
        <f>IF(ISNUMBER(SEARCH(Calculadora!$C$4,A351)),MAX(B$1:B350)+1,"")</f>
        <v/>
      </c>
      <c r="C351">
        <v>350</v>
      </c>
      <c r="D351" t="str">
        <f t="shared" si="5"/>
        <v/>
      </c>
    </row>
    <row r="352" spans="1:4" x14ac:dyDescent="0.25">
      <c r="A352" t="str">
        <f>Datos!C352</f>
        <v>Champiñón blanco</v>
      </c>
      <c r="B352" t="str">
        <f>IF(ISNUMBER(SEARCH(Calculadora!$C$4,A352)),MAX(B$1:B351)+1,"")</f>
        <v/>
      </c>
      <c r="C352">
        <v>351</v>
      </c>
      <c r="D352" t="str">
        <f t="shared" si="5"/>
        <v/>
      </c>
    </row>
    <row r="353" spans="1:4" x14ac:dyDescent="0.25">
      <c r="A353" t="str">
        <f>Datos!C353</f>
        <v>Champiñón blanco cocido con sal</v>
      </c>
      <c r="B353" t="str">
        <f>IF(ISNUMBER(SEARCH(Calculadora!$C$4,A353)),MAX(B$1:B352)+1,"")</f>
        <v/>
      </c>
      <c r="C353">
        <v>352</v>
      </c>
      <c r="D353" t="str">
        <f t="shared" si="5"/>
        <v/>
      </c>
    </row>
    <row r="354" spans="1:4" x14ac:dyDescent="0.25">
      <c r="A354" t="str">
        <f>Datos!C354</f>
        <v>Champiñón ostra</v>
      </c>
      <c r="B354" t="str">
        <f>IF(ISNUMBER(SEARCH(Calculadora!$C$4,A354)),MAX(B$1:B353)+1,"")</f>
        <v/>
      </c>
      <c r="C354">
        <v>353</v>
      </c>
      <c r="D354" t="str">
        <f t="shared" si="5"/>
        <v/>
      </c>
    </row>
    <row r="355" spans="1:4" x14ac:dyDescent="0.25">
      <c r="A355" t="str">
        <f>Datos!C355</f>
        <v>Champiñón portabella</v>
      </c>
      <c r="B355" t="str">
        <f>IF(ISNUMBER(SEARCH(Calculadora!$C$4,A355)),MAX(B$1:B354)+1,"")</f>
        <v/>
      </c>
      <c r="C355">
        <v>354</v>
      </c>
      <c r="D355" t="str">
        <f t="shared" si="5"/>
        <v/>
      </c>
    </row>
    <row r="356" spans="1:4" x14ac:dyDescent="0.25">
      <c r="A356" t="str">
        <f>Datos!C356</f>
        <v>Champiñón shiitake</v>
      </c>
      <c r="B356" t="str">
        <f>IF(ISNUMBER(SEARCH(Calculadora!$C$4,A356)),MAX(B$1:B355)+1,"")</f>
        <v/>
      </c>
      <c r="C356">
        <v>355</v>
      </c>
      <c r="D356" t="str">
        <f t="shared" si="5"/>
        <v/>
      </c>
    </row>
    <row r="357" spans="1:4" x14ac:dyDescent="0.25">
      <c r="A357" t="str">
        <f>Datos!C357</f>
        <v>Champiñón shiitake cocido con sal</v>
      </c>
      <c r="B357" t="str">
        <f>IF(ISNUMBER(SEARCH(Calculadora!$C$4,A357)),MAX(B$1:B356)+1,"")</f>
        <v/>
      </c>
      <c r="C357">
        <v>356</v>
      </c>
      <c r="D357" t="str">
        <f t="shared" si="5"/>
        <v/>
      </c>
    </row>
    <row r="358" spans="1:4" x14ac:dyDescent="0.25">
      <c r="A358" t="str">
        <f>Datos!C358</f>
        <v>Champiñones en conserva</v>
      </c>
      <c r="B358" t="str">
        <f>IF(ISNUMBER(SEARCH(Calculadora!$C$4,A358)),MAX(B$1:B357)+1,"")</f>
        <v/>
      </c>
      <c r="C358">
        <v>357</v>
      </c>
      <c r="D358" t="str">
        <f t="shared" si="5"/>
        <v/>
      </c>
    </row>
    <row r="359" spans="1:4" x14ac:dyDescent="0.25">
      <c r="A359" t="str">
        <f>Datos!C359</f>
        <v>Cochayuyo</v>
      </c>
      <c r="B359" t="str">
        <f>IF(ISNUMBER(SEARCH(Calculadora!$C$4,A359)),MAX(B$1:B358)+1,"")</f>
        <v/>
      </c>
      <c r="C359">
        <v>358</v>
      </c>
      <c r="D359" t="str">
        <f t="shared" si="5"/>
        <v/>
      </c>
    </row>
    <row r="360" spans="1:4" x14ac:dyDescent="0.25">
      <c r="A360" t="str">
        <f>Datos!C360</f>
        <v>Coliflor</v>
      </c>
      <c r="B360" t="str">
        <f>IF(ISNUMBER(SEARCH(Calculadora!$C$4,A360)),MAX(B$1:B359)+1,"")</f>
        <v/>
      </c>
      <c r="C360">
        <v>359</v>
      </c>
      <c r="D360" t="str">
        <f t="shared" si="5"/>
        <v/>
      </c>
    </row>
    <row r="361" spans="1:4" x14ac:dyDescent="0.25">
      <c r="A361" t="str">
        <f>Datos!C361</f>
        <v>Endivia</v>
      </c>
      <c r="B361" t="str">
        <f>IF(ISNUMBER(SEARCH(Calculadora!$C$4,A361)),MAX(B$1:B360)+1,"")</f>
        <v/>
      </c>
      <c r="C361">
        <v>360</v>
      </c>
      <c r="D361" t="str">
        <f t="shared" si="5"/>
        <v/>
      </c>
    </row>
    <row r="362" spans="1:4" x14ac:dyDescent="0.25">
      <c r="A362" t="str">
        <f>Datos!C362</f>
        <v>Espárrago</v>
      </c>
      <c r="B362" t="str">
        <f>IF(ISNUMBER(SEARCH(Calculadora!$C$4,A362)),MAX(B$1:B361)+1,"")</f>
        <v/>
      </c>
      <c r="C362">
        <v>361</v>
      </c>
      <c r="D362" t="str">
        <f t="shared" si="5"/>
        <v/>
      </c>
    </row>
    <row r="363" spans="1:4" x14ac:dyDescent="0.25">
      <c r="A363" t="str">
        <f>Datos!C363</f>
        <v>Espinaca cocida</v>
      </c>
      <c r="B363" t="str">
        <f>IF(ISNUMBER(SEARCH(Calculadora!$C$4,A363)),MAX(B$1:B362)+1,"")</f>
        <v/>
      </c>
      <c r="C363">
        <v>362</v>
      </c>
      <c r="D363" t="str">
        <f t="shared" si="5"/>
        <v/>
      </c>
    </row>
    <row r="364" spans="1:4" x14ac:dyDescent="0.25">
      <c r="A364" t="str">
        <f>Datos!C364</f>
        <v>Espinaca</v>
      </c>
      <c r="B364" t="str">
        <f>IF(ISNUMBER(SEARCH(Calculadora!$C$4,A364)),MAX(B$1:B363)+1,"")</f>
        <v/>
      </c>
      <c r="C364">
        <v>363</v>
      </c>
      <c r="D364" t="str">
        <f t="shared" si="5"/>
        <v/>
      </c>
    </row>
    <row r="365" spans="1:4" x14ac:dyDescent="0.25">
      <c r="A365" t="str">
        <f>Datos!C365</f>
        <v>Hinojo bulbo</v>
      </c>
      <c r="B365" t="str">
        <f>IF(ISNUMBER(SEARCH(Calculadora!$C$4,A365)),MAX(B$1:B364)+1,"")</f>
        <v/>
      </c>
      <c r="C365">
        <v>364</v>
      </c>
      <c r="D365" t="str">
        <f t="shared" si="5"/>
        <v/>
      </c>
    </row>
    <row r="366" spans="1:4" x14ac:dyDescent="0.25">
      <c r="A366" t="str">
        <f>Datos!C366</f>
        <v>Lechuga</v>
      </c>
      <c r="B366" t="str">
        <f>IF(ISNUMBER(SEARCH(Calculadora!$C$4,A366)),MAX(B$1:B365)+1,"")</f>
        <v/>
      </c>
      <c r="C366">
        <v>365</v>
      </c>
      <c r="D366" t="str">
        <f t="shared" si="5"/>
        <v/>
      </c>
    </row>
    <row r="367" spans="1:4" x14ac:dyDescent="0.25">
      <c r="A367" t="str">
        <f>Datos!C367</f>
        <v>Lechuga escarola</v>
      </c>
      <c r="B367" t="str">
        <f>IF(ISNUMBER(SEARCH(Calculadora!$C$4,A367)),MAX(B$1:B366)+1,"")</f>
        <v/>
      </c>
      <c r="C367">
        <v>366</v>
      </c>
      <c r="D367" t="str">
        <f t="shared" si="5"/>
        <v/>
      </c>
    </row>
    <row r="368" spans="1:4" x14ac:dyDescent="0.25">
      <c r="A368" t="str">
        <f>Datos!C368</f>
        <v>Lechuga roja</v>
      </c>
      <c r="B368" t="str">
        <f>IF(ISNUMBER(SEARCH(Calculadora!$C$4,A368)),MAX(B$1:B367)+1,"")</f>
        <v/>
      </c>
      <c r="C368">
        <v>367</v>
      </c>
      <c r="D368" t="str">
        <f t="shared" si="5"/>
        <v/>
      </c>
    </row>
    <row r="369" spans="1:4" x14ac:dyDescent="0.25">
      <c r="A369" t="str">
        <f>Datos!C369</f>
        <v>Luche</v>
      </c>
      <c r="B369" t="str">
        <f>IF(ISNUMBER(SEARCH(Calculadora!$C$4,A369)),MAX(B$1:B368)+1,"")</f>
        <v/>
      </c>
      <c r="C369">
        <v>368</v>
      </c>
      <c r="D369" t="str">
        <f t="shared" si="5"/>
        <v/>
      </c>
    </row>
    <row r="370" spans="1:4" x14ac:dyDescent="0.25">
      <c r="A370" t="str">
        <f>Datos!C370</f>
        <v>Luche ahumado</v>
      </c>
      <c r="B370" t="str">
        <f>IF(ISNUMBER(SEARCH(Calculadora!$C$4,A370)),MAX(B$1:B369)+1,"")</f>
        <v/>
      </c>
      <c r="C370">
        <v>369</v>
      </c>
      <c r="D370" t="str">
        <f t="shared" si="5"/>
        <v/>
      </c>
    </row>
    <row r="371" spans="1:4" x14ac:dyDescent="0.25">
      <c r="A371" t="str">
        <f>Datos!C371</f>
        <v>Nabos</v>
      </c>
      <c r="B371" t="str">
        <f>IF(ISNUMBER(SEARCH(Calculadora!$C$4,A371)),MAX(B$1:B370)+1,"")</f>
        <v/>
      </c>
      <c r="C371">
        <v>370</v>
      </c>
      <c r="D371" t="str">
        <f t="shared" si="5"/>
        <v/>
      </c>
    </row>
    <row r="372" spans="1:4" x14ac:dyDescent="0.25">
      <c r="A372" t="str">
        <f>Datos!C372</f>
        <v>Penca</v>
      </c>
      <c r="B372" t="str">
        <f>IF(ISNUMBER(SEARCH(Calculadora!$C$4,A372)),MAX(B$1:B371)+1,"")</f>
        <v/>
      </c>
      <c r="C372">
        <v>371</v>
      </c>
      <c r="D372" t="str">
        <f t="shared" si="5"/>
        <v/>
      </c>
    </row>
    <row r="373" spans="1:4" x14ac:dyDescent="0.25">
      <c r="A373" t="str">
        <f>Datos!C373</f>
        <v>Pepino</v>
      </c>
      <c r="B373" t="str">
        <f>IF(ISNUMBER(SEARCH(Calculadora!$C$4,A373)),MAX(B$1:B372)+1,"")</f>
        <v/>
      </c>
      <c r="C373">
        <v>372</v>
      </c>
      <c r="D373" t="str">
        <f t="shared" si="5"/>
        <v/>
      </c>
    </row>
    <row r="374" spans="1:4" x14ac:dyDescent="0.25">
      <c r="A374" t="str">
        <f>Datos!C374</f>
        <v>Pepinillos en conserva</v>
      </c>
      <c r="B374" t="str">
        <f>IF(ISNUMBER(SEARCH(Calculadora!$C$4,A374)),MAX(B$1:B373)+1,"")</f>
        <v/>
      </c>
      <c r="C374">
        <v>373</v>
      </c>
      <c r="D374" t="str">
        <f t="shared" si="5"/>
        <v/>
      </c>
    </row>
    <row r="375" spans="1:4" x14ac:dyDescent="0.25">
      <c r="A375" t="str">
        <f>Datos!C375</f>
        <v>Pickles</v>
      </c>
      <c r="B375" t="str">
        <f>IF(ISNUMBER(SEARCH(Calculadora!$C$4,A375)),MAX(B$1:B374)+1,"")</f>
        <v/>
      </c>
      <c r="C375">
        <v>374</v>
      </c>
      <c r="D375" t="str">
        <f t="shared" si="5"/>
        <v/>
      </c>
    </row>
    <row r="376" spans="1:4" x14ac:dyDescent="0.25">
      <c r="A376" t="str">
        <f>Datos!C376</f>
        <v>Pimentón rojo</v>
      </c>
      <c r="B376" t="str">
        <f>IF(ISNUMBER(SEARCH(Calculadora!$C$4,A376)),MAX(B$1:B375)+1,"")</f>
        <v/>
      </c>
      <c r="C376">
        <v>375</v>
      </c>
      <c r="D376" t="str">
        <f t="shared" si="5"/>
        <v/>
      </c>
    </row>
    <row r="377" spans="1:4" x14ac:dyDescent="0.25">
      <c r="A377" t="str">
        <f>Datos!C377</f>
        <v>Pimentón verde</v>
      </c>
      <c r="B377" t="str">
        <f>IF(ISNUMBER(SEARCH(Calculadora!$C$4,A377)),MAX(B$1:B376)+1,"")</f>
        <v/>
      </c>
      <c r="C377">
        <v>376</v>
      </c>
      <c r="D377" t="str">
        <f t="shared" si="5"/>
        <v/>
      </c>
    </row>
    <row r="378" spans="1:4" x14ac:dyDescent="0.25">
      <c r="A378" t="str">
        <f>Datos!C378</f>
        <v>Poroto verde enlatado</v>
      </c>
      <c r="B378" t="str">
        <f>IF(ISNUMBER(SEARCH(Calculadora!$C$4,A378)),MAX(B$1:B377)+1,"")</f>
        <v/>
      </c>
      <c r="C378">
        <v>377</v>
      </c>
      <c r="D378" t="str">
        <f t="shared" si="5"/>
        <v/>
      </c>
    </row>
    <row r="379" spans="1:4" x14ac:dyDescent="0.25">
      <c r="A379" t="str">
        <f>Datos!C379</f>
        <v>Porotos verdes</v>
      </c>
      <c r="B379" t="str">
        <f>IF(ISNUMBER(SEARCH(Calculadora!$C$4,A379)),MAX(B$1:B378)+1,"")</f>
        <v/>
      </c>
      <c r="C379">
        <v>378</v>
      </c>
      <c r="D379" t="str">
        <f t="shared" si="5"/>
        <v/>
      </c>
    </row>
    <row r="380" spans="1:4" x14ac:dyDescent="0.25">
      <c r="A380" t="str">
        <f>Datos!C380</f>
        <v>Puerro</v>
      </c>
      <c r="B380" t="str">
        <f>IF(ISNUMBER(SEARCH(Calculadora!$C$4,A380)),MAX(B$1:B379)+1,"")</f>
        <v/>
      </c>
      <c r="C380">
        <v>379</v>
      </c>
      <c r="D380" t="str">
        <f t="shared" si="5"/>
        <v/>
      </c>
    </row>
    <row r="381" spans="1:4" x14ac:dyDescent="0.25">
      <c r="A381" t="str">
        <f>Datos!C381</f>
        <v>Rabanito</v>
      </c>
      <c r="B381" t="str">
        <f>IF(ISNUMBER(SEARCH(Calculadora!$C$4,A381)),MAX(B$1:B380)+1,"")</f>
        <v/>
      </c>
      <c r="C381">
        <v>380</v>
      </c>
      <c r="D381" t="str">
        <f t="shared" si="5"/>
        <v/>
      </c>
    </row>
    <row r="382" spans="1:4" x14ac:dyDescent="0.25">
      <c r="A382" t="str">
        <f>Datos!C382</f>
        <v>Repollitos de bruselas</v>
      </c>
      <c r="B382" t="str">
        <f>IF(ISNUMBER(SEARCH(Calculadora!$C$4,A382)),MAX(B$1:B381)+1,"")</f>
        <v/>
      </c>
      <c r="C382">
        <v>381</v>
      </c>
      <c r="D382" t="str">
        <f t="shared" si="5"/>
        <v/>
      </c>
    </row>
    <row r="383" spans="1:4" x14ac:dyDescent="0.25">
      <c r="A383" t="str">
        <f>Datos!C383</f>
        <v>Repollitos de bruselas cocido con sal</v>
      </c>
      <c r="B383" t="str">
        <f>IF(ISNUMBER(SEARCH(Calculadora!$C$4,A383)),MAX(B$1:B382)+1,"")</f>
        <v/>
      </c>
      <c r="C383">
        <v>382</v>
      </c>
      <c r="D383" t="str">
        <f t="shared" si="5"/>
        <v/>
      </c>
    </row>
    <row r="384" spans="1:4" x14ac:dyDescent="0.25">
      <c r="A384" t="str">
        <f>Datos!C384</f>
        <v>Repollo</v>
      </c>
      <c r="B384" t="str">
        <f>IF(ISNUMBER(SEARCH(Calculadora!$C$4,A384)),MAX(B$1:B383)+1,"")</f>
        <v/>
      </c>
      <c r="C384">
        <v>383</v>
      </c>
      <c r="D384" t="str">
        <f t="shared" si="5"/>
        <v/>
      </c>
    </row>
    <row r="385" spans="1:4" x14ac:dyDescent="0.25">
      <c r="A385" t="str">
        <f>Datos!C385</f>
        <v>Repollo morado</v>
      </c>
      <c r="B385" t="str">
        <f>IF(ISNUMBER(SEARCH(Calculadora!$C$4,A385)),MAX(B$1:B384)+1,"")</f>
        <v/>
      </c>
      <c r="C385">
        <v>384</v>
      </c>
      <c r="D385" t="str">
        <f t="shared" si="5"/>
        <v/>
      </c>
    </row>
    <row r="386" spans="1:4" x14ac:dyDescent="0.25">
      <c r="A386" t="str">
        <f>Datos!C386</f>
        <v>Tomate</v>
      </c>
      <c r="B386" t="str">
        <f>IF(ISNUMBER(SEARCH(Calculadora!$C$4,A386)),MAX(B$1:B385)+1,"")</f>
        <v/>
      </c>
      <c r="C386">
        <v>385</v>
      </c>
      <c r="D386" t="str">
        <f t="shared" ref="D386:D449" si="6">IFERROR(INDEX($A$2:$A$647,MATCH(C386,$B$2:$B$647,0)),"")</f>
        <v/>
      </c>
    </row>
    <row r="387" spans="1:4" x14ac:dyDescent="0.25">
      <c r="A387" t="str">
        <f>Datos!C387</f>
        <v>Ulte</v>
      </c>
      <c r="B387" t="str">
        <f>IF(ISNUMBER(SEARCH(Calculadora!$C$4,A387)),MAX(B$1:B386)+1,"")</f>
        <v/>
      </c>
      <c r="C387">
        <v>386</v>
      </c>
      <c r="D387" t="str">
        <f t="shared" si="6"/>
        <v/>
      </c>
    </row>
    <row r="388" spans="1:4" x14ac:dyDescent="0.25">
      <c r="A388" t="str">
        <f>Datos!C388</f>
        <v>Zanahoria (fuente 1, 1)</v>
      </c>
      <c r="B388" t="str">
        <f>IF(ISNUMBER(SEARCH(Calculadora!$C$4,A388)),MAX(B$1:B387)+1,"")</f>
        <v/>
      </c>
      <c r="C388">
        <v>387</v>
      </c>
      <c r="D388" t="str">
        <f t="shared" si="6"/>
        <v/>
      </c>
    </row>
    <row r="389" spans="1:4" x14ac:dyDescent="0.25">
      <c r="A389" t="str">
        <f>Datos!C389</f>
        <v>Zanahoria (fuente 1, 2)</v>
      </c>
      <c r="B389" t="str">
        <f>IF(ISNUMBER(SEARCH(Calculadora!$C$4,A389)),MAX(B$1:B388)+1,"")</f>
        <v/>
      </c>
      <c r="C389">
        <v>388</v>
      </c>
      <c r="D389" t="str">
        <f t="shared" si="6"/>
        <v/>
      </c>
    </row>
    <row r="390" spans="1:4" x14ac:dyDescent="0.25">
      <c r="A390" t="str">
        <f>Datos!C390</f>
        <v>Zapallo italiano</v>
      </c>
      <c r="B390" t="str">
        <f>IF(ISNUMBER(SEARCH(Calculadora!$C$4,A390)),MAX(B$1:B389)+1,"")</f>
        <v/>
      </c>
      <c r="C390">
        <v>389</v>
      </c>
      <c r="D390" t="str">
        <f t="shared" si="6"/>
        <v/>
      </c>
    </row>
    <row r="391" spans="1:4" x14ac:dyDescent="0.25">
      <c r="A391" t="str">
        <f>Datos!C391</f>
        <v>Zapallo italiano cocido con sal</v>
      </c>
      <c r="B391" t="str">
        <f>IF(ISNUMBER(SEARCH(Calculadora!$C$4,A391)),MAX(B$1:B390)+1,"")</f>
        <v/>
      </c>
      <c r="C391">
        <v>390</v>
      </c>
      <c r="D391" t="str">
        <f t="shared" si="6"/>
        <v/>
      </c>
    </row>
    <row r="392" spans="1:4" x14ac:dyDescent="0.25">
      <c r="A392" t="str">
        <f>Datos!C392</f>
        <v>Zapallo</v>
      </c>
      <c r="B392" t="str">
        <f>IF(ISNUMBER(SEARCH(Calculadora!$C$4,A392)),MAX(B$1:B391)+1,"")</f>
        <v/>
      </c>
      <c r="C392">
        <v>391</v>
      </c>
      <c r="D392" t="str">
        <f t="shared" si="6"/>
        <v/>
      </c>
    </row>
    <row r="393" spans="1:4" x14ac:dyDescent="0.25">
      <c r="A393" t="str">
        <f>Datos!C393</f>
        <v>Aceitunas negras</v>
      </c>
      <c r="B393" t="str">
        <f>IF(ISNUMBER(SEARCH(Calculadora!$C$4,A393)),MAX(B$1:B392)+1,"")</f>
        <v/>
      </c>
      <c r="C393">
        <v>392</v>
      </c>
      <c r="D393" t="str">
        <f t="shared" si="6"/>
        <v/>
      </c>
    </row>
    <row r="394" spans="1:4" x14ac:dyDescent="0.25">
      <c r="A394" t="str">
        <f>Datos!C394</f>
        <v>Aceitunas verdes</v>
      </c>
      <c r="B394" t="str">
        <f>IF(ISNUMBER(SEARCH(Calculadora!$C$4,A394)),MAX(B$1:B393)+1,"")</f>
        <v/>
      </c>
      <c r="C394">
        <v>393</v>
      </c>
      <c r="D394" t="str">
        <f t="shared" si="6"/>
        <v/>
      </c>
    </row>
    <row r="395" spans="1:4" x14ac:dyDescent="0.25">
      <c r="A395" t="str">
        <f>Datos!C395</f>
        <v>Arándanos azul</v>
      </c>
      <c r="B395" t="str">
        <f>IF(ISNUMBER(SEARCH(Calculadora!$C$4,A395)),MAX(B$1:B394)+1,"")</f>
        <v/>
      </c>
      <c r="C395">
        <v>394</v>
      </c>
      <c r="D395" t="str">
        <f t="shared" si="6"/>
        <v/>
      </c>
    </row>
    <row r="396" spans="1:4" x14ac:dyDescent="0.25">
      <c r="A396" t="str">
        <f>Datos!C396</f>
        <v>Arándanos rojo</v>
      </c>
      <c r="B396" t="str">
        <f>IF(ISNUMBER(SEARCH(Calculadora!$C$4,A396)),MAX(B$1:B395)+1,"")</f>
        <v/>
      </c>
      <c r="C396">
        <v>395</v>
      </c>
      <c r="D396" t="str">
        <f t="shared" si="6"/>
        <v/>
      </c>
    </row>
    <row r="397" spans="1:4" x14ac:dyDescent="0.25">
      <c r="A397" t="str">
        <f>Datos!C397</f>
        <v>Caqui</v>
      </c>
      <c r="B397" t="str">
        <f>IF(ISNUMBER(SEARCH(Calculadora!$C$4,A397)),MAX(B$1:B396)+1,"")</f>
        <v/>
      </c>
      <c r="C397">
        <v>396</v>
      </c>
      <c r="D397" t="str">
        <f t="shared" si="6"/>
        <v/>
      </c>
    </row>
    <row r="398" spans="1:4" x14ac:dyDescent="0.25">
      <c r="A398" t="str">
        <f>Datos!C398</f>
        <v>Cerezas</v>
      </c>
      <c r="B398" t="str">
        <f>IF(ISNUMBER(SEARCH(Calculadora!$C$4,A398)),MAX(B$1:B397)+1,"")</f>
        <v/>
      </c>
      <c r="C398">
        <v>397</v>
      </c>
      <c r="D398" t="str">
        <f t="shared" si="6"/>
        <v/>
      </c>
    </row>
    <row r="399" spans="1:4" x14ac:dyDescent="0.25">
      <c r="A399" t="str">
        <f>Datos!C399</f>
        <v>Chirimoya</v>
      </c>
      <c r="B399" t="str">
        <f>IF(ISNUMBER(SEARCH(Calculadora!$C$4,A399)),MAX(B$1:B398)+1,"")</f>
        <v/>
      </c>
      <c r="C399">
        <v>398</v>
      </c>
      <c r="D399" t="str">
        <f t="shared" si="6"/>
        <v/>
      </c>
    </row>
    <row r="400" spans="1:4" x14ac:dyDescent="0.25">
      <c r="A400" t="str">
        <f>Datos!C400</f>
        <v>Ciruelas</v>
      </c>
      <c r="B400" t="str">
        <f>IF(ISNUMBER(SEARCH(Calculadora!$C$4,A400)),MAX(B$1:B399)+1,"")</f>
        <v/>
      </c>
      <c r="C400">
        <v>399</v>
      </c>
      <c r="D400" t="str">
        <f t="shared" si="6"/>
        <v/>
      </c>
    </row>
    <row r="401" spans="1:4" x14ac:dyDescent="0.25">
      <c r="A401" t="str">
        <f>Datos!C401</f>
        <v>Ciruelas desecadas</v>
      </c>
      <c r="B401" t="str">
        <f>IF(ISNUMBER(SEARCH(Calculadora!$C$4,A401)),MAX(B$1:B400)+1,"")</f>
        <v/>
      </c>
      <c r="C401">
        <v>400</v>
      </c>
      <c r="D401" t="str">
        <f t="shared" si="6"/>
        <v/>
      </c>
    </row>
    <row r="402" spans="1:4" x14ac:dyDescent="0.25">
      <c r="A402" t="str">
        <f>Datos!C402</f>
        <v>Clementinas</v>
      </c>
      <c r="B402" t="str">
        <f>IF(ISNUMBER(SEARCH(Calculadora!$C$4,A402)),MAX(B$1:B401)+1,"")</f>
        <v/>
      </c>
      <c r="C402">
        <v>401</v>
      </c>
      <c r="D402" t="str">
        <f t="shared" si="6"/>
        <v/>
      </c>
    </row>
    <row r="403" spans="1:4" x14ac:dyDescent="0.25">
      <c r="A403" t="str">
        <f>Datos!C403</f>
        <v>Damasco</v>
      </c>
      <c r="B403" t="str">
        <f>IF(ISNUMBER(SEARCH(Calculadora!$C$4,A403)),MAX(B$1:B402)+1,"")</f>
        <v/>
      </c>
      <c r="C403">
        <v>402</v>
      </c>
      <c r="D403" t="str">
        <f t="shared" si="6"/>
        <v/>
      </c>
    </row>
    <row r="404" spans="1:4" x14ac:dyDescent="0.25">
      <c r="A404" t="str">
        <f>Datos!C404</f>
        <v>Damascos secos</v>
      </c>
      <c r="B404" t="str">
        <f>IF(ISNUMBER(SEARCH(Calculadora!$C$4,A404)),MAX(B$1:B403)+1,"")</f>
        <v/>
      </c>
      <c r="C404">
        <v>403</v>
      </c>
      <c r="D404" t="str">
        <f t="shared" si="6"/>
        <v/>
      </c>
    </row>
    <row r="405" spans="1:4" x14ac:dyDescent="0.25">
      <c r="A405" t="str">
        <f>Datos!C405</f>
        <v>Durazno</v>
      </c>
      <c r="B405" t="str">
        <f>IF(ISNUMBER(SEARCH(Calculadora!$C$4,A405)),MAX(B$1:B404)+1,"")</f>
        <v/>
      </c>
      <c r="C405">
        <v>404</v>
      </c>
      <c r="D405" t="str">
        <f t="shared" si="6"/>
        <v/>
      </c>
    </row>
    <row r="406" spans="1:4" x14ac:dyDescent="0.25">
      <c r="A406" t="str">
        <f>Datos!C406</f>
        <v>Duraznos en conserva</v>
      </c>
      <c r="B406" t="str">
        <f>IF(ISNUMBER(SEARCH(Calculadora!$C$4,A406)),MAX(B$1:B405)+1,"")</f>
        <v/>
      </c>
      <c r="C406">
        <v>405</v>
      </c>
      <c r="D406" t="str">
        <f t="shared" si="6"/>
        <v/>
      </c>
    </row>
    <row r="407" spans="1:4" x14ac:dyDescent="0.25">
      <c r="A407" t="str">
        <f>Datos!C407</f>
        <v>Frambuesa</v>
      </c>
      <c r="B407" t="str">
        <f>IF(ISNUMBER(SEARCH(Calculadora!$C$4,A407)),MAX(B$1:B406)+1,"")</f>
        <v/>
      </c>
      <c r="C407">
        <v>406</v>
      </c>
      <c r="D407" t="str">
        <f t="shared" si="6"/>
        <v/>
      </c>
    </row>
    <row r="408" spans="1:4" x14ac:dyDescent="0.25">
      <c r="A408" t="str">
        <f>Datos!C408</f>
        <v>Frutilla</v>
      </c>
      <c r="B408" t="str">
        <f>IF(ISNUMBER(SEARCH(Calculadora!$C$4,A408)),MAX(B$1:B407)+1,"")</f>
        <v/>
      </c>
      <c r="C408">
        <v>407</v>
      </c>
      <c r="D408" t="str">
        <f t="shared" si="6"/>
        <v/>
      </c>
    </row>
    <row r="409" spans="1:4" x14ac:dyDescent="0.25">
      <c r="A409" t="str">
        <f>Datos!C409</f>
        <v>Granada</v>
      </c>
      <c r="B409" t="str">
        <f>IF(ISNUMBER(SEARCH(Calculadora!$C$4,A409)),MAX(B$1:B408)+1,"")</f>
        <v/>
      </c>
      <c r="C409">
        <v>408</v>
      </c>
      <c r="D409" t="str">
        <f t="shared" si="6"/>
        <v/>
      </c>
    </row>
    <row r="410" spans="1:4" x14ac:dyDescent="0.25">
      <c r="A410" t="str">
        <f>Datos!C410</f>
        <v>Grosella roja y blanca</v>
      </c>
      <c r="B410" t="str">
        <f>IF(ISNUMBER(SEARCH(Calculadora!$C$4,A410)),MAX(B$1:B409)+1,"")</f>
        <v/>
      </c>
      <c r="C410">
        <v>409</v>
      </c>
      <c r="D410" t="str">
        <f t="shared" si="6"/>
        <v/>
      </c>
    </row>
    <row r="411" spans="1:4" x14ac:dyDescent="0.25">
      <c r="A411" t="str">
        <f>Datos!C411</f>
        <v>Guayaba</v>
      </c>
      <c r="B411" t="str">
        <f>IF(ISNUMBER(SEARCH(Calculadora!$C$4,A411)),MAX(B$1:B410)+1,"")</f>
        <v/>
      </c>
      <c r="C411">
        <v>410</v>
      </c>
      <c r="D411" t="str">
        <f t="shared" si="6"/>
        <v/>
      </c>
    </row>
    <row r="412" spans="1:4" x14ac:dyDescent="0.25">
      <c r="A412" t="str">
        <f>Datos!C412</f>
        <v>Guindas</v>
      </c>
      <c r="B412" t="str">
        <f>IF(ISNUMBER(SEARCH(Calculadora!$C$4,A412)),MAX(B$1:B411)+1,"")</f>
        <v/>
      </c>
      <c r="C412">
        <v>411</v>
      </c>
      <c r="D412" t="str">
        <f t="shared" si="6"/>
        <v/>
      </c>
    </row>
    <row r="413" spans="1:4" x14ac:dyDescent="0.25">
      <c r="A413" t="str">
        <f>Datos!C413</f>
        <v>Guindas ácidas rojas</v>
      </c>
      <c r="B413" t="str">
        <f>IF(ISNUMBER(SEARCH(Calculadora!$C$4,A413)),MAX(B$1:B412)+1,"")</f>
        <v/>
      </c>
      <c r="C413">
        <v>412</v>
      </c>
      <c r="D413" t="str">
        <f t="shared" si="6"/>
        <v/>
      </c>
    </row>
    <row r="414" spans="1:4" x14ac:dyDescent="0.25">
      <c r="A414" t="str">
        <f>Datos!C414</f>
        <v>Higos frescos</v>
      </c>
      <c r="B414" t="str">
        <f>IF(ISNUMBER(SEARCH(Calculadora!$C$4,A414)),MAX(B$1:B413)+1,"")</f>
        <v/>
      </c>
      <c r="C414">
        <v>413</v>
      </c>
      <c r="D414" t="str">
        <f t="shared" si="6"/>
        <v/>
      </c>
    </row>
    <row r="415" spans="1:4" x14ac:dyDescent="0.25">
      <c r="A415" t="str">
        <f>Datos!C415</f>
        <v>Higos secos</v>
      </c>
      <c r="B415" t="str">
        <f>IF(ISNUMBER(SEARCH(Calculadora!$C$4,A415)),MAX(B$1:B414)+1,"")</f>
        <v/>
      </c>
      <c r="C415">
        <v>414</v>
      </c>
      <c r="D415" t="str">
        <f t="shared" si="6"/>
        <v/>
      </c>
    </row>
    <row r="416" spans="1:4" x14ac:dyDescent="0.25">
      <c r="A416" t="str">
        <f>Datos!C416</f>
        <v>Huesillo</v>
      </c>
      <c r="B416" t="str">
        <f>IF(ISNUMBER(SEARCH(Calculadora!$C$4,A416)),MAX(B$1:B415)+1,"")</f>
        <v/>
      </c>
      <c r="C416">
        <v>415</v>
      </c>
      <c r="D416" t="str">
        <f t="shared" si="6"/>
        <v/>
      </c>
    </row>
    <row r="417" spans="1:4" x14ac:dyDescent="0.25">
      <c r="A417" t="str">
        <f>Datos!C417</f>
        <v>Kiwi</v>
      </c>
      <c r="B417" t="str">
        <f>IF(ISNUMBER(SEARCH(Calculadora!$C$4,A417)),MAX(B$1:B416)+1,"")</f>
        <v/>
      </c>
      <c r="C417">
        <v>416</v>
      </c>
      <c r="D417" t="str">
        <f t="shared" si="6"/>
        <v/>
      </c>
    </row>
    <row r="418" spans="1:4" x14ac:dyDescent="0.25">
      <c r="A418" t="str">
        <f>Datos!C418</f>
        <v>Limón fruto</v>
      </c>
      <c r="B418" t="str">
        <f>IF(ISNUMBER(SEARCH(Calculadora!$C$4,A418)),MAX(B$1:B417)+1,"")</f>
        <v/>
      </c>
      <c r="C418">
        <v>417</v>
      </c>
      <c r="D418" t="str">
        <f t="shared" si="6"/>
        <v/>
      </c>
    </row>
    <row r="419" spans="1:4" x14ac:dyDescent="0.25">
      <c r="A419" t="str">
        <f>Datos!C419</f>
        <v>Mandarina</v>
      </c>
      <c r="B419" t="str">
        <f>IF(ISNUMBER(SEARCH(Calculadora!$C$4,A419)),MAX(B$1:B418)+1,"")</f>
        <v/>
      </c>
      <c r="C419">
        <v>418</v>
      </c>
      <c r="D419" t="str">
        <f t="shared" si="6"/>
        <v/>
      </c>
    </row>
    <row r="420" spans="1:4" x14ac:dyDescent="0.25">
      <c r="A420" t="str">
        <f>Datos!C420</f>
        <v>Mango</v>
      </c>
      <c r="B420" t="str">
        <f>IF(ISNUMBER(SEARCH(Calculadora!$C$4,A420)),MAX(B$1:B419)+1,"")</f>
        <v/>
      </c>
      <c r="C420">
        <v>419</v>
      </c>
      <c r="D420" t="str">
        <f t="shared" si="6"/>
        <v/>
      </c>
    </row>
    <row r="421" spans="1:4" x14ac:dyDescent="0.25">
      <c r="A421" t="str">
        <f>Datos!C421</f>
        <v>Manzana</v>
      </c>
      <c r="B421" t="str">
        <f>IF(ISNUMBER(SEARCH(Calculadora!$C$4,A421)),MAX(B$1:B420)+1,"")</f>
        <v/>
      </c>
      <c r="C421">
        <v>420</v>
      </c>
      <c r="D421" t="str">
        <f t="shared" si="6"/>
        <v/>
      </c>
    </row>
    <row r="422" spans="1:4" x14ac:dyDescent="0.25">
      <c r="A422" t="str">
        <f>Datos!C422</f>
        <v>Manzana fuji</v>
      </c>
      <c r="B422" t="str">
        <f>IF(ISNUMBER(SEARCH(Calculadora!$C$4,A422)),MAX(B$1:B421)+1,"")</f>
        <v/>
      </c>
      <c r="C422">
        <v>421</v>
      </c>
      <c r="D422" t="str">
        <f t="shared" si="6"/>
        <v/>
      </c>
    </row>
    <row r="423" spans="1:4" x14ac:dyDescent="0.25">
      <c r="A423" t="str">
        <f>Datos!C423</f>
        <v>Manzana golden</v>
      </c>
      <c r="B423" t="str">
        <f>IF(ISNUMBER(SEARCH(Calculadora!$C$4,A423)),MAX(B$1:B422)+1,"")</f>
        <v/>
      </c>
      <c r="C423">
        <v>422</v>
      </c>
      <c r="D423" t="str">
        <f t="shared" si="6"/>
        <v/>
      </c>
    </row>
    <row r="424" spans="1:4" x14ac:dyDescent="0.25">
      <c r="A424" t="str">
        <f>Datos!C424</f>
        <v>Manzana roja</v>
      </c>
      <c r="B424" t="str">
        <f>IF(ISNUMBER(SEARCH(Calculadora!$C$4,A424)),MAX(B$1:B423)+1,"")</f>
        <v/>
      </c>
      <c r="C424">
        <v>423</v>
      </c>
      <c r="D424" t="str">
        <f t="shared" si="6"/>
        <v/>
      </c>
    </row>
    <row r="425" spans="1:4" x14ac:dyDescent="0.25">
      <c r="A425" t="str">
        <f>Datos!C425</f>
        <v>Manzana sin cáscara</v>
      </c>
      <c r="B425" t="str">
        <f>IF(ISNUMBER(SEARCH(Calculadora!$C$4,A425)),MAX(B$1:B424)+1,"")</f>
        <v/>
      </c>
      <c r="C425">
        <v>424</v>
      </c>
      <c r="D425" t="str">
        <f t="shared" si="6"/>
        <v/>
      </c>
    </row>
    <row r="426" spans="1:4" x14ac:dyDescent="0.25">
      <c r="A426" t="str">
        <f>Datos!C426</f>
        <v>Manzana verde</v>
      </c>
      <c r="B426" t="str">
        <f>IF(ISNUMBER(SEARCH(Calculadora!$C$4,A426)),MAX(B$1:B425)+1,"")</f>
        <v/>
      </c>
      <c r="C426">
        <v>425</v>
      </c>
      <c r="D426" t="str">
        <f t="shared" si="6"/>
        <v/>
      </c>
    </row>
    <row r="427" spans="1:4" x14ac:dyDescent="0.25">
      <c r="A427" t="str">
        <f>Datos!C427</f>
        <v>Melón</v>
      </c>
      <c r="B427" t="str">
        <f>IF(ISNUMBER(SEARCH(Calculadora!$C$4,A427)),MAX(B$1:B426)+1,"")</f>
        <v/>
      </c>
      <c r="C427">
        <v>426</v>
      </c>
      <c r="D427" t="str">
        <f t="shared" si="6"/>
        <v/>
      </c>
    </row>
    <row r="428" spans="1:4" x14ac:dyDescent="0.25">
      <c r="A428" t="str">
        <f>Datos!C428</f>
        <v>Membrillo</v>
      </c>
      <c r="B428" t="str">
        <f>IF(ISNUMBER(SEARCH(Calculadora!$C$4,A428)),MAX(B$1:B427)+1,"")</f>
        <v/>
      </c>
      <c r="C428">
        <v>427</v>
      </c>
      <c r="D428" t="str">
        <f t="shared" si="6"/>
        <v/>
      </c>
    </row>
    <row r="429" spans="1:4" x14ac:dyDescent="0.25">
      <c r="A429" t="str">
        <f>Datos!C429</f>
        <v>Mora</v>
      </c>
      <c r="B429" t="str">
        <f>IF(ISNUMBER(SEARCH(Calculadora!$C$4,A429)),MAX(B$1:B428)+1,"")</f>
        <v/>
      </c>
      <c r="C429">
        <v>428</v>
      </c>
      <c r="D429" t="str">
        <f t="shared" si="6"/>
        <v/>
      </c>
    </row>
    <row r="430" spans="1:4" x14ac:dyDescent="0.25">
      <c r="A430" t="str">
        <f>Datos!C430</f>
        <v>Naranja</v>
      </c>
      <c r="B430" t="str">
        <f>IF(ISNUMBER(SEARCH(Calculadora!$C$4,A430)),MAX(B$1:B429)+1,"")</f>
        <v/>
      </c>
      <c r="C430">
        <v>429</v>
      </c>
      <c r="D430" t="str">
        <f t="shared" si="6"/>
        <v/>
      </c>
    </row>
    <row r="431" spans="1:4" x14ac:dyDescent="0.25">
      <c r="A431" t="str">
        <f>Datos!C431</f>
        <v>Níspero</v>
      </c>
      <c r="B431" t="str">
        <f>IF(ISNUMBER(SEARCH(Calculadora!$C$4,A431)),MAX(B$1:B430)+1,"")</f>
        <v/>
      </c>
      <c r="C431">
        <v>430</v>
      </c>
      <c r="D431" t="str">
        <f t="shared" si="6"/>
        <v/>
      </c>
    </row>
    <row r="432" spans="1:4" x14ac:dyDescent="0.25">
      <c r="A432" t="str">
        <f>Datos!C433</f>
        <v>Palta</v>
      </c>
      <c r="B432" t="str">
        <f>IF(ISNUMBER(SEARCH(Calculadora!$C$4,A432)),MAX(B$1:B431)+1,"")</f>
        <v/>
      </c>
      <c r="C432">
        <v>431</v>
      </c>
      <c r="D432" t="str">
        <f t="shared" si="6"/>
        <v/>
      </c>
    </row>
    <row r="433" spans="1:4" x14ac:dyDescent="0.25">
      <c r="A433" t="str">
        <f>Datos!C434</f>
        <v>Palta hass</v>
      </c>
      <c r="B433" t="str">
        <f>IF(ISNUMBER(SEARCH(Calculadora!$C$4,A433)),MAX(B$1:B432)+1,"")</f>
        <v/>
      </c>
      <c r="C433">
        <v>432</v>
      </c>
      <c r="D433" t="str">
        <f t="shared" si="6"/>
        <v/>
      </c>
    </row>
    <row r="434" spans="1:4" x14ac:dyDescent="0.25">
      <c r="A434" t="str">
        <f>Datos!C435</f>
        <v>Papaya</v>
      </c>
      <c r="B434" t="str">
        <f>IF(ISNUMBER(SEARCH(Calculadora!$C$4,A434)),MAX(B$1:B433)+1,"")</f>
        <v/>
      </c>
      <c r="C434">
        <v>433</v>
      </c>
      <c r="D434" t="str">
        <f t="shared" si="6"/>
        <v/>
      </c>
    </row>
    <row r="435" spans="1:4" x14ac:dyDescent="0.25">
      <c r="A435" t="str">
        <f>Datos!C436</f>
        <v>Pasas</v>
      </c>
      <c r="B435" t="str">
        <f>IF(ISNUMBER(SEARCH(Calculadora!$C$4,A435)),MAX(B$1:B434)+1,"")</f>
        <v/>
      </c>
      <c r="C435">
        <v>434</v>
      </c>
      <c r="D435" t="str">
        <f t="shared" si="6"/>
        <v/>
      </c>
    </row>
    <row r="436" spans="1:4" x14ac:dyDescent="0.25">
      <c r="A436" t="str">
        <f>Datos!C437</f>
        <v>Pepino dulce</v>
      </c>
      <c r="B436" t="str">
        <f>IF(ISNUMBER(SEARCH(Calculadora!$C$4,A436)),MAX(B$1:B435)+1,"")</f>
        <v/>
      </c>
      <c r="C436">
        <v>435</v>
      </c>
      <c r="D436" t="str">
        <f t="shared" si="6"/>
        <v/>
      </c>
    </row>
    <row r="437" spans="1:4" x14ac:dyDescent="0.25">
      <c r="A437" t="str">
        <f>Datos!C438</f>
        <v>Azúcar</v>
      </c>
      <c r="B437" t="str">
        <f>IF(ISNUMBER(SEARCH(Calculadora!$C$4,A437)),MAX(B$1:B436)+1,"")</f>
        <v/>
      </c>
      <c r="C437">
        <v>436</v>
      </c>
      <c r="D437" t="str">
        <f t="shared" si="6"/>
        <v/>
      </c>
    </row>
    <row r="438" spans="1:4" x14ac:dyDescent="0.25">
      <c r="A438" t="str">
        <f>Datos!C439</f>
        <v>Azúcar (contiene sorbitol)</v>
      </c>
      <c r="B438" t="str">
        <f>IF(ISNUMBER(SEARCH(Calculadora!$C$4,A438)),MAX(B$1:B437)+1,"")</f>
        <v/>
      </c>
      <c r="C438">
        <v>437</v>
      </c>
      <c r="D438" t="str">
        <f t="shared" si="6"/>
        <v/>
      </c>
    </row>
    <row r="439" spans="1:4" x14ac:dyDescent="0.25">
      <c r="A439" t="str">
        <f>Datos!C440</f>
        <v>Azúcar flor</v>
      </c>
      <c r="B439" t="str">
        <f>IF(ISNUMBER(SEARCH(Calculadora!$C$4,A439)),MAX(B$1:B438)+1,"")</f>
        <v/>
      </c>
      <c r="C439">
        <v>438</v>
      </c>
      <c r="D439" t="str">
        <f t="shared" si="6"/>
        <v/>
      </c>
    </row>
    <row r="440" spans="1:4" x14ac:dyDescent="0.25">
      <c r="A440" t="str">
        <f>Datos!C441</f>
        <v>Azúcar light con estevia</v>
      </c>
      <c r="B440" t="str">
        <f>IF(ISNUMBER(SEARCH(Calculadora!$C$4,A440)),MAX(B$1:B439)+1,"")</f>
        <v/>
      </c>
      <c r="C440">
        <v>439</v>
      </c>
      <c r="D440" t="str">
        <f t="shared" si="6"/>
        <v/>
      </c>
    </row>
    <row r="441" spans="1:4" x14ac:dyDescent="0.25">
      <c r="A441" t="str">
        <f>Datos!C442</f>
        <v>Azúcar light con sucralosa</v>
      </c>
      <c r="B441" t="str">
        <f>IF(ISNUMBER(SEARCH(Calculadora!$C$4,A441)),MAX(B$1:B440)+1,"")</f>
        <v/>
      </c>
      <c r="C441">
        <v>440</v>
      </c>
      <c r="D441" t="str">
        <f t="shared" si="6"/>
        <v/>
      </c>
    </row>
    <row r="442" spans="1:4" x14ac:dyDescent="0.25">
      <c r="A442" t="str">
        <f>Datos!C443</f>
        <v>Miel de abeja (fuente 3)</v>
      </c>
      <c r="B442" t="str">
        <f>IF(ISNUMBER(SEARCH(Calculadora!$C$4,A442)),MAX(B$1:B441)+1,"")</f>
        <v/>
      </c>
      <c r="C442">
        <v>441</v>
      </c>
      <c r="D442" t="str">
        <f t="shared" si="6"/>
        <v/>
      </c>
    </row>
    <row r="443" spans="1:4" x14ac:dyDescent="0.25">
      <c r="A443" t="str">
        <f>Datos!C444</f>
        <v>Miel de abeja (fuente 2)</v>
      </c>
      <c r="B443" t="str">
        <f>IF(ISNUMBER(SEARCH(Calculadora!$C$4,A443)),MAX(B$1:B442)+1,"")</f>
        <v/>
      </c>
      <c r="C443">
        <v>442</v>
      </c>
      <c r="D443" t="str">
        <f t="shared" si="6"/>
        <v/>
      </c>
    </row>
    <row r="444" spans="1:4" x14ac:dyDescent="0.25">
      <c r="A444" t="str">
        <f>Datos!C445</f>
        <v>Miel de palma</v>
      </c>
      <c r="B444" t="str">
        <f>IF(ISNUMBER(SEARCH(Calculadora!$C$4,A444)),MAX(B$1:B443)+1,"")</f>
        <v/>
      </c>
      <c r="C444">
        <v>443</v>
      </c>
      <c r="D444" t="str">
        <f t="shared" si="6"/>
        <v/>
      </c>
    </row>
    <row r="445" spans="1:4" x14ac:dyDescent="0.25">
      <c r="A445" t="str">
        <f>Datos!C446</f>
        <v>Alfajor</v>
      </c>
      <c r="B445" t="str">
        <f>IF(ISNUMBER(SEARCH(Calculadora!$C$4,A445)),MAX(B$1:B444)+1,"")</f>
        <v/>
      </c>
      <c r="C445">
        <v>444</v>
      </c>
      <c r="D445" t="str">
        <f t="shared" si="6"/>
        <v/>
      </c>
    </row>
    <row r="446" spans="1:4" x14ac:dyDescent="0.25">
      <c r="A446" t="str">
        <f>Datos!C447</f>
        <v>Barra cereal</v>
      </c>
      <c r="B446" t="str">
        <f>IF(ISNUMBER(SEARCH(Calculadora!$C$4,A446)),MAX(B$1:B445)+1,"")</f>
        <v/>
      </c>
      <c r="C446">
        <v>445</v>
      </c>
      <c r="D446" t="str">
        <f t="shared" si="6"/>
        <v/>
      </c>
    </row>
    <row r="447" spans="1:4" x14ac:dyDescent="0.25">
      <c r="A447" t="str">
        <f>Datos!C448</f>
        <v>Barra sabor chocolate con relleno sabor frutilla</v>
      </c>
      <c r="B447" t="str">
        <f>IF(ISNUMBER(SEARCH(Calculadora!$C$4,A447)),MAX(B$1:B446)+1,"")</f>
        <v/>
      </c>
      <c r="C447">
        <v>446</v>
      </c>
      <c r="D447" t="str">
        <f t="shared" si="6"/>
        <v/>
      </c>
    </row>
    <row r="448" spans="1:4" x14ac:dyDescent="0.25">
      <c r="A448" t="str">
        <f>Datos!C449</f>
        <v>Berlín</v>
      </c>
      <c r="B448" t="str">
        <f>IF(ISNUMBER(SEARCH(Calculadora!$C$4,A448)),MAX(B$1:B447)+1,"")</f>
        <v/>
      </c>
      <c r="C448">
        <v>447</v>
      </c>
      <c r="D448" t="str">
        <f t="shared" si="6"/>
        <v/>
      </c>
    </row>
    <row r="449" spans="1:4" x14ac:dyDescent="0.25">
      <c r="A449" t="str">
        <f>Datos!C450</f>
        <v>Biscocho simple</v>
      </c>
      <c r="B449" t="str">
        <f>IF(ISNUMBER(SEARCH(Calculadora!$C$4,A449)),MAX(B$1:B448)+1,"")</f>
        <v/>
      </c>
      <c r="C449">
        <v>448</v>
      </c>
      <c r="D449" t="str">
        <f t="shared" si="6"/>
        <v/>
      </c>
    </row>
    <row r="450" spans="1:4" x14ac:dyDescent="0.25">
      <c r="A450" t="str">
        <f>Datos!C451</f>
        <v>Cacao en polvo sin azúcar</v>
      </c>
      <c r="B450" t="str">
        <f>IF(ISNUMBER(SEARCH(Calculadora!$C$4,A450)),MAX(B$1:B449)+1,"")</f>
        <v/>
      </c>
      <c r="C450">
        <v>449</v>
      </c>
      <c r="D450" t="str">
        <f t="shared" ref="D450:D513" si="7">IFERROR(INDEX($A$2:$A$647,MATCH(C450,$B$2:$B$647,0)),"")</f>
        <v/>
      </c>
    </row>
    <row r="451" spans="1:4" x14ac:dyDescent="0.25">
      <c r="A451" t="str">
        <f>Datos!C452</f>
        <v>Chancaca</v>
      </c>
      <c r="B451" t="str">
        <f>IF(ISNUMBER(SEARCH(Calculadora!$C$4,A451)),MAX(B$1:B450)+1,"")</f>
        <v/>
      </c>
      <c r="C451">
        <v>450</v>
      </c>
      <c r="D451" t="str">
        <f t="shared" si="7"/>
        <v/>
      </c>
    </row>
    <row r="452" spans="1:4" x14ac:dyDescent="0.25">
      <c r="A452" t="str">
        <f>Datos!C453</f>
        <v>Chocolate de leche con almendras</v>
      </c>
      <c r="B452" t="str">
        <f>IF(ISNUMBER(SEARCH(Calculadora!$C$4,A452)),MAX(B$1:B451)+1,"")</f>
        <v/>
      </c>
      <c r="C452">
        <v>451</v>
      </c>
      <c r="D452" t="str">
        <f t="shared" si="7"/>
        <v/>
      </c>
    </row>
    <row r="453" spans="1:4" x14ac:dyDescent="0.25">
      <c r="A453" t="str">
        <f>Datos!C454</f>
        <v>Chocolate amargo 60-69% cacao</v>
      </c>
      <c r="B453" t="str">
        <f>IF(ISNUMBER(SEARCH(Calculadora!$C$4,A453)),MAX(B$1:B452)+1,"")</f>
        <v/>
      </c>
      <c r="C453">
        <v>452</v>
      </c>
      <c r="D453" t="str">
        <f t="shared" si="7"/>
        <v/>
      </c>
    </row>
    <row r="454" spans="1:4" x14ac:dyDescent="0.25">
      <c r="A454" t="str">
        <f>Datos!C455</f>
        <v>Chocolate amargo 70-85% cacao</v>
      </c>
      <c r="B454" t="str">
        <f>IF(ISNUMBER(SEARCH(Calculadora!$C$4,A454)),MAX(B$1:B453)+1,"")</f>
        <v/>
      </c>
      <c r="C454">
        <v>453</v>
      </c>
      <c r="D454" t="str">
        <f t="shared" si="7"/>
        <v/>
      </c>
    </row>
    <row r="455" spans="1:4" x14ac:dyDescent="0.25">
      <c r="A455" t="str">
        <f>Datos!C456</f>
        <v>Chocolate de leche</v>
      </c>
      <c r="B455" t="str">
        <f>IF(ISNUMBER(SEARCH(Calculadora!$C$4,A455)),MAX(B$1:B454)+1,"")</f>
        <v/>
      </c>
      <c r="C455">
        <v>454</v>
      </c>
      <c r="D455" t="str">
        <f t="shared" si="7"/>
        <v/>
      </c>
    </row>
    <row r="456" spans="1:4" x14ac:dyDescent="0.25">
      <c r="A456" t="str">
        <f>Datos!C457</f>
        <v>Cacao en polvo con azúcar</v>
      </c>
      <c r="B456" t="str">
        <f>IF(ISNUMBER(SEARCH(Calculadora!$C$4,A456)),MAX(B$1:B455)+1,"")</f>
        <v/>
      </c>
      <c r="C456">
        <v>455</v>
      </c>
      <c r="D456" t="str">
        <f t="shared" si="7"/>
        <v/>
      </c>
    </row>
    <row r="457" spans="1:4" x14ac:dyDescent="0.25">
      <c r="A457" t="str">
        <f>Datos!C458</f>
        <v>Fruta confitada</v>
      </c>
      <c r="B457" t="str">
        <f>IF(ISNUMBER(SEARCH(Calculadora!$C$4,A457)),MAX(B$1:B456)+1,"")</f>
        <v/>
      </c>
      <c r="C457">
        <v>456</v>
      </c>
      <c r="D457" t="str">
        <f t="shared" si="7"/>
        <v/>
      </c>
    </row>
    <row r="458" spans="1:4" x14ac:dyDescent="0.25">
      <c r="A458" t="str">
        <f>Datos!C459</f>
        <v>Jalea polvo</v>
      </c>
      <c r="B458" t="str">
        <f>IF(ISNUMBER(SEARCH(Calculadora!$C$4,A458)),MAX(B$1:B457)+1,"")</f>
        <v/>
      </c>
      <c r="C458">
        <v>457</v>
      </c>
      <c r="D458" t="str">
        <f t="shared" si="7"/>
        <v/>
      </c>
    </row>
    <row r="459" spans="1:4" x14ac:dyDescent="0.25">
      <c r="A459" t="str">
        <f>Datos!C460</f>
        <v>Jalea reconstituida (fuente 1)</v>
      </c>
      <c r="B459" t="str">
        <f>IF(ISNUMBER(SEARCH(Calculadora!$C$4,A459)),MAX(B$1:B458)+1,"")</f>
        <v/>
      </c>
      <c r="C459">
        <v>458</v>
      </c>
      <c r="D459" t="str">
        <f t="shared" si="7"/>
        <v/>
      </c>
    </row>
    <row r="460" spans="1:4" x14ac:dyDescent="0.25">
      <c r="A460" t="str">
        <f>Datos!C461</f>
        <v>Jalea reconstituida (fuente 3)</v>
      </c>
      <c r="B460" t="str">
        <f>IF(ISNUMBER(SEARCH(Calculadora!$C$4,A460)),MAX(B$1:B459)+1,"")</f>
        <v/>
      </c>
      <c r="C460">
        <v>459</v>
      </c>
      <c r="D460" t="str">
        <f t="shared" si="7"/>
        <v/>
      </c>
    </row>
    <row r="461" spans="1:4" x14ac:dyDescent="0.25">
      <c r="A461" t="str">
        <f>Datos!C462</f>
        <v>Jalea polvo sin azúcar</v>
      </c>
      <c r="B461" t="str">
        <f>IF(ISNUMBER(SEARCH(Calculadora!$C$4,A461)),MAX(B$1:B460)+1,"")</f>
        <v/>
      </c>
      <c r="C461">
        <v>460</v>
      </c>
      <c r="D461" t="str">
        <f t="shared" si="7"/>
        <v/>
      </c>
    </row>
    <row r="462" spans="1:4" x14ac:dyDescent="0.25">
      <c r="A462" t="str">
        <f>Datos!C463</f>
        <v>Manjar</v>
      </c>
      <c r="B462" t="str">
        <f>IF(ISNUMBER(SEARCH(Calculadora!$C$4,A462)),MAX(B$1:B461)+1,"")</f>
        <v/>
      </c>
      <c r="C462">
        <v>461</v>
      </c>
      <c r="D462" t="str">
        <f t="shared" si="7"/>
        <v/>
      </c>
    </row>
    <row r="463" spans="1:4" x14ac:dyDescent="0.25">
      <c r="A463" t="str">
        <f>Datos!C464</f>
        <v>Mermelada damasco</v>
      </c>
      <c r="B463" t="str">
        <f>IF(ISNUMBER(SEARCH(Calculadora!$C$4,A463)),MAX(B$1:B462)+1,"")</f>
        <v/>
      </c>
      <c r="C463">
        <v>462</v>
      </c>
      <c r="D463" t="str">
        <f t="shared" si="7"/>
        <v/>
      </c>
    </row>
    <row r="464" spans="1:4" x14ac:dyDescent="0.25">
      <c r="A464" t="str">
        <f>Datos!C465</f>
        <v>Mermelada membrillo</v>
      </c>
      <c r="B464" t="str">
        <f>IF(ISNUMBER(SEARCH(Calculadora!$C$4,A464)),MAX(B$1:B463)+1,"")</f>
        <v/>
      </c>
      <c r="C464">
        <v>463</v>
      </c>
      <c r="D464" t="str">
        <f t="shared" si="7"/>
        <v/>
      </c>
    </row>
    <row r="465" spans="1:4" x14ac:dyDescent="0.25">
      <c r="A465" t="str">
        <f>Datos!C466</f>
        <v>Mermelada sin azúcar adicionada</v>
      </c>
      <c r="B465" t="str">
        <f>IF(ISNUMBER(SEARCH(Calculadora!$C$4,A465)),MAX(B$1:B464)+1,"")</f>
        <v/>
      </c>
      <c r="C465">
        <v>464</v>
      </c>
      <c r="D465" t="str">
        <f t="shared" si="7"/>
        <v/>
      </c>
    </row>
    <row r="466" spans="1:4" x14ac:dyDescent="0.25">
      <c r="A466" t="str">
        <f>Datos!C467</f>
        <v>Dulce de membrillo</v>
      </c>
      <c r="B466" t="str">
        <f>IF(ISNUMBER(SEARCH(Calculadora!$C$4,A466)),MAX(B$1:B465)+1,"")</f>
        <v/>
      </c>
      <c r="C466">
        <v>465</v>
      </c>
      <c r="D466" t="str">
        <f t="shared" si="7"/>
        <v/>
      </c>
    </row>
    <row r="467" spans="1:4" x14ac:dyDescent="0.25">
      <c r="A467" t="str">
        <f>Datos!C468</f>
        <v>Mousse vainilla</v>
      </c>
      <c r="B467" t="str">
        <f>IF(ISNUMBER(SEARCH(Calculadora!$C$4,A467)),MAX(B$1:B466)+1,"")</f>
        <v/>
      </c>
      <c r="C467">
        <v>466</v>
      </c>
      <c r="D467" t="str">
        <f t="shared" si="7"/>
        <v/>
      </c>
    </row>
    <row r="468" spans="1:4" x14ac:dyDescent="0.25">
      <c r="A468" t="str">
        <f>Datos!C469</f>
        <v>Muffins arándano</v>
      </c>
      <c r="B468" t="str">
        <f>IF(ISNUMBER(SEARCH(Calculadora!$C$4,A468)),MAX(B$1:B467)+1,"")</f>
        <v/>
      </c>
      <c r="C468">
        <v>467</v>
      </c>
      <c r="D468" t="str">
        <f t="shared" si="7"/>
        <v/>
      </c>
    </row>
    <row r="469" spans="1:4" x14ac:dyDescent="0.25">
      <c r="A469" t="str">
        <f>Datos!C470</f>
        <v>Oblea bañada con cobertura sabor chocolate</v>
      </c>
      <c r="B469" t="str">
        <f>IF(ISNUMBER(SEARCH(Calculadora!$C$4,A469)),MAX(B$1:B468)+1,"")</f>
        <v/>
      </c>
      <c r="C469">
        <v>468</v>
      </c>
      <c r="D469" t="str">
        <f t="shared" si="7"/>
        <v/>
      </c>
    </row>
    <row r="470" spans="1:4" x14ac:dyDescent="0.25">
      <c r="A470" t="str">
        <f>Datos!C471</f>
        <v>Cono de barquillo azucarado</v>
      </c>
      <c r="B470" t="str">
        <f>IF(ISNUMBER(SEARCH(Calculadora!$C$4,A470)),MAX(B$1:B469)+1,"")</f>
        <v/>
      </c>
      <c r="C470">
        <v>469</v>
      </c>
      <c r="D470" t="str">
        <f t="shared" si="7"/>
        <v/>
      </c>
    </row>
    <row r="471" spans="1:4" x14ac:dyDescent="0.25">
      <c r="A471" t="str">
        <f>Datos!C472</f>
        <v>Pie de limón</v>
      </c>
      <c r="B471" t="str">
        <f>IF(ISNUMBER(SEARCH(Calculadora!$C$4,A471)),MAX(B$1:B470)+1,"")</f>
        <v/>
      </c>
      <c r="C471">
        <v>470</v>
      </c>
      <c r="D471" t="str">
        <f t="shared" si="7"/>
        <v/>
      </c>
    </row>
    <row r="472" spans="1:4" x14ac:dyDescent="0.25">
      <c r="A472" t="str">
        <f>Datos!C473</f>
        <v>Strudel de manzana</v>
      </c>
      <c r="B472" t="str">
        <f>IF(ISNUMBER(SEARCH(Calculadora!$C$4,A472)),MAX(B$1:B471)+1,"")</f>
        <v/>
      </c>
      <c r="C472">
        <v>471</v>
      </c>
      <c r="D472" t="str">
        <f t="shared" si="7"/>
        <v/>
      </c>
    </row>
    <row r="473" spans="1:4" x14ac:dyDescent="0.25">
      <c r="A473" t="str">
        <f>Datos!C474</f>
        <v>Marshmallow</v>
      </c>
      <c r="B473" t="str">
        <f>IF(ISNUMBER(SEARCH(Calculadora!$C$4,A473)),MAX(B$1:B472)+1,"")</f>
        <v/>
      </c>
      <c r="C473">
        <v>472</v>
      </c>
      <c r="D473" t="str">
        <f t="shared" si="7"/>
        <v/>
      </c>
    </row>
    <row r="474" spans="1:4" x14ac:dyDescent="0.25">
      <c r="A474" t="str">
        <f>Datos!C475</f>
        <v>Sustancia simple (marshmallow)</v>
      </c>
      <c r="B474" t="str">
        <f>IF(ISNUMBER(SEARCH(Calculadora!$C$4,A474)),MAX(B$1:B473)+1,"")</f>
        <v/>
      </c>
      <c r="C474">
        <v>473</v>
      </c>
      <c r="D474" t="str">
        <f t="shared" si="7"/>
        <v/>
      </c>
    </row>
    <row r="475" spans="1:4" x14ac:dyDescent="0.25">
      <c r="A475" t="str">
        <f>Datos!C476</f>
        <v>Sustancia (marshmallow) con chocolate</v>
      </c>
      <c r="B475" t="str">
        <f>IF(ISNUMBER(SEARCH(Calculadora!$C$4,A475)),MAX(B$1:B474)+1,"")</f>
        <v/>
      </c>
      <c r="C475">
        <v>474</v>
      </c>
      <c r="D475" t="str">
        <f t="shared" si="7"/>
        <v/>
      </c>
    </row>
    <row r="476" spans="1:4" x14ac:dyDescent="0.25">
      <c r="A476" t="str">
        <f>Datos!C477</f>
        <v>Arroz con leche</v>
      </c>
      <c r="B476" t="str">
        <f>IF(ISNUMBER(SEARCH(Calculadora!$C$4,A476)),MAX(B$1:B475)+1,"")</f>
        <v/>
      </c>
      <c r="C476">
        <v>475</v>
      </c>
      <c r="D476" t="str">
        <f t="shared" si="7"/>
        <v/>
      </c>
    </row>
    <row r="477" spans="1:4" x14ac:dyDescent="0.25">
      <c r="A477" t="str">
        <f>Datos!C478</f>
        <v>Flan de leche sabor vainilla</v>
      </c>
      <c r="B477" t="str">
        <f>IF(ISNUMBER(SEARCH(Calculadora!$C$4,A477)),MAX(B$1:B476)+1,"")</f>
        <v/>
      </c>
      <c r="C477">
        <v>476</v>
      </c>
      <c r="D477" t="str">
        <f t="shared" si="7"/>
        <v/>
      </c>
    </row>
    <row r="478" spans="1:4" x14ac:dyDescent="0.25">
      <c r="A478" t="str">
        <f>Datos!C479</f>
        <v>Flan vainilla reconstituido</v>
      </c>
      <c r="B478" t="str">
        <f>IF(ISNUMBER(SEARCH(Calculadora!$C$4,A478)),MAX(B$1:B477)+1,"")</f>
        <v/>
      </c>
      <c r="C478">
        <v>477</v>
      </c>
      <c r="D478" t="str">
        <f t="shared" si="7"/>
        <v/>
      </c>
    </row>
    <row r="479" spans="1:4" x14ac:dyDescent="0.25">
      <c r="A479" t="str">
        <f>Datos!C480</f>
        <v>Flan polvo</v>
      </c>
      <c r="B479" t="str">
        <f>IF(ISNUMBER(SEARCH(Calculadora!$C$4,A479)),MAX(B$1:B478)+1,"")</f>
        <v/>
      </c>
      <c r="C479">
        <v>478</v>
      </c>
      <c r="D479" t="str">
        <f t="shared" si="7"/>
        <v/>
      </c>
    </row>
    <row r="480" spans="1:4" x14ac:dyDescent="0.25">
      <c r="A480" t="str">
        <f>Datos!C481</f>
        <v>Leche asada con salsa de caramelo</v>
      </c>
      <c r="B480" t="str">
        <f>IF(ISNUMBER(SEARCH(Calculadora!$C$4,A480)),MAX(B$1:B479)+1,"")</f>
        <v/>
      </c>
      <c r="C480">
        <v>479</v>
      </c>
      <c r="D480" t="str">
        <f t="shared" si="7"/>
        <v/>
      </c>
    </row>
    <row r="481" spans="1:4" x14ac:dyDescent="0.25">
      <c r="A481" t="str">
        <f>Datos!C482</f>
        <v>Sémola con leche con salsa caramelo</v>
      </c>
      <c r="B481" t="str">
        <f>IF(ISNUMBER(SEARCH(Calculadora!$C$4,A481)),MAX(B$1:B480)+1,"")</f>
        <v/>
      </c>
      <c r="C481">
        <v>480</v>
      </c>
      <c r="D481" t="str">
        <f t="shared" si="7"/>
        <v/>
      </c>
    </row>
    <row r="482" spans="1:4" x14ac:dyDescent="0.25">
      <c r="A482" t="str">
        <f>Datos!C483</f>
        <v>Bebida de soya sabor manzana</v>
      </c>
      <c r="B482" t="str">
        <f>IF(ISNUMBER(SEARCH(Calculadora!$C$4,A482)),MAX(B$1:B481)+1,"")</f>
        <v/>
      </c>
      <c r="C482">
        <v>481</v>
      </c>
      <c r="D482" t="str">
        <f t="shared" si="7"/>
        <v/>
      </c>
    </row>
    <row r="483" spans="1:4" x14ac:dyDescent="0.25">
      <c r="A483" t="str">
        <f>Datos!C484</f>
        <v>Jugo de limón</v>
      </c>
      <c r="B483" t="str">
        <f>IF(ISNUMBER(SEARCH(Calculadora!$C$4,A483)),MAX(B$1:B482)+1,"")</f>
        <v/>
      </c>
      <c r="C483">
        <v>482</v>
      </c>
      <c r="D483" t="str">
        <f t="shared" si="7"/>
        <v/>
      </c>
    </row>
    <row r="484" spans="1:4" x14ac:dyDescent="0.25">
      <c r="A484" t="str">
        <f>Datos!C485</f>
        <v>Jugo de mandarina</v>
      </c>
      <c r="B484" t="str">
        <f>IF(ISNUMBER(SEARCH(Calculadora!$C$4,A484)),MAX(B$1:B483)+1,"")</f>
        <v/>
      </c>
      <c r="C484">
        <v>483</v>
      </c>
      <c r="D484" t="str">
        <f t="shared" si="7"/>
        <v/>
      </c>
    </row>
    <row r="485" spans="1:4" x14ac:dyDescent="0.25">
      <c r="A485" t="str">
        <f>Datos!C486</f>
        <v>Jugo de maqui</v>
      </c>
      <c r="B485" t="str">
        <f>IF(ISNUMBER(SEARCH(Calculadora!$C$4,A485)),MAX(B$1:B484)+1,"")</f>
        <v/>
      </c>
      <c r="C485">
        <v>484</v>
      </c>
      <c r="D485" t="str">
        <f t="shared" si="7"/>
        <v/>
      </c>
    </row>
    <row r="486" spans="1:4" x14ac:dyDescent="0.25">
      <c r="A486" t="str">
        <f>Datos!C487</f>
        <v>Jugo de naranja</v>
      </c>
      <c r="B486" t="str">
        <f>IF(ISNUMBER(SEARCH(Calculadora!$C$4,A486)),MAX(B$1:B485)+1,"")</f>
        <v/>
      </c>
      <c r="C486">
        <v>485</v>
      </c>
      <c r="D486" t="str">
        <f t="shared" si="7"/>
        <v/>
      </c>
    </row>
    <row r="487" spans="1:4" x14ac:dyDescent="0.25">
      <c r="A487" t="str">
        <f>Datos!C488</f>
        <v>Jugo de pomelo</v>
      </c>
      <c r="B487" t="str">
        <f>IF(ISNUMBER(SEARCH(Calculadora!$C$4,A487)),MAX(B$1:B486)+1,"")</f>
        <v/>
      </c>
      <c r="C487">
        <v>486</v>
      </c>
      <c r="D487" t="str">
        <f t="shared" si="7"/>
        <v/>
      </c>
    </row>
    <row r="488" spans="1:4" x14ac:dyDescent="0.25">
      <c r="A488" t="str">
        <f>Datos!C489</f>
        <v>Néctar damasco</v>
      </c>
      <c r="B488" t="str">
        <f>IF(ISNUMBER(SEARCH(Calculadora!$C$4,A488)),MAX(B$1:B487)+1,"")</f>
        <v/>
      </c>
      <c r="C488">
        <v>487</v>
      </c>
      <c r="D488" t="str">
        <f t="shared" si="7"/>
        <v/>
      </c>
    </row>
    <row r="489" spans="1:4" x14ac:dyDescent="0.25">
      <c r="A489" t="str">
        <f>Datos!C490</f>
        <v>Néctar damasco light</v>
      </c>
      <c r="B489" t="str">
        <f>IF(ISNUMBER(SEARCH(Calculadora!$C$4,A489)),MAX(B$1:B488)+1,"")</f>
        <v/>
      </c>
      <c r="C489">
        <v>488</v>
      </c>
      <c r="D489" t="str">
        <f t="shared" si="7"/>
        <v/>
      </c>
    </row>
    <row r="490" spans="1:4" x14ac:dyDescent="0.25">
      <c r="A490" t="str">
        <f>Datos!C491</f>
        <v>Néctar durazno</v>
      </c>
      <c r="B490" t="str">
        <f>IF(ISNUMBER(SEARCH(Calculadora!$C$4,A490)),MAX(B$1:B489)+1,"")</f>
        <v/>
      </c>
      <c r="C490">
        <v>489</v>
      </c>
      <c r="D490" t="str">
        <f t="shared" si="7"/>
        <v/>
      </c>
    </row>
    <row r="491" spans="1:4" x14ac:dyDescent="0.25">
      <c r="A491" t="str">
        <f>Datos!C492</f>
        <v>Néctar durazno light</v>
      </c>
      <c r="B491" t="str">
        <f>IF(ISNUMBER(SEARCH(Calculadora!$C$4,A491)),MAX(B$1:B490)+1,"")</f>
        <v/>
      </c>
      <c r="C491">
        <v>490</v>
      </c>
      <c r="D491" t="str">
        <f t="shared" si="7"/>
        <v/>
      </c>
    </row>
    <row r="492" spans="1:4" x14ac:dyDescent="0.25">
      <c r="A492" t="str">
        <f>Datos!C493</f>
        <v>Néctar manzana</v>
      </c>
      <c r="B492" t="str">
        <f>IF(ISNUMBER(SEARCH(Calculadora!$C$4,A492)),MAX(B$1:B491)+1,"")</f>
        <v/>
      </c>
      <c r="C492">
        <v>491</v>
      </c>
      <c r="D492" t="str">
        <f t="shared" si="7"/>
        <v/>
      </c>
    </row>
    <row r="493" spans="1:4" x14ac:dyDescent="0.25">
      <c r="A493" t="str">
        <f>Datos!C494</f>
        <v>Néctar naranja</v>
      </c>
      <c r="B493" t="str">
        <f>IF(ISNUMBER(SEARCH(Calculadora!$C$4,A493)),MAX(B$1:B492)+1,"")</f>
        <v/>
      </c>
      <c r="C493">
        <v>492</v>
      </c>
      <c r="D493" t="str">
        <f t="shared" si="7"/>
        <v/>
      </c>
    </row>
    <row r="494" spans="1:4" x14ac:dyDescent="0.25">
      <c r="A494" t="str">
        <f>Datos!C495</f>
        <v>Néctar naranja light</v>
      </c>
      <c r="B494" t="str">
        <f>IF(ISNUMBER(SEARCH(Calculadora!$C$4,A494)),MAX(B$1:B493)+1,"")</f>
        <v/>
      </c>
      <c r="C494">
        <v>493</v>
      </c>
      <c r="D494" t="str">
        <f t="shared" si="7"/>
        <v/>
      </c>
    </row>
    <row r="495" spans="1:4" x14ac:dyDescent="0.25">
      <c r="A495" t="str">
        <f>Datos!C496</f>
        <v>Néctar uva light</v>
      </c>
      <c r="B495" t="str">
        <f>IF(ISNUMBER(SEARCH(Calculadora!$C$4,A495)),MAX(B$1:B494)+1,"")</f>
        <v/>
      </c>
      <c r="C495">
        <v>494</v>
      </c>
      <c r="D495" t="str">
        <f t="shared" si="7"/>
        <v/>
      </c>
    </row>
    <row r="496" spans="1:4" x14ac:dyDescent="0.25">
      <c r="A496" t="str">
        <f>Datos!C497</f>
        <v>Refresco polvo bajo en calorías</v>
      </c>
      <c r="B496" t="str">
        <f>IF(ISNUMBER(SEARCH(Calculadora!$C$4,A496)),MAX(B$1:B495)+1,"")</f>
        <v/>
      </c>
      <c r="C496">
        <v>495</v>
      </c>
      <c r="D496" t="str">
        <f t="shared" si="7"/>
        <v/>
      </c>
    </row>
    <row r="497" spans="1:4" x14ac:dyDescent="0.25">
      <c r="A497" t="str">
        <f>Datos!C498</f>
        <v>Refresco polvo light durazno</v>
      </c>
      <c r="B497" t="str">
        <f>IF(ISNUMBER(SEARCH(Calculadora!$C$4,A497)),MAX(B$1:B496)+1,"")</f>
        <v/>
      </c>
      <c r="C497">
        <v>496</v>
      </c>
      <c r="D497" t="str">
        <f t="shared" si="7"/>
        <v/>
      </c>
    </row>
    <row r="498" spans="1:4" x14ac:dyDescent="0.25">
      <c r="A498" t="str">
        <f>Datos!C499</f>
        <v>Refresco polvo light naranja</v>
      </c>
      <c r="B498" t="str">
        <f>IF(ISNUMBER(SEARCH(Calculadora!$C$4,A498)),MAX(B$1:B497)+1,"")</f>
        <v/>
      </c>
      <c r="C498">
        <v>497</v>
      </c>
      <c r="D498" t="str">
        <f t="shared" si="7"/>
        <v/>
      </c>
    </row>
    <row r="499" spans="1:4" x14ac:dyDescent="0.25">
      <c r="A499" t="str">
        <f>Datos!C500</f>
        <v>Refresco polvo light piña</v>
      </c>
      <c r="B499" t="str">
        <f>IF(ISNUMBER(SEARCH(Calculadora!$C$4,A499)),MAX(B$1:B498)+1,"")</f>
        <v/>
      </c>
      <c r="C499">
        <v>498</v>
      </c>
      <c r="D499" t="str">
        <f t="shared" si="7"/>
        <v/>
      </c>
    </row>
    <row r="500" spans="1:4" x14ac:dyDescent="0.25">
      <c r="A500" t="str">
        <f>Datos!C501</f>
        <v>Agua tónica</v>
      </c>
      <c r="B500" t="str">
        <f>IF(ISNUMBER(SEARCH(Calculadora!$C$4,A500)),MAX(B$1:B499)+1,"")</f>
        <v/>
      </c>
      <c r="C500">
        <v>499</v>
      </c>
      <c r="D500" t="str">
        <f t="shared" si="7"/>
        <v/>
      </c>
    </row>
    <row r="501" spans="1:4" x14ac:dyDescent="0.25">
      <c r="A501" t="str">
        <f>Datos!C502</f>
        <v>Bebida cola light</v>
      </c>
      <c r="B501" t="str">
        <f>IF(ISNUMBER(SEARCH(Calculadora!$C$4,A501)),MAX(B$1:B500)+1,"")</f>
        <v/>
      </c>
      <c r="C501">
        <v>500</v>
      </c>
      <c r="D501" t="str">
        <f t="shared" si="7"/>
        <v/>
      </c>
    </row>
    <row r="502" spans="1:4" x14ac:dyDescent="0.25">
      <c r="A502" t="str">
        <f>Datos!C503</f>
        <v>Bebida cola tradicional</v>
      </c>
      <c r="B502" t="str">
        <f>IF(ISNUMBER(SEARCH(Calculadora!$C$4,A502)),MAX(B$1:B501)+1,"")</f>
        <v/>
      </c>
      <c r="C502">
        <v>501</v>
      </c>
      <c r="D502" t="str">
        <f t="shared" si="7"/>
        <v/>
      </c>
    </row>
    <row r="503" spans="1:4" x14ac:dyDescent="0.25">
      <c r="A503" t="str">
        <f>Datos!C504</f>
        <v>Bebida energética</v>
      </c>
      <c r="B503" t="str">
        <f>IF(ISNUMBER(SEARCH(Calculadora!$C$4,A503)),MAX(B$1:B502)+1,"")</f>
        <v/>
      </c>
      <c r="C503">
        <v>502</v>
      </c>
      <c r="D503" t="str">
        <f t="shared" si="7"/>
        <v/>
      </c>
    </row>
    <row r="504" spans="1:4" x14ac:dyDescent="0.25">
      <c r="A504" t="str">
        <f>Datos!C505</f>
        <v>Bebida gaseosa sabor limón</v>
      </c>
      <c r="B504" t="str">
        <f>IF(ISNUMBER(SEARCH(Calculadora!$C$4,A504)),MAX(B$1:B503)+1,"")</f>
        <v/>
      </c>
      <c r="C504">
        <v>503</v>
      </c>
      <c r="D504" t="str">
        <f t="shared" si="7"/>
        <v/>
      </c>
    </row>
    <row r="505" spans="1:4" x14ac:dyDescent="0.25">
      <c r="A505" t="str">
        <f>Datos!C506</f>
        <v>Bebida gaseosa sabor naranja</v>
      </c>
      <c r="B505" t="str">
        <f>IF(ISNUMBER(SEARCH(Calculadora!$C$4,A505)),MAX(B$1:B504)+1,"")</f>
        <v/>
      </c>
      <c r="C505">
        <v>504</v>
      </c>
      <c r="D505" t="str">
        <f t="shared" si="7"/>
        <v/>
      </c>
    </row>
    <row r="506" spans="1:4" x14ac:dyDescent="0.25">
      <c r="A506" t="str">
        <f>Datos!C507</f>
        <v>Bebida gaseosa sabor piña</v>
      </c>
      <c r="B506" t="str">
        <f>IF(ISNUMBER(SEARCH(Calculadora!$C$4,A506)),MAX(B$1:B505)+1,"")</f>
        <v/>
      </c>
      <c r="C506">
        <v>505</v>
      </c>
      <c r="D506" t="str">
        <f t="shared" si="7"/>
        <v/>
      </c>
    </row>
    <row r="507" spans="1:4" x14ac:dyDescent="0.25">
      <c r="A507" t="str">
        <f>Datos!C508</f>
        <v>Bebida gaseosa sabor piña libre de azúcar</v>
      </c>
      <c r="B507" t="str">
        <f>IF(ISNUMBER(SEARCH(Calculadora!$C$4,A507)),MAX(B$1:B506)+1,"")</f>
        <v/>
      </c>
      <c r="C507">
        <v>506</v>
      </c>
      <c r="D507" t="str">
        <f t="shared" si="7"/>
        <v/>
      </c>
    </row>
    <row r="508" spans="1:4" x14ac:dyDescent="0.25">
      <c r="A508" t="str">
        <f>Datos!C509</f>
        <v>Bebida isotónica</v>
      </c>
      <c r="B508" t="str">
        <f>IF(ISNUMBER(SEARCH(Calculadora!$C$4,A508)),MAX(B$1:B507)+1,"")</f>
        <v/>
      </c>
      <c r="C508">
        <v>507</v>
      </c>
      <c r="D508" t="str">
        <f t="shared" si="7"/>
        <v/>
      </c>
    </row>
    <row r="509" spans="1:4" x14ac:dyDescent="0.25">
      <c r="A509" t="str">
        <f>Datos!C510</f>
        <v>Bebida isotónica sabor lima limón</v>
      </c>
      <c r="B509" t="str">
        <f>IF(ISNUMBER(SEARCH(Calculadora!$C$4,A509)),MAX(B$1:B508)+1,"")</f>
        <v/>
      </c>
      <c r="C509">
        <v>508</v>
      </c>
      <c r="D509" t="str">
        <f t="shared" si="7"/>
        <v/>
      </c>
    </row>
    <row r="510" spans="1:4" x14ac:dyDescent="0.25">
      <c r="A510" t="str">
        <f>Datos!C511</f>
        <v>Cerveza</v>
      </c>
      <c r="B510" t="str">
        <f>IF(ISNUMBER(SEARCH(Calculadora!$C$4,A510)),MAX(B$1:B509)+1,"")</f>
        <v/>
      </c>
      <c r="C510">
        <v>509</v>
      </c>
      <c r="D510" t="str">
        <f t="shared" si="7"/>
        <v/>
      </c>
    </row>
    <row r="511" spans="1:4" x14ac:dyDescent="0.25">
      <c r="A511" t="str">
        <f>Datos!C512</f>
        <v>Champagna</v>
      </c>
      <c r="B511" t="str">
        <f>IF(ISNUMBER(SEARCH(Calculadora!$C$4,A511)),MAX(B$1:B510)+1,"")</f>
        <v/>
      </c>
      <c r="C511">
        <v>510</v>
      </c>
      <c r="D511" t="str">
        <f t="shared" si="7"/>
        <v/>
      </c>
    </row>
    <row r="512" spans="1:4" x14ac:dyDescent="0.25">
      <c r="A512" t="str">
        <f>Datos!C513</f>
        <v>Licor de café</v>
      </c>
      <c r="B512" t="str">
        <f>IF(ISNUMBER(SEARCH(Calculadora!$C$4,A512)),MAX(B$1:B511)+1,"")</f>
        <v/>
      </c>
      <c r="C512">
        <v>511</v>
      </c>
      <c r="D512" t="str">
        <f t="shared" si="7"/>
        <v/>
      </c>
    </row>
    <row r="513" spans="1:4" x14ac:dyDescent="0.25">
      <c r="A513" t="str">
        <f>Datos!C514</f>
        <v>Licor de menta</v>
      </c>
      <c r="B513" t="str">
        <f>IF(ISNUMBER(SEARCH(Calculadora!$C$4,A513)),MAX(B$1:B512)+1,"")</f>
        <v/>
      </c>
      <c r="C513">
        <v>512</v>
      </c>
      <c r="D513" t="str">
        <f t="shared" si="7"/>
        <v/>
      </c>
    </row>
    <row r="514" spans="1:4" x14ac:dyDescent="0.25">
      <c r="A514" t="str">
        <f>Datos!C515</f>
        <v>Martini</v>
      </c>
      <c r="B514" t="str">
        <f>IF(ISNUMBER(SEARCH(Calculadora!$C$4,A514)),MAX(B$1:B513)+1,"")</f>
        <v/>
      </c>
      <c r="C514">
        <v>513</v>
      </c>
      <c r="D514" t="str">
        <f t="shared" ref="D514:D577" si="8">IFERROR(INDEX($A$2:$A$647,MATCH(C514,$B$2:$B$647,0)),"")</f>
        <v/>
      </c>
    </row>
    <row r="515" spans="1:4" x14ac:dyDescent="0.25">
      <c r="A515" t="str">
        <f>Datos!C516</f>
        <v>Pisco</v>
      </c>
      <c r="B515" t="str">
        <f>IF(ISNUMBER(SEARCH(Calculadora!$C$4,A515)),MAX(B$1:B514)+1,"")</f>
        <v/>
      </c>
      <c r="C515">
        <v>514</v>
      </c>
      <c r="D515" t="str">
        <f t="shared" si="8"/>
        <v/>
      </c>
    </row>
    <row r="516" spans="1:4" x14ac:dyDescent="0.25">
      <c r="A516" t="str">
        <f>Datos!C517</f>
        <v>Pisco sour</v>
      </c>
      <c r="B516" t="str">
        <f>IF(ISNUMBER(SEARCH(Calculadora!$C$4,A516)),MAX(B$1:B515)+1,"")</f>
        <v/>
      </c>
      <c r="C516">
        <v>515</v>
      </c>
      <c r="D516" t="str">
        <f t="shared" si="8"/>
        <v/>
      </c>
    </row>
    <row r="517" spans="1:4" x14ac:dyDescent="0.25">
      <c r="A517" t="str">
        <f>Datos!C518</f>
        <v>Ron</v>
      </c>
      <c r="B517" t="str">
        <f>IF(ISNUMBER(SEARCH(Calculadora!$C$4,A517)),MAX(B$1:B516)+1,"")</f>
        <v/>
      </c>
      <c r="C517">
        <v>516</v>
      </c>
      <c r="D517" t="str">
        <f t="shared" si="8"/>
        <v/>
      </c>
    </row>
    <row r="518" spans="1:4" x14ac:dyDescent="0.25">
      <c r="A518" t="str">
        <f>Datos!C519</f>
        <v>Vodka</v>
      </c>
      <c r="B518" t="str">
        <f>IF(ISNUMBER(SEARCH(Calculadora!$C$4,A518)),MAX(B$1:B517)+1,"")</f>
        <v/>
      </c>
      <c r="C518">
        <v>517</v>
      </c>
      <c r="D518" t="str">
        <f t="shared" si="8"/>
        <v/>
      </c>
    </row>
    <row r="519" spans="1:4" x14ac:dyDescent="0.25">
      <c r="A519" t="str">
        <f>Datos!C520</f>
        <v>Whisky</v>
      </c>
      <c r="B519" t="str">
        <f>IF(ISNUMBER(SEARCH(Calculadora!$C$4,A519)),MAX(B$1:B518)+1,"")</f>
        <v/>
      </c>
      <c r="C519">
        <v>518</v>
      </c>
      <c r="D519" t="str">
        <f t="shared" si="8"/>
        <v/>
      </c>
    </row>
    <row r="520" spans="1:4" x14ac:dyDescent="0.25">
      <c r="A520" t="str">
        <f>Datos!C521</f>
        <v>Vino blanco</v>
      </c>
      <c r="B520" t="str">
        <f>IF(ISNUMBER(SEARCH(Calculadora!$C$4,A520)),MAX(B$1:B519)+1,"")</f>
        <v/>
      </c>
      <c r="C520">
        <v>519</v>
      </c>
      <c r="D520" t="str">
        <f t="shared" si="8"/>
        <v/>
      </c>
    </row>
    <row r="521" spans="1:4" x14ac:dyDescent="0.25">
      <c r="A521" t="str">
        <f>Datos!C522</f>
        <v>Vino tinto (fuente 1)</v>
      </c>
      <c r="B521" t="str">
        <f>IF(ISNUMBER(SEARCH(Calculadora!$C$4,A521)),MAX(B$1:B520)+1,"")</f>
        <v/>
      </c>
      <c r="C521">
        <v>520</v>
      </c>
      <c r="D521" t="str">
        <f t="shared" si="8"/>
        <v/>
      </c>
    </row>
    <row r="522" spans="1:4" x14ac:dyDescent="0.25">
      <c r="A522" t="str">
        <f>Datos!C523</f>
        <v>Vino tinto (fuente 3)</v>
      </c>
      <c r="B522" t="str">
        <f>IF(ISNUMBER(SEARCH(Calculadora!$C$4,A522)),MAX(B$1:B521)+1,"")</f>
        <v/>
      </c>
      <c r="C522">
        <v>521</v>
      </c>
      <c r="D522" t="str">
        <f t="shared" si="8"/>
        <v/>
      </c>
    </row>
    <row r="523" spans="1:4" x14ac:dyDescent="0.25">
      <c r="A523" t="str">
        <f>Datos!C524</f>
        <v>Hojuelas papas fritas</v>
      </c>
      <c r="B523" t="str">
        <f>IF(ISNUMBER(SEARCH(Calculadora!$C$4,A523)),MAX(B$1:B522)+1,"")</f>
        <v/>
      </c>
      <c r="C523">
        <v>522</v>
      </c>
      <c r="D523" t="str">
        <f t="shared" si="8"/>
        <v/>
      </c>
    </row>
    <row r="524" spans="1:4" x14ac:dyDescent="0.25">
      <c r="A524" t="str">
        <f>Datos!C525</f>
        <v>Hojuelas papas fritas sabor crema y cebolla</v>
      </c>
      <c r="B524" t="str">
        <f>IF(ISNUMBER(SEARCH(Calculadora!$C$4,A524)),MAX(B$1:B523)+1,"")</f>
        <v/>
      </c>
      <c r="C524">
        <v>523</v>
      </c>
      <c r="D524" t="str">
        <f t="shared" si="8"/>
        <v/>
      </c>
    </row>
    <row r="525" spans="1:4" x14ac:dyDescent="0.25">
      <c r="A525" t="str">
        <f>Datos!C526</f>
        <v>Suflé sabor queso</v>
      </c>
      <c r="B525" t="str">
        <f>IF(ISNUMBER(SEARCH(Calculadora!$C$4,A525)),MAX(B$1:B524)+1,"")</f>
        <v/>
      </c>
      <c r="C525">
        <v>524</v>
      </c>
      <c r="D525" t="str">
        <f t="shared" si="8"/>
        <v/>
      </c>
    </row>
    <row r="526" spans="1:4" x14ac:dyDescent="0.25">
      <c r="A526" t="str">
        <f>Datos!C527</f>
        <v>Pesto</v>
      </c>
      <c r="B526" t="str">
        <f>IF(ISNUMBER(SEARCH(Calculadora!$C$4,A526)),MAX(B$1:B525)+1,"")</f>
        <v/>
      </c>
      <c r="C526">
        <v>525</v>
      </c>
      <c r="D526" t="str">
        <f t="shared" si="8"/>
        <v/>
      </c>
    </row>
    <row r="527" spans="1:4" x14ac:dyDescent="0.25">
      <c r="A527" t="str">
        <f>Datos!C528</f>
        <v>Salsa barbecue</v>
      </c>
      <c r="B527" t="str">
        <f>IF(ISNUMBER(SEARCH(Calculadora!$C$4,A527)),MAX(B$1:B526)+1,"")</f>
        <v/>
      </c>
      <c r="C527">
        <v>526</v>
      </c>
      <c r="D527" t="str">
        <f t="shared" si="8"/>
        <v/>
      </c>
    </row>
    <row r="528" spans="1:4" x14ac:dyDescent="0.25">
      <c r="A528" t="str">
        <f>Datos!C529</f>
        <v>Salsa blanca casera</v>
      </c>
      <c r="B528" t="str">
        <f>IF(ISNUMBER(SEARCH(Calculadora!$C$4,A528)),MAX(B$1:B527)+1,"")</f>
        <v/>
      </c>
      <c r="C528">
        <v>527</v>
      </c>
      <c r="D528" t="str">
        <f t="shared" si="8"/>
        <v/>
      </c>
    </row>
    <row r="529" spans="1:4" x14ac:dyDescent="0.25">
      <c r="A529" t="str">
        <f>Datos!C530</f>
        <v>Salsa de tomates (fuente 1)</v>
      </c>
      <c r="B529" t="str">
        <f>IF(ISNUMBER(SEARCH(Calculadora!$C$4,A529)),MAX(B$1:B528)+1,"")</f>
        <v/>
      </c>
      <c r="C529">
        <v>528</v>
      </c>
      <c r="D529" t="str">
        <f t="shared" si="8"/>
        <v/>
      </c>
    </row>
    <row r="530" spans="1:4" x14ac:dyDescent="0.25">
      <c r="A530" t="str">
        <f>Datos!C531</f>
        <v>Salsa de tomates (fuente 4)</v>
      </c>
      <c r="B530" t="str">
        <f>IF(ISNUMBER(SEARCH(Calculadora!$C$4,A530)),MAX(B$1:B529)+1,"")</f>
        <v/>
      </c>
      <c r="C530">
        <v>529</v>
      </c>
      <c r="D530" t="str">
        <f t="shared" si="8"/>
        <v/>
      </c>
    </row>
    <row r="531" spans="1:4" x14ac:dyDescent="0.25">
      <c r="A531" t="str">
        <f>Datos!C532</f>
        <v>Salsa de tomates con cebolla</v>
      </c>
      <c r="B531" t="str">
        <f>IF(ISNUMBER(SEARCH(Calculadora!$C$4,A531)),MAX(B$1:B530)+1,"")</f>
        <v/>
      </c>
      <c r="C531">
        <v>530</v>
      </c>
      <c r="D531" t="str">
        <f t="shared" si="8"/>
        <v/>
      </c>
    </row>
    <row r="532" spans="1:4" x14ac:dyDescent="0.25">
      <c r="A532" t="str">
        <f>Datos!C533</f>
        <v>Salsa tártara</v>
      </c>
      <c r="B532" t="str">
        <f>IF(ISNUMBER(SEARCH(Calculadora!$C$4,A532)),MAX(B$1:B531)+1,"")</f>
        <v/>
      </c>
      <c r="C532">
        <v>531</v>
      </c>
      <c r="D532" t="str">
        <f t="shared" si="8"/>
        <v/>
      </c>
    </row>
    <row r="533" spans="1:4" x14ac:dyDescent="0.25">
      <c r="A533" t="str">
        <f>Datos!C534</f>
        <v>Salsa teriyaki</v>
      </c>
      <c r="B533" t="str">
        <f>IF(ISNUMBER(SEARCH(Calculadora!$C$4,A533)),MAX(B$1:B532)+1,"")</f>
        <v/>
      </c>
      <c r="C533">
        <v>532</v>
      </c>
      <c r="D533" t="str">
        <f t="shared" si="8"/>
        <v/>
      </c>
    </row>
    <row r="534" spans="1:4" x14ac:dyDescent="0.25">
      <c r="A534" t="str">
        <f>Datos!C535</f>
        <v>Salsa verde</v>
      </c>
      <c r="B534" t="str">
        <f>IF(ISNUMBER(SEARCH(Calculadora!$C$4,A534)),MAX(B$1:B533)+1,"")</f>
        <v/>
      </c>
      <c r="C534">
        <v>533</v>
      </c>
      <c r="D534" t="str">
        <f t="shared" si="8"/>
        <v/>
      </c>
    </row>
    <row r="535" spans="1:4" x14ac:dyDescent="0.25">
      <c r="A535" t="str">
        <f>Datos!C536</f>
        <v>Ajo en polvo</v>
      </c>
      <c r="B535" t="str">
        <f>IF(ISNUMBER(SEARCH(Calculadora!$C$4,A535)),MAX(B$1:B534)+1,"")</f>
        <v/>
      </c>
      <c r="C535">
        <v>534</v>
      </c>
      <c r="D535" t="str">
        <f t="shared" si="8"/>
        <v/>
      </c>
    </row>
    <row r="536" spans="1:4" x14ac:dyDescent="0.25">
      <c r="A536" t="str">
        <f>Datos!C537</f>
        <v>Albahaca fresca</v>
      </c>
      <c r="B536" t="str">
        <f>IF(ISNUMBER(SEARCH(Calculadora!$C$4,A536)),MAX(B$1:B535)+1,"")</f>
        <v/>
      </c>
      <c r="C536">
        <v>535</v>
      </c>
      <c r="D536" t="str">
        <f t="shared" si="8"/>
        <v/>
      </c>
    </row>
    <row r="537" spans="1:4" x14ac:dyDescent="0.25">
      <c r="A537" t="str">
        <f>Datos!C538</f>
        <v>Albahaca seca</v>
      </c>
      <c r="B537" t="str">
        <f>IF(ISNUMBER(SEARCH(Calculadora!$C$4,A537)),MAX(B$1:B536)+1,"")</f>
        <v/>
      </c>
      <c r="C537">
        <v>536</v>
      </c>
      <c r="D537" t="str">
        <f t="shared" si="8"/>
        <v/>
      </c>
    </row>
    <row r="538" spans="1:4" x14ac:dyDescent="0.25">
      <c r="A538" t="str">
        <f>Datos!C539</f>
        <v>Azafrán</v>
      </c>
      <c r="B538" t="str">
        <f>IF(ISNUMBER(SEARCH(Calculadora!$C$4,A538)),MAX(B$1:B537)+1,"")</f>
        <v/>
      </c>
      <c r="C538">
        <v>537</v>
      </c>
      <c r="D538" t="str">
        <f t="shared" si="8"/>
        <v/>
      </c>
    </row>
    <row r="539" spans="1:4" x14ac:dyDescent="0.25">
      <c r="A539" t="str">
        <f>Datos!C540</f>
        <v>Canela</v>
      </c>
      <c r="B539" t="str">
        <f>IF(ISNUMBER(SEARCH(Calculadora!$C$4,A539)),MAX(B$1:B538)+1,"")</f>
        <v/>
      </c>
      <c r="C539">
        <v>538</v>
      </c>
      <c r="D539" t="str">
        <f t="shared" si="8"/>
        <v/>
      </c>
    </row>
    <row r="540" spans="1:4" x14ac:dyDescent="0.25">
      <c r="A540" t="str">
        <f>Datos!C541</f>
        <v>Cardamomo</v>
      </c>
      <c r="B540" t="str">
        <f>IF(ISNUMBER(SEARCH(Calculadora!$C$4,A540)),MAX(B$1:B539)+1,"")</f>
        <v/>
      </c>
      <c r="C540">
        <v>539</v>
      </c>
      <c r="D540" t="str">
        <f t="shared" si="8"/>
        <v/>
      </c>
    </row>
    <row r="541" spans="1:4" x14ac:dyDescent="0.25">
      <c r="A541" t="str">
        <f>Datos!C542</f>
        <v>Cebolla en polvo</v>
      </c>
      <c r="B541" t="str">
        <f>IF(ISNUMBER(SEARCH(Calculadora!$C$4,A541)),MAX(B$1:B540)+1,"")</f>
        <v/>
      </c>
      <c r="C541">
        <v>540</v>
      </c>
      <c r="D541" t="str">
        <f t="shared" si="8"/>
        <v/>
      </c>
    </row>
    <row r="542" spans="1:4" x14ac:dyDescent="0.25">
      <c r="A542" t="str">
        <f>Datos!C543</f>
        <v>Clavo de olor</v>
      </c>
      <c r="B542" t="str">
        <f>IF(ISNUMBER(SEARCH(Calculadora!$C$4,A542)),MAX(B$1:B541)+1,"")</f>
        <v/>
      </c>
      <c r="C542">
        <v>541</v>
      </c>
      <c r="D542" t="str">
        <f t="shared" si="8"/>
        <v/>
      </c>
    </row>
    <row r="543" spans="1:4" x14ac:dyDescent="0.25">
      <c r="A543" t="str">
        <f>Datos!C544</f>
        <v>Cúrcuma</v>
      </c>
      <c r="B543" t="str">
        <f>IF(ISNUMBER(SEARCH(Calculadora!$C$4,A543)),MAX(B$1:B542)+1,"")</f>
        <v/>
      </c>
      <c r="C543">
        <v>542</v>
      </c>
      <c r="D543" t="str">
        <f t="shared" si="8"/>
        <v/>
      </c>
    </row>
    <row r="544" spans="1:4" x14ac:dyDescent="0.25">
      <c r="A544" t="str">
        <f>Datos!C545</f>
        <v>Curry en polvo</v>
      </c>
      <c r="B544" t="str">
        <f>IF(ISNUMBER(SEARCH(Calculadora!$C$4,A544)),MAX(B$1:B543)+1,"")</f>
        <v/>
      </c>
      <c r="C544">
        <v>543</v>
      </c>
      <c r="D544" t="str">
        <f t="shared" si="8"/>
        <v/>
      </c>
    </row>
    <row r="545" spans="1:4" x14ac:dyDescent="0.25">
      <c r="A545" t="str">
        <f>Datos!C546</f>
        <v>Eneldo fresco</v>
      </c>
      <c r="B545" t="str">
        <f>IF(ISNUMBER(SEARCH(Calculadora!$C$4,A545)),MAX(B$1:B544)+1,"")</f>
        <v/>
      </c>
      <c r="C545">
        <v>544</v>
      </c>
      <c r="D545" t="str">
        <f t="shared" si="8"/>
        <v/>
      </c>
    </row>
    <row r="546" spans="1:4" x14ac:dyDescent="0.25">
      <c r="A546" t="str">
        <f>Datos!C547</f>
        <v>Eneldo seco</v>
      </c>
      <c r="B546" t="str">
        <f>IF(ISNUMBER(SEARCH(Calculadora!$C$4,A546)),MAX(B$1:B545)+1,"")</f>
        <v/>
      </c>
      <c r="C546">
        <v>545</v>
      </c>
      <c r="D546" t="str">
        <f t="shared" si="8"/>
        <v/>
      </c>
    </row>
    <row r="547" spans="1:4" x14ac:dyDescent="0.25">
      <c r="A547" t="str">
        <f>Datos!C548</f>
        <v>Estragón seco</v>
      </c>
      <c r="B547" t="str">
        <f>IF(ISNUMBER(SEARCH(Calculadora!$C$4,A547)),MAX(B$1:B546)+1,"")</f>
        <v/>
      </c>
      <c r="C547">
        <v>546</v>
      </c>
      <c r="D547" t="str">
        <f t="shared" si="8"/>
        <v/>
      </c>
    </row>
    <row r="548" spans="1:4" x14ac:dyDescent="0.25">
      <c r="A548" t="str">
        <f>Datos!C549</f>
        <v>Hierbabuena</v>
      </c>
      <c r="B548" t="str">
        <f>IF(ISNUMBER(SEARCH(Calculadora!$C$4,A548)),MAX(B$1:B547)+1,"")</f>
        <v/>
      </c>
      <c r="C548">
        <v>547</v>
      </c>
      <c r="D548" t="str">
        <f t="shared" si="8"/>
        <v/>
      </c>
    </row>
    <row r="549" spans="1:4" x14ac:dyDescent="0.25">
      <c r="A549" t="str">
        <f>Datos!C550</f>
        <v>Jengibre</v>
      </c>
      <c r="B549" t="str">
        <f>IF(ISNUMBER(SEARCH(Calculadora!$C$4,A549)),MAX(B$1:B548)+1,"")</f>
        <v/>
      </c>
      <c r="C549">
        <v>548</v>
      </c>
      <c r="D549" t="str">
        <f t="shared" si="8"/>
        <v/>
      </c>
    </row>
    <row r="550" spans="1:4" x14ac:dyDescent="0.25">
      <c r="A550" t="str">
        <f>Datos!C551</f>
        <v>Laurel</v>
      </c>
      <c r="B550" t="str">
        <f>IF(ISNUMBER(SEARCH(Calculadora!$C$4,A550)),MAX(B$1:B549)+1,"")</f>
        <v/>
      </c>
      <c r="C550">
        <v>549</v>
      </c>
      <c r="D550" t="str">
        <f t="shared" si="8"/>
        <v/>
      </c>
    </row>
    <row r="551" spans="1:4" x14ac:dyDescent="0.25">
      <c r="A551" t="str">
        <f>Datos!C552</f>
        <v>Locoto deshidratado</v>
      </c>
      <c r="B551" t="str">
        <f>IF(ISNUMBER(SEARCH(Calculadora!$C$4,A551)),MAX(B$1:B550)+1,"")</f>
        <v/>
      </c>
      <c r="C551">
        <v>550</v>
      </c>
      <c r="D551" t="str">
        <f t="shared" si="8"/>
        <v/>
      </c>
    </row>
    <row r="552" spans="1:4" x14ac:dyDescent="0.25">
      <c r="A552" t="str">
        <f>Datos!C553</f>
        <v>Locoto fresco</v>
      </c>
      <c r="B552" t="str">
        <f>IF(ISNUMBER(SEARCH(Calculadora!$C$4,A552)),MAX(B$1:B551)+1,"")</f>
        <v/>
      </c>
      <c r="C552">
        <v>551</v>
      </c>
      <c r="D552" t="str">
        <f t="shared" si="8"/>
        <v/>
      </c>
    </row>
    <row r="553" spans="1:4" x14ac:dyDescent="0.25">
      <c r="A553" t="str">
        <f>Datos!C554</f>
        <v>Menta verde fresca</v>
      </c>
      <c r="B553" t="str">
        <f>IF(ISNUMBER(SEARCH(Calculadora!$C$4,A553)),MAX(B$1:B552)+1,"")</f>
        <v/>
      </c>
      <c r="C553">
        <v>552</v>
      </c>
      <c r="D553" t="str">
        <f t="shared" si="8"/>
        <v/>
      </c>
    </row>
    <row r="554" spans="1:4" x14ac:dyDescent="0.25">
      <c r="A554" t="str">
        <f>Datos!C555</f>
        <v>Menta verde seca</v>
      </c>
      <c r="B554" t="str">
        <f>IF(ISNUMBER(SEARCH(Calculadora!$C$4,A554)),MAX(B$1:B553)+1,"")</f>
        <v/>
      </c>
      <c r="C554">
        <v>553</v>
      </c>
      <c r="D554" t="str">
        <f t="shared" si="8"/>
        <v/>
      </c>
    </row>
    <row r="555" spans="1:4" x14ac:dyDescent="0.25">
      <c r="A555" t="str">
        <f>Datos!C556</f>
        <v>Merkén</v>
      </c>
      <c r="B555" t="str">
        <f>IF(ISNUMBER(SEARCH(Calculadora!$C$4,A555)),MAX(B$1:B554)+1,"")</f>
        <v/>
      </c>
      <c r="C555">
        <v>554</v>
      </c>
      <c r="D555" t="str">
        <f t="shared" si="8"/>
        <v/>
      </c>
    </row>
    <row r="556" spans="1:4" x14ac:dyDescent="0.25">
      <c r="A556" t="str">
        <f>Datos!C557</f>
        <v>Nuez moscada</v>
      </c>
      <c r="B556" t="str">
        <f>IF(ISNUMBER(SEARCH(Calculadora!$C$4,A556)),MAX(B$1:B555)+1,"")</f>
        <v/>
      </c>
      <c r="C556">
        <v>555</v>
      </c>
      <c r="D556" t="str">
        <f t="shared" si="8"/>
        <v/>
      </c>
    </row>
    <row r="557" spans="1:4" x14ac:dyDescent="0.25">
      <c r="A557" t="str">
        <f>Datos!C558</f>
        <v>Orégano seco</v>
      </c>
      <c r="B557" t="str">
        <f>IF(ISNUMBER(SEARCH(Calculadora!$C$4,A557)),MAX(B$1:B556)+1,"")</f>
        <v/>
      </c>
      <c r="C557">
        <v>556</v>
      </c>
      <c r="D557" t="str">
        <f t="shared" si="8"/>
        <v/>
      </c>
    </row>
    <row r="558" spans="1:4" x14ac:dyDescent="0.25">
      <c r="A558" t="str">
        <f>Datos!C559</f>
        <v>Paprika</v>
      </c>
      <c r="B558" t="str">
        <f>IF(ISNUMBER(SEARCH(Calculadora!$C$4,A558)),MAX(B$1:B557)+1,"")</f>
        <v/>
      </c>
      <c r="C558">
        <v>557</v>
      </c>
      <c r="D558" t="str">
        <f t="shared" si="8"/>
        <v/>
      </c>
    </row>
    <row r="559" spans="1:4" x14ac:dyDescent="0.25">
      <c r="A559" t="str">
        <f>Datos!C560</f>
        <v>Pimentón deshidratado</v>
      </c>
      <c r="B559" t="str">
        <f>IF(ISNUMBER(SEARCH(Calculadora!$C$4,A559)),MAX(B$1:B558)+1,"")</f>
        <v/>
      </c>
      <c r="C559">
        <v>558</v>
      </c>
      <c r="D559" t="str">
        <f t="shared" si="8"/>
        <v/>
      </c>
    </row>
    <row r="560" spans="1:4" x14ac:dyDescent="0.25">
      <c r="A560" t="str">
        <f>Datos!C561</f>
        <v>Perejil fresco</v>
      </c>
      <c r="B560" t="str">
        <f>IF(ISNUMBER(SEARCH(Calculadora!$C$4,A560)),MAX(B$1:B559)+1,"")</f>
        <v/>
      </c>
      <c r="C560">
        <v>559</v>
      </c>
      <c r="D560" t="str">
        <f t="shared" si="8"/>
        <v/>
      </c>
    </row>
    <row r="561" spans="1:4" x14ac:dyDescent="0.25">
      <c r="A561" t="str">
        <f>Datos!C562</f>
        <v>Perejil seco</v>
      </c>
      <c r="B561" t="str">
        <f>IF(ISNUMBER(SEARCH(Calculadora!$C$4,A561)),MAX(B$1:B560)+1,"")</f>
        <v/>
      </c>
      <c r="C561">
        <v>560</v>
      </c>
      <c r="D561" t="str">
        <f t="shared" si="8"/>
        <v/>
      </c>
    </row>
    <row r="562" spans="1:4" x14ac:dyDescent="0.25">
      <c r="A562" t="str">
        <f>Datos!C563</f>
        <v>Pimienta blanca</v>
      </c>
      <c r="B562" t="str">
        <f>IF(ISNUMBER(SEARCH(Calculadora!$C$4,A562)),MAX(B$1:B561)+1,"")</f>
        <v/>
      </c>
      <c r="C562">
        <v>561</v>
      </c>
      <c r="D562" t="str">
        <f t="shared" si="8"/>
        <v/>
      </c>
    </row>
    <row r="563" spans="1:4" x14ac:dyDescent="0.25">
      <c r="A563" t="str">
        <f>Datos!C564</f>
        <v>Pimienta negra</v>
      </c>
      <c r="B563" t="str">
        <f>IF(ISNUMBER(SEARCH(Calculadora!$C$4,A563)),MAX(B$1:B562)+1,"")</f>
        <v/>
      </c>
      <c r="C563">
        <v>562</v>
      </c>
      <c r="D563" t="str">
        <f t="shared" si="8"/>
        <v/>
      </c>
    </row>
    <row r="564" spans="1:4" x14ac:dyDescent="0.25">
      <c r="A564" t="str">
        <f>Datos!C565</f>
        <v>Pimienta roja</v>
      </c>
      <c r="B564" t="str">
        <f>IF(ISNUMBER(SEARCH(Calculadora!$C$4,A564)),MAX(B$1:B563)+1,"")</f>
        <v/>
      </c>
      <c r="C564">
        <v>563</v>
      </c>
      <c r="D564" t="str">
        <f t="shared" si="8"/>
        <v/>
      </c>
    </row>
    <row r="565" spans="1:4" x14ac:dyDescent="0.25">
      <c r="A565" t="str">
        <f>Datos!C566</f>
        <v>Romero fresco</v>
      </c>
      <c r="B565" t="str">
        <f>IF(ISNUMBER(SEARCH(Calculadora!$C$4,A565)),MAX(B$1:B564)+1,"")</f>
        <v/>
      </c>
      <c r="C565">
        <v>564</v>
      </c>
      <c r="D565" t="str">
        <f t="shared" si="8"/>
        <v/>
      </c>
    </row>
    <row r="566" spans="1:4" x14ac:dyDescent="0.25">
      <c r="A566" t="str">
        <f>Datos!C567</f>
        <v>Romero seco</v>
      </c>
      <c r="B566" t="str">
        <f>IF(ISNUMBER(SEARCH(Calculadora!$C$4,A566)),MAX(B$1:B565)+1,"")</f>
        <v/>
      </c>
      <c r="C566">
        <v>565</v>
      </c>
      <c r="D566" t="str">
        <f t="shared" si="8"/>
        <v/>
      </c>
    </row>
    <row r="567" spans="1:4" x14ac:dyDescent="0.25">
      <c r="A567" t="str">
        <f>Datos!C568</f>
        <v>Sal de mar</v>
      </c>
      <c r="B567" t="str">
        <f>IF(ISNUMBER(SEARCH(Calculadora!$C$4,A567)),MAX(B$1:B566)+1,"")</f>
        <v/>
      </c>
      <c r="C567">
        <v>566</v>
      </c>
      <c r="D567" t="str">
        <f t="shared" si="8"/>
        <v/>
      </c>
    </row>
    <row r="568" spans="1:4" x14ac:dyDescent="0.25">
      <c r="A568" t="str">
        <f>Datos!C569</f>
        <v>Sal de mesa</v>
      </c>
      <c r="B568" t="str">
        <f>IF(ISNUMBER(SEARCH(Calculadora!$C$4,A568)),MAX(B$1:B567)+1,"")</f>
        <v/>
      </c>
      <c r="C568">
        <v>567</v>
      </c>
      <c r="D568" t="str">
        <f t="shared" si="8"/>
        <v/>
      </c>
    </row>
    <row r="569" spans="1:4" x14ac:dyDescent="0.25">
      <c r="A569" t="str">
        <f>Datos!C570</f>
        <v>Semilla de amapola</v>
      </c>
      <c r="B569" t="str">
        <f>IF(ISNUMBER(SEARCH(Calculadora!$C$4,A569)),MAX(B$1:B568)+1,"")</f>
        <v/>
      </c>
      <c r="C569">
        <v>568</v>
      </c>
      <c r="D569" t="str">
        <f t="shared" si="8"/>
        <v/>
      </c>
    </row>
    <row r="570" spans="1:4" x14ac:dyDescent="0.25">
      <c r="A570" t="str">
        <f>Datos!C571</f>
        <v>Semilla de comino</v>
      </c>
      <c r="B570" t="str">
        <f>IF(ISNUMBER(SEARCH(Calculadora!$C$4,A570)),MAX(B$1:B569)+1,"")</f>
        <v/>
      </c>
      <c r="C570">
        <v>569</v>
      </c>
      <c r="D570" t="str">
        <f t="shared" si="8"/>
        <v/>
      </c>
    </row>
    <row r="571" spans="1:4" x14ac:dyDescent="0.25">
      <c r="A571" t="str">
        <f>Datos!C572</f>
        <v>Semillas de hinojo</v>
      </c>
      <c r="B571" t="str">
        <f>IF(ISNUMBER(SEARCH(Calculadora!$C$4,A571)),MAX(B$1:B570)+1,"")</f>
        <v/>
      </c>
      <c r="C571">
        <v>570</v>
      </c>
      <c r="D571" t="str">
        <f t="shared" si="8"/>
        <v/>
      </c>
    </row>
    <row r="572" spans="1:4" x14ac:dyDescent="0.25">
      <c r="A572" t="str">
        <f>Datos!C573</f>
        <v>Semilla de mostaza</v>
      </c>
      <c r="B572" t="str">
        <f>IF(ISNUMBER(SEARCH(Calculadora!$C$4,A572)),MAX(B$1:B571)+1,"")</f>
        <v/>
      </c>
      <c r="C572">
        <v>571</v>
      </c>
      <c r="D572" t="str">
        <f t="shared" si="8"/>
        <v/>
      </c>
    </row>
    <row r="573" spans="1:4" x14ac:dyDescent="0.25">
      <c r="A573" t="str">
        <f>Datos!C574</f>
        <v>Tomillo fresco</v>
      </c>
      <c r="B573" t="str">
        <f>IF(ISNUMBER(SEARCH(Calculadora!$C$4,A573)),MAX(B$1:B572)+1,"")</f>
        <v/>
      </c>
      <c r="C573">
        <v>572</v>
      </c>
      <c r="D573" t="str">
        <f t="shared" si="8"/>
        <v/>
      </c>
    </row>
    <row r="574" spans="1:4" x14ac:dyDescent="0.25">
      <c r="A574" t="str">
        <f>Datos!C575</f>
        <v>Tomillo seco</v>
      </c>
      <c r="B574" t="str">
        <f>IF(ISNUMBER(SEARCH(Calculadora!$C$4,A574)),MAX(B$1:B573)+1,"")</f>
        <v/>
      </c>
      <c r="C574">
        <v>573</v>
      </c>
      <c r="D574" t="str">
        <f t="shared" si="8"/>
        <v/>
      </c>
    </row>
    <row r="575" spans="1:4" x14ac:dyDescent="0.25">
      <c r="A575" t="str">
        <f>Datos!C576</f>
        <v>Endulzante agave líquido</v>
      </c>
      <c r="B575" t="str">
        <f>IF(ISNUMBER(SEARCH(Calculadora!$C$4,A575)),MAX(B$1:B574)+1,"")</f>
        <v/>
      </c>
      <c r="C575">
        <v>574</v>
      </c>
      <c r="D575" t="str">
        <f t="shared" si="8"/>
        <v/>
      </c>
    </row>
    <row r="576" spans="1:4" x14ac:dyDescent="0.25">
      <c r="A576" t="str">
        <f>Datos!C577</f>
        <v>Endulzante agave más sucralosa en tableta</v>
      </c>
      <c r="B576" t="str">
        <f>IF(ISNUMBER(SEARCH(Calculadora!$C$4,A576)),MAX(B$1:B575)+1,"")</f>
        <v/>
      </c>
      <c r="C576">
        <v>575</v>
      </c>
      <c r="D576" t="str">
        <f t="shared" si="8"/>
        <v/>
      </c>
    </row>
    <row r="577" spans="1:4" x14ac:dyDescent="0.25">
      <c r="A577" t="str">
        <f>Datos!C578</f>
        <v>Endulzante stevia líquido</v>
      </c>
      <c r="B577" t="str">
        <f>IF(ISNUMBER(SEARCH(Calculadora!$C$4,A577)),MAX(B$1:B576)+1,"")</f>
        <v/>
      </c>
      <c r="C577">
        <v>576</v>
      </c>
      <c r="D577" t="str">
        <f t="shared" si="8"/>
        <v/>
      </c>
    </row>
    <row r="578" spans="1:4" x14ac:dyDescent="0.25">
      <c r="A578" t="str">
        <f>Datos!C579</f>
        <v>Endulzante sucralosa líquido</v>
      </c>
      <c r="B578" t="str">
        <f>IF(ISNUMBER(SEARCH(Calculadora!$C$4,A578)),MAX(B$1:B577)+1,"")</f>
        <v/>
      </c>
      <c r="C578">
        <v>577</v>
      </c>
      <c r="D578" t="str">
        <f t="shared" ref="D578:D641" si="9">IFERROR(INDEX($A$2:$A$647,MATCH(C578,$B$2:$B$647,0)),"")</f>
        <v/>
      </c>
    </row>
    <row r="579" spans="1:4" x14ac:dyDescent="0.25">
      <c r="A579" t="str">
        <f>Datos!C580</f>
        <v>Carne asada arvejada</v>
      </c>
      <c r="B579" t="str">
        <f>IF(ISNUMBER(SEARCH(Calculadora!$C$4,A579)),MAX(B$1:B578)+1,"")</f>
        <v/>
      </c>
      <c r="C579">
        <v>578</v>
      </c>
      <c r="D579" t="str">
        <f t="shared" si="9"/>
        <v/>
      </c>
    </row>
    <row r="580" spans="1:4" x14ac:dyDescent="0.25">
      <c r="A580" t="str">
        <f>Datos!C581</f>
        <v>Cebolla en escabeche</v>
      </c>
      <c r="B580" t="str">
        <f>IF(ISNUMBER(SEARCH(Calculadora!$C$4,A580)),MAX(B$1:B579)+1,"")</f>
        <v/>
      </c>
      <c r="C580">
        <v>579</v>
      </c>
      <c r="D580" t="str">
        <f t="shared" si="9"/>
        <v/>
      </c>
    </row>
    <row r="581" spans="1:4" x14ac:dyDescent="0.25">
      <c r="A581" t="str">
        <f>Datos!C582</f>
        <v>Cerdo a la mostaza</v>
      </c>
      <c r="B581" t="str">
        <f>IF(ISNUMBER(SEARCH(Calculadora!$C$4,A581)),MAX(B$1:B580)+1,"")</f>
        <v/>
      </c>
      <c r="C581">
        <v>580</v>
      </c>
      <c r="D581" t="str">
        <f t="shared" si="9"/>
        <v/>
      </c>
    </row>
    <row r="582" spans="1:4" x14ac:dyDescent="0.25">
      <c r="A582" t="str">
        <f>Datos!C583</f>
        <v>Crema de cebolla</v>
      </c>
      <c r="B582" t="str">
        <f>IF(ISNUMBER(SEARCH(Calculadora!$C$4,A582)),MAX(B$1:B581)+1,"")</f>
        <v/>
      </c>
      <c r="C582">
        <v>581</v>
      </c>
      <c r="D582" t="str">
        <f t="shared" si="9"/>
        <v/>
      </c>
    </row>
    <row r="583" spans="1:4" x14ac:dyDescent="0.25">
      <c r="A583" t="str">
        <f>Datos!C584</f>
        <v>Lentejas con arroz</v>
      </c>
      <c r="B583" t="str">
        <f>IF(ISNUMBER(SEARCH(Calculadora!$C$4,A583)),MAX(B$1:B582)+1,"")</f>
        <v/>
      </c>
      <c r="C583">
        <v>582</v>
      </c>
      <c r="D583" t="str">
        <f t="shared" si="9"/>
        <v/>
      </c>
    </row>
    <row r="584" spans="1:4" x14ac:dyDescent="0.25">
      <c r="A584" t="str">
        <f>Datos!C585</f>
        <v>Manzana asada</v>
      </c>
      <c r="B584" t="str">
        <f>IF(ISNUMBER(SEARCH(Calculadora!$C$4,A584)),MAX(B$1:B583)+1,"")</f>
        <v/>
      </c>
      <c r="C584">
        <v>583</v>
      </c>
      <c r="D584" t="str">
        <f t="shared" si="9"/>
        <v/>
      </c>
    </row>
    <row r="585" spans="1:4" x14ac:dyDescent="0.25">
      <c r="A585" t="str">
        <f>Datos!C586</f>
        <v>Puré manzana</v>
      </c>
      <c r="B585" t="str">
        <f>IF(ISNUMBER(SEARCH(Calculadora!$C$4,A585)),MAX(B$1:B584)+1,"")</f>
        <v/>
      </c>
      <c r="C585">
        <v>584</v>
      </c>
      <c r="D585" t="str">
        <f t="shared" si="9"/>
        <v/>
      </c>
    </row>
    <row r="586" spans="1:4" x14ac:dyDescent="0.25">
      <c r="A586" t="str">
        <f>Datos!C587</f>
        <v>Puré manzana plátano</v>
      </c>
      <c r="B586" t="str">
        <f>IF(ISNUMBER(SEARCH(Calculadora!$C$4,A586)),MAX(B$1:B585)+1,"")</f>
        <v/>
      </c>
      <c r="C586">
        <v>585</v>
      </c>
      <c r="D586" t="str">
        <f t="shared" si="9"/>
        <v/>
      </c>
    </row>
    <row r="587" spans="1:4" x14ac:dyDescent="0.25">
      <c r="A587" t="str">
        <f>Datos!C588</f>
        <v>Puré pera con canela</v>
      </c>
      <c r="B587" t="str">
        <f>IF(ISNUMBER(SEARCH(Calculadora!$C$4,A587)),MAX(B$1:B586)+1,"")</f>
        <v/>
      </c>
      <c r="C587">
        <v>586</v>
      </c>
      <c r="D587" t="str">
        <f t="shared" si="9"/>
        <v/>
      </c>
    </row>
    <row r="588" spans="1:4" x14ac:dyDescent="0.25">
      <c r="A588" t="str">
        <f>Datos!C589</f>
        <v>Mariscal</v>
      </c>
      <c r="B588" t="str">
        <f>IF(ISNUMBER(SEARCH(Calculadora!$C$4,A588)),MAX(B$1:B587)+1,"")</f>
        <v/>
      </c>
      <c r="C588">
        <v>587</v>
      </c>
      <c r="D588" t="str">
        <f t="shared" si="9"/>
        <v/>
      </c>
    </row>
    <row r="589" spans="1:4" x14ac:dyDescent="0.25">
      <c r="A589" t="str">
        <f>Datos!C590</f>
        <v>Pollo a la mostaza</v>
      </c>
      <c r="B589" t="str">
        <f>IF(ISNUMBER(SEARCH(Calculadora!$C$4,A589)),MAX(B$1:B588)+1,"")</f>
        <v/>
      </c>
      <c r="C589">
        <v>588</v>
      </c>
      <c r="D589" t="str">
        <f t="shared" si="9"/>
        <v/>
      </c>
    </row>
    <row r="590" spans="1:4" x14ac:dyDescent="0.25">
      <c r="A590" t="str">
        <f>Datos!C591</f>
        <v>Sopa de sémola</v>
      </c>
      <c r="B590" t="str">
        <f>IF(ISNUMBER(SEARCH(Calculadora!$C$4,A590)),MAX(B$1:B589)+1,"")</f>
        <v/>
      </c>
      <c r="C590">
        <v>589</v>
      </c>
      <c r="D590" t="str">
        <f t="shared" si="9"/>
        <v/>
      </c>
    </row>
    <row r="591" spans="1:4" x14ac:dyDescent="0.25">
      <c r="A591" t="str">
        <f>Datos!C592</f>
        <v>Tomate con papas</v>
      </c>
      <c r="B591" t="str">
        <f>IF(ISNUMBER(SEARCH(Calculadora!$C$4,A591)),MAX(B$1:B590)+1,"")</f>
        <v/>
      </c>
      <c r="C591">
        <v>590</v>
      </c>
      <c r="D591" t="str">
        <f t="shared" si="9"/>
        <v/>
      </c>
    </row>
    <row r="592" spans="1:4" x14ac:dyDescent="0.25">
      <c r="A592" t="str">
        <f>Datos!C593</f>
        <v>Torta de durazno con crema</v>
      </c>
      <c r="B592" t="str">
        <f>IF(ISNUMBER(SEARCH(Calculadora!$C$4,A592)),MAX(B$1:B591)+1,"")</f>
        <v/>
      </c>
      <c r="C592">
        <v>591</v>
      </c>
      <c r="D592" t="str">
        <f t="shared" si="9"/>
        <v/>
      </c>
    </row>
    <row r="593" spans="1:4" x14ac:dyDescent="0.25">
      <c r="A593" t="str">
        <f>Datos!C594</f>
        <v>Verduras guisadas</v>
      </c>
      <c r="B593" t="str">
        <f>IF(ISNUMBER(SEARCH(Calculadora!$C$4,A593)),MAX(B$1:B592)+1,"")</f>
        <v/>
      </c>
      <c r="C593">
        <v>592</v>
      </c>
      <c r="D593" t="str">
        <f t="shared" si="9"/>
        <v/>
      </c>
    </row>
    <row r="594" spans="1:4" x14ac:dyDescent="0.25">
      <c r="A594" t="str">
        <f>Datos!C595</f>
        <v>Bebida láctea años dorados</v>
      </c>
      <c r="B594" t="str">
        <f>IF(ISNUMBER(SEARCH(Calculadora!$C$4,A594)),MAX(B$1:B593)+1,"")</f>
        <v/>
      </c>
      <c r="C594">
        <v>593</v>
      </c>
      <c r="D594" t="str">
        <f t="shared" si="9"/>
        <v/>
      </c>
    </row>
    <row r="595" spans="1:4" x14ac:dyDescent="0.25">
      <c r="A595" t="str">
        <f>Datos!C596</f>
        <v>Crema años dorados arveja</v>
      </c>
      <c r="B595" t="str">
        <f>IF(ISNUMBER(SEARCH(Calculadora!$C$4,A595)),MAX(B$1:B594)+1,"")</f>
        <v/>
      </c>
      <c r="C595">
        <v>594</v>
      </c>
      <c r="D595" t="str">
        <f t="shared" si="9"/>
        <v/>
      </c>
    </row>
    <row r="596" spans="1:4" x14ac:dyDescent="0.25">
      <c r="A596" t="str">
        <f>Datos!C597</f>
        <v>Crema años dorados espárrago</v>
      </c>
      <c r="B596" t="str">
        <f>IF(ISNUMBER(SEARCH(Calculadora!$C$4,A596)),MAX(B$1:B595)+1,"")</f>
        <v/>
      </c>
      <c r="C596">
        <v>595</v>
      </c>
      <c r="D596" t="str">
        <f t="shared" si="9"/>
        <v/>
      </c>
    </row>
    <row r="597" spans="1:4" x14ac:dyDescent="0.25">
      <c r="A597" t="str">
        <f>Datos!C598</f>
        <v>Crema años dorados lentejas</v>
      </c>
      <c r="B597" t="str">
        <f>IF(ISNUMBER(SEARCH(Calculadora!$C$4,A597)),MAX(B$1:B596)+1,"")</f>
        <v/>
      </c>
      <c r="C597">
        <v>596</v>
      </c>
      <c r="D597" t="str">
        <f t="shared" si="9"/>
        <v/>
      </c>
    </row>
    <row r="598" spans="1:4" x14ac:dyDescent="0.25">
      <c r="A598" t="str">
        <f>Datos!C599</f>
        <v>Crema años dorados verduras</v>
      </c>
      <c r="B598" t="str">
        <f>IF(ISNUMBER(SEARCH(Calculadora!$C$4,A598)),MAX(B$1:B597)+1,"")</f>
        <v/>
      </c>
      <c r="C598">
        <v>597</v>
      </c>
      <c r="D598" t="str">
        <f t="shared" si="9"/>
        <v/>
      </c>
    </row>
    <row r="599" spans="1:4" x14ac:dyDescent="0.25">
      <c r="A599" t="str">
        <f>Datos!C600</f>
        <v>Cyclinex 1</v>
      </c>
      <c r="B599" t="str">
        <f>IF(ISNUMBER(SEARCH(Calculadora!$C$4,A599)),MAX(B$1:B598)+1,"")</f>
        <v/>
      </c>
      <c r="C599">
        <v>598</v>
      </c>
      <c r="D599" t="str">
        <f t="shared" si="9"/>
        <v/>
      </c>
    </row>
    <row r="600" spans="1:4" x14ac:dyDescent="0.25">
      <c r="A600" t="str">
        <f>Datos!C601</f>
        <v>Cyclinex 2</v>
      </c>
      <c r="B600" t="str">
        <f>IF(ISNUMBER(SEARCH(Calculadora!$C$4,A600)),MAX(B$1:B599)+1,"")</f>
        <v/>
      </c>
      <c r="C600">
        <v>599</v>
      </c>
      <c r="D600" t="str">
        <f t="shared" si="9"/>
        <v/>
      </c>
    </row>
    <row r="601" spans="1:4" x14ac:dyDescent="0.25">
      <c r="A601" t="str">
        <f>Datos!C602</f>
        <v>Dialamine</v>
      </c>
      <c r="B601" t="str">
        <f>IF(ISNUMBER(SEARCH(Calculadora!$C$4,A601)),MAX(B$1:B600)+1,"")</f>
        <v/>
      </c>
      <c r="C601">
        <v>600</v>
      </c>
      <c r="D601" t="str">
        <f t="shared" si="9"/>
        <v/>
      </c>
    </row>
    <row r="602" spans="1:4" x14ac:dyDescent="0.25">
      <c r="A602" t="str">
        <f>Datos!C603</f>
        <v>Essential amino acid mix</v>
      </c>
      <c r="B602" t="str">
        <f>IF(ISNUMBER(SEARCH(Calculadora!$C$4,A602)),MAX(B$1:B601)+1,"")</f>
        <v/>
      </c>
      <c r="C602">
        <v>601</v>
      </c>
      <c r="D602" t="str">
        <f t="shared" si="9"/>
        <v/>
      </c>
    </row>
    <row r="603" spans="1:4" x14ac:dyDescent="0.25">
      <c r="A603" t="str">
        <f>Datos!C604</f>
        <v>GA 1 Anamix infant</v>
      </c>
      <c r="B603" t="str">
        <f>IF(ISNUMBER(SEARCH(Calculadora!$C$4,A603)),MAX(B$1:B602)+1,"")</f>
        <v/>
      </c>
      <c r="C603">
        <v>602</v>
      </c>
      <c r="D603" t="str">
        <f t="shared" si="9"/>
        <v/>
      </c>
    </row>
    <row r="604" spans="1:4" x14ac:dyDescent="0.25">
      <c r="A604" t="str">
        <f>Datos!C605</f>
        <v>Glutarex 1</v>
      </c>
      <c r="B604" t="str">
        <f>IF(ISNUMBER(SEARCH(Calculadora!$C$4,A604)),MAX(B$1:B603)+1,"")</f>
        <v/>
      </c>
      <c r="C604">
        <v>603</v>
      </c>
      <c r="D604" t="str">
        <f t="shared" si="9"/>
        <v/>
      </c>
    </row>
    <row r="605" spans="1:4" x14ac:dyDescent="0.25">
      <c r="A605" t="str">
        <f>Datos!C606</f>
        <v>Glutarex 2</v>
      </c>
      <c r="B605" t="str">
        <f>IF(ISNUMBER(SEARCH(Calculadora!$C$4,A605)),MAX(B$1:B604)+1,"")</f>
        <v/>
      </c>
      <c r="C605">
        <v>604</v>
      </c>
      <c r="D605" t="str">
        <f t="shared" si="9"/>
        <v/>
      </c>
    </row>
    <row r="606" spans="1:4" x14ac:dyDescent="0.25">
      <c r="A606" t="str">
        <f>Datos!C607</f>
        <v>IVA Anamix</v>
      </c>
      <c r="B606" t="str">
        <f>IF(ISNUMBER(SEARCH(Calculadora!$C$4,A606)),MAX(B$1:B605)+1,"")</f>
        <v/>
      </c>
      <c r="C606">
        <v>605</v>
      </c>
      <c r="D606" t="str">
        <f t="shared" si="9"/>
        <v/>
      </c>
    </row>
    <row r="607" spans="1:4" x14ac:dyDescent="0.25">
      <c r="A607" t="str">
        <f>Datos!C608</f>
        <v>Ketonex 1</v>
      </c>
      <c r="B607" t="str">
        <f>IF(ISNUMBER(SEARCH(Calculadora!$C$4,A607)),MAX(B$1:B606)+1,"")</f>
        <v/>
      </c>
      <c r="C607">
        <v>606</v>
      </c>
      <c r="D607" t="str">
        <f t="shared" si="9"/>
        <v/>
      </c>
    </row>
    <row r="608" spans="1:4" x14ac:dyDescent="0.25">
      <c r="A608" t="str">
        <f>Datos!C609</f>
        <v>Ketonex 2</v>
      </c>
      <c r="B608" t="str">
        <f>IF(ISNUMBER(SEARCH(Calculadora!$C$4,A608)),MAX(B$1:B607)+1,"")</f>
        <v/>
      </c>
      <c r="C608">
        <v>607</v>
      </c>
      <c r="D608" t="str">
        <f t="shared" si="9"/>
        <v/>
      </c>
    </row>
    <row r="609" spans="1:4" x14ac:dyDescent="0.25">
      <c r="A609" t="str">
        <f>Datos!C610</f>
        <v>Leche continuación</v>
      </c>
      <c r="B609" t="str">
        <f>IF(ISNUMBER(SEARCH(Calculadora!$C$4,A609)),MAX(B$1:B608)+1,"")</f>
        <v/>
      </c>
      <c r="C609">
        <v>608</v>
      </c>
      <c r="D609" t="str">
        <f t="shared" si="9"/>
        <v/>
      </c>
    </row>
    <row r="610" spans="1:4" x14ac:dyDescent="0.25">
      <c r="A610" t="str">
        <f>Datos!C611</f>
        <v>Fórmula láctea prematuro (A)</v>
      </c>
      <c r="B610" t="str">
        <f>IF(ISNUMBER(SEARCH(Calculadora!$C$4,A610)),MAX(B$1:B609)+1,"")</f>
        <v/>
      </c>
      <c r="C610">
        <v>609</v>
      </c>
      <c r="D610" t="str">
        <f t="shared" si="9"/>
        <v/>
      </c>
    </row>
    <row r="611" spans="1:4" x14ac:dyDescent="0.25">
      <c r="A611" t="str">
        <f>Datos!C612</f>
        <v>Fórmula láctea prematuro (B)</v>
      </c>
      <c r="B611" t="str">
        <f>IF(ISNUMBER(SEARCH(Calculadora!$C$4,A611)),MAX(B$1:B610)+1,"")</f>
        <v/>
      </c>
      <c r="C611">
        <v>610</v>
      </c>
      <c r="D611" t="str">
        <f t="shared" si="9"/>
        <v/>
      </c>
    </row>
    <row r="612" spans="1:4" x14ac:dyDescent="0.25">
      <c r="A612" t="str">
        <f>Datos!C613</f>
        <v>Fórmula láctea Purita Cereal</v>
      </c>
      <c r="B612" t="str">
        <f>IF(ISNUMBER(SEARCH(Calculadora!$C$4,A612)),MAX(B$1:B611)+1,"")</f>
        <v/>
      </c>
      <c r="C612">
        <v>611</v>
      </c>
      <c r="D612" t="str">
        <f t="shared" si="9"/>
        <v/>
      </c>
    </row>
    <row r="613" spans="1:4" x14ac:dyDescent="0.25">
      <c r="A613" t="str">
        <f>Datos!C614</f>
        <v>Leche Purita Fortificada</v>
      </c>
      <c r="B613" t="str">
        <f>IF(ISNUMBER(SEARCH(Calculadora!$C$4,A613)),MAX(B$1:B612)+1,"")</f>
        <v/>
      </c>
      <c r="C613">
        <v>612</v>
      </c>
      <c r="D613" t="str">
        <f t="shared" si="9"/>
        <v/>
      </c>
    </row>
    <row r="614" spans="1:4" x14ac:dyDescent="0.25">
      <c r="A614" t="str">
        <f>Datos!C615</f>
        <v>Bebida láctea Purita Mamá</v>
      </c>
      <c r="B614" t="str">
        <f>IF(ISNUMBER(SEARCH(Calculadora!$C$4,A614)),MAX(B$1:B613)+1,"")</f>
        <v/>
      </c>
      <c r="C614">
        <v>613</v>
      </c>
      <c r="D614" t="str">
        <f t="shared" si="9"/>
        <v/>
      </c>
    </row>
    <row r="615" spans="1:4" x14ac:dyDescent="0.25">
      <c r="A615" t="str">
        <f>Datos!C616</f>
        <v>Sopa crema de ave Mi sopita</v>
      </c>
      <c r="B615" t="str">
        <f>IF(ISNUMBER(SEARCH(Calculadora!$C$4,A615)),MAX(B$1:B614)+1,"")</f>
        <v/>
      </c>
      <c r="C615">
        <v>614</v>
      </c>
      <c r="D615" t="str">
        <f t="shared" si="9"/>
        <v/>
      </c>
    </row>
    <row r="616" spans="1:4" x14ac:dyDescent="0.25">
      <c r="A616" t="str">
        <f>Datos!C617</f>
        <v>Sopa crema de legumbres Mi sopita</v>
      </c>
      <c r="B616" t="str">
        <f>IF(ISNUMBER(SEARCH(Calculadora!$C$4,A616)),MAX(B$1:B615)+1,"")</f>
        <v/>
      </c>
      <c r="C616">
        <v>615</v>
      </c>
      <c r="D616" t="str">
        <f t="shared" si="9"/>
        <v/>
      </c>
    </row>
    <row r="617" spans="1:4" x14ac:dyDescent="0.25">
      <c r="A617" t="str">
        <f>Datos!C618</f>
        <v>Sopa crema de verduras Mi sopita</v>
      </c>
      <c r="B617" t="str">
        <f>IF(ISNUMBER(SEARCH(Calculadora!$C$4,A617)),MAX(B$1:B616)+1,"")</f>
        <v/>
      </c>
      <c r="C617">
        <v>616</v>
      </c>
      <c r="D617" t="str">
        <f t="shared" si="9"/>
        <v/>
      </c>
    </row>
    <row r="618" spans="1:4" x14ac:dyDescent="0.25">
      <c r="A618" t="str">
        <f>Datos!C619</f>
        <v>MMA - PA Anamix Infant</v>
      </c>
      <c r="B618" t="str">
        <f>IF(ISNUMBER(SEARCH(Calculadora!$C$4,A618)),MAX(B$1:B617)+1,"")</f>
        <v/>
      </c>
      <c r="C618">
        <v>617</v>
      </c>
      <c r="D618" t="str">
        <f t="shared" si="9"/>
        <v/>
      </c>
    </row>
    <row r="619" spans="1:4" x14ac:dyDescent="0.25">
      <c r="A619" t="str">
        <f>Datos!C620</f>
        <v>Monogen</v>
      </c>
      <c r="B619" t="str">
        <f>IF(ISNUMBER(SEARCH(Calculadora!$C$4,A619)),MAX(B$1:B618)+1,"")</f>
        <v/>
      </c>
      <c r="C619">
        <v>618</v>
      </c>
      <c r="D619" t="str">
        <f t="shared" si="9"/>
        <v/>
      </c>
    </row>
    <row r="620" spans="1:4" x14ac:dyDescent="0.25">
      <c r="A620" t="str">
        <f>Datos!C621</f>
        <v>MSUD Anamix Infant</v>
      </c>
      <c r="B620" t="str">
        <f>IF(ISNUMBER(SEARCH(Calculadora!$C$4,A620)),MAX(B$1:B619)+1,"")</f>
        <v/>
      </c>
      <c r="C620">
        <v>619</v>
      </c>
      <c r="D620" t="str">
        <f t="shared" si="9"/>
        <v/>
      </c>
    </row>
    <row r="621" spans="1:4" x14ac:dyDescent="0.25">
      <c r="A621" t="str">
        <f>Datos!C622</f>
        <v>MSUD Maxamaid</v>
      </c>
      <c r="B621" t="str">
        <f>IF(ISNUMBER(SEARCH(Calculadora!$C$4,A621)),MAX(B$1:B620)+1,"")</f>
        <v/>
      </c>
      <c r="C621">
        <v>620</v>
      </c>
      <c r="D621" t="str">
        <f t="shared" si="9"/>
        <v/>
      </c>
    </row>
    <row r="622" spans="1:4" x14ac:dyDescent="0.25">
      <c r="A622" t="str">
        <f>Datos!C623</f>
        <v>MSUD Maxamum</v>
      </c>
      <c r="B622" t="str">
        <f>IF(ISNUMBER(SEARCH(Calculadora!$C$4,A622)),MAX(B$1:B621)+1,"")</f>
        <v/>
      </c>
      <c r="C622">
        <v>621</v>
      </c>
      <c r="D622" t="str">
        <f t="shared" si="9"/>
        <v/>
      </c>
    </row>
    <row r="623" spans="1:4" x14ac:dyDescent="0.25">
      <c r="A623" t="str">
        <f>Datos!C624</f>
        <v>MSUD Med A Plus</v>
      </c>
      <c r="B623" t="str">
        <f>IF(ISNUMBER(SEARCH(Calculadora!$C$4,A623)),MAX(B$1:B622)+1,"")</f>
        <v/>
      </c>
      <c r="C623">
        <v>622</v>
      </c>
      <c r="D623" t="str">
        <f t="shared" si="9"/>
        <v/>
      </c>
    </row>
    <row r="624" spans="1:4" x14ac:dyDescent="0.25">
      <c r="A624" t="str">
        <f>Datos!C625</f>
        <v>MSUD Med B Plus</v>
      </c>
      <c r="B624" t="str">
        <f>IF(ISNUMBER(SEARCH(Calculadora!$C$4,A624)),MAX(B$1:B623)+1,"")</f>
        <v/>
      </c>
      <c r="C624">
        <v>623</v>
      </c>
      <c r="D624" t="str">
        <f t="shared" si="9"/>
        <v/>
      </c>
    </row>
    <row r="625" spans="1:4" x14ac:dyDescent="0.25">
      <c r="A625" t="str">
        <f>Datos!C626</f>
        <v>OAc Med B Plus</v>
      </c>
      <c r="B625" t="str">
        <f>IF(ISNUMBER(SEARCH(Calculadora!$C$4,A625)),MAX(B$1:B624)+1,"")</f>
        <v/>
      </c>
      <c r="C625">
        <v>624</v>
      </c>
      <c r="D625" t="str">
        <f t="shared" si="9"/>
        <v/>
      </c>
    </row>
    <row r="626" spans="1:4" x14ac:dyDescent="0.25">
      <c r="A626" t="str">
        <f>Datos!C627</f>
        <v>P-AM 2</v>
      </c>
      <c r="B626" t="str">
        <f>IF(ISNUMBER(SEARCH(Calculadora!$C$4,A626)),MAX(B$1:B625)+1,"")</f>
        <v/>
      </c>
      <c r="C626">
        <v>625</v>
      </c>
      <c r="D626" t="str">
        <f t="shared" si="9"/>
        <v/>
      </c>
    </row>
    <row r="627" spans="1:4" x14ac:dyDescent="0.25">
      <c r="A627" t="str">
        <f>Datos!C628</f>
        <v>Phenex 1</v>
      </c>
      <c r="B627" t="str">
        <f>IF(ISNUMBER(SEARCH(Calculadora!$C$4,A627)),MAX(B$1:B626)+1,"")</f>
        <v/>
      </c>
      <c r="C627">
        <v>626</v>
      </c>
      <c r="D627" t="str">
        <f t="shared" si="9"/>
        <v/>
      </c>
    </row>
    <row r="628" spans="1:4" x14ac:dyDescent="0.25">
      <c r="A628" t="str">
        <f>Datos!C629</f>
        <v>Phenex 2</v>
      </c>
      <c r="B628" t="str">
        <f>IF(ISNUMBER(SEARCH(Calculadora!$C$4,A628)),MAX(B$1:B627)+1,"")</f>
        <v/>
      </c>
      <c r="C628">
        <v>627</v>
      </c>
      <c r="D628" t="str">
        <f t="shared" si="9"/>
        <v/>
      </c>
    </row>
    <row r="629" spans="1:4" x14ac:dyDescent="0.25">
      <c r="A629" t="str">
        <f>Datos!C630</f>
        <v>PKU 2 Nutri Concentrated</v>
      </c>
      <c r="B629" t="str">
        <f>IF(ISNUMBER(SEARCH(Calculadora!$C$4,A629)),MAX(B$1:B628)+1,"")</f>
        <v/>
      </c>
      <c r="C629">
        <v>628</v>
      </c>
      <c r="D629" t="str">
        <f t="shared" si="9"/>
        <v/>
      </c>
    </row>
    <row r="630" spans="1:4" x14ac:dyDescent="0.25">
      <c r="A630" t="str">
        <f>Datos!C631</f>
        <v>PKU 2 Nutri Energy</v>
      </c>
      <c r="B630" t="str">
        <f>IF(ISNUMBER(SEARCH(Calculadora!$C$4,A630)),MAX(B$1:B629)+1,"")</f>
        <v/>
      </c>
      <c r="C630">
        <v>629</v>
      </c>
      <c r="D630" t="str">
        <f t="shared" si="9"/>
        <v/>
      </c>
    </row>
    <row r="631" spans="1:4" x14ac:dyDescent="0.25">
      <c r="A631" t="str">
        <f>Datos!C632</f>
        <v>PKU Anamix Infant</v>
      </c>
      <c r="B631" t="str">
        <f>IF(ISNUMBER(SEARCH(Calculadora!$C$4,A631)),MAX(B$1:B630)+1,"")</f>
        <v/>
      </c>
      <c r="C631">
        <v>630</v>
      </c>
      <c r="D631" t="str">
        <f t="shared" si="9"/>
        <v/>
      </c>
    </row>
    <row r="632" spans="1:4" x14ac:dyDescent="0.25">
      <c r="A632" t="str">
        <f>Datos!C633</f>
        <v>PKU Med B Fórmula</v>
      </c>
      <c r="B632" t="str">
        <f>IF(ISNUMBER(SEARCH(Calculadora!$C$4,A632)),MAX(B$1:B631)+1,"")</f>
        <v/>
      </c>
      <c r="C632">
        <v>631</v>
      </c>
      <c r="D632" t="str">
        <f t="shared" si="9"/>
        <v/>
      </c>
    </row>
    <row r="633" spans="1:4" x14ac:dyDescent="0.25">
      <c r="A633" t="str">
        <f>Datos!C634</f>
        <v>PKU Med C Plus</v>
      </c>
      <c r="B633" t="str">
        <f>IF(ISNUMBER(SEARCH(Calculadora!$C$4,A633)),MAX(B$1:B632)+1,"")</f>
        <v/>
      </c>
      <c r="C633">
        <v>632</v>
      </c>
      <c r="D633" t="str">
        <f t="shared" si="9"/>
        <v/>
      </c>
    </row>
    <row r="634" spans="1:4" x14ac:dyDescent="0.25">
      <c r="A634" t="str">
        <f>Datos!C635</f>
        <v>Portagen</v>
      </c>
      <c r="B634" t="str">
        <f>IF(ISNUMBER(SEARCH(Calculadora!$C$4,A634)),MAX(B$1:B633)+1,"")</f>
        <v/>
      </c>
      <c r="C634">
        <v>633</v>
      </c>
      <c r="D634" t="str">
        <f t="shared" si="9"/>
        <v/>
      </c>
    </row>
    <row r="635" spans="1:4" x14ac:dyDescent="0.25">
      <c r="A635" t="str">
        <f>Datos!C636</f>
        <v>Propimex 1</v>
      </c>
      <c r="B635" t="str">
        <f>IF(ISNUMBER(SEARCH(Calculadora!$C$4,A635)),MAX(B$1:B634)+1,"")</f>
        <v/>
      </c>
      <c r="C635">
        <v>634</v>
      </c>
      <c r="D635" t="str">
        <f t="shared" si="9"/>
        <v/>
      </c>
    </row>
    <row r="636" spans="1:4" x14ac:dyDescent="0.25">
      <c r="A636" t="str">
        <f>Datos!C637</f>
        <v>Propimex 2</v>
      </c>
      <c r="B636" t="str">
        <f>IF(ISNUMBER(SEARCH(Calculadora!$C$4,A636)),MAX(B$1:B635)+1,"")</f>
        <v/>
      </c>
      <c r="C636">
        <v>635</v>
      </c>
      <c r="D636" t="str">
        <f t="shared" si="9"/>
        <v/>
      </c>
    </row>
    <row r="637" spans="1:4" x14ac:dyDescent="0.25">
      <c r="A637" t="str">
        <f>Datos!C638</f>
        <v>Tyr 3 Advanta</v>
      </c>
      <c r="B637" t="str">
        <f>IF(ISNUMBER(SEARCH(Calculadora!$C$4,A637)),MAX(B$1:B636)+1,"")</f>
        <v/>
      </c>
      <c r="C637">
        <v>636</v>
      </c>
      <c r="D637" t="str">
        <f t="shared" si="9"/>
        <v/>
      </c>
    </row>
    <row r="638" spans="1:4" x14ac:dyDescent="0.25">
      <c r="A638" t="str">
        <f>Datos!C639</f>
        <v>Tyrex 1</v>
      </c>
      <c r="B638" t="str">
        <f>IF(ISNUMBER(SEARCH(Calculadora!$C$4,A638)),MAX(B$1:B637)+1,"")</f>
        <v/>
      </c>
      <c r="C638">
        <v>637</v>
      </c>
      <c r="D638" t="str">
        <f t="shared" si="9"/>
        <v/>
      </c>
    </row>
    <row r="639" spans="1:4" x14ac:dyDescent="0.25">
      <c r="A639" t="str">
        <f>Datos!C640</f>
        <v>Tyrex 2</v>
      </c>
      <c r="B639" t="str">
        <f>IF(ISNUMBER(SEARCH(Calculadora!$C$4,A639)),MAX(B$1:B638)+1,"")</f>
        <v/>
      </c>
      <c r="C639">
        <v>638</v>
      </c>
      <c r="D639" t="str">
        <f t="shared" si="9"/>
        <v/>
      </c>
    </row>
    <row r="640" spans="1:4" x14ac:dyDescent="0.25">
      <c r="A640" t="str">
        <f>Datos!C641</f>
        <v>XLEU Maxamaid</v>
      </c>
      <c r="B640" t="str">
        <f>IF(ISNUMBER(SEARCH(Calculadora!$C$4,A640)),MAX(B$1:B639)+1,"")</f>
        <v/>
      </c>
      <c r="C640">
        <v>639</v>
      </c>
      <c r="D640" t="str">
        <f t="shared" si="9"/>
        <v/>
      </c>
    </row>
    <row r="641" spans="1:4" x14ac:dyDescent="0.25">
      <c r="A641" t="str">
        <f>Datos!C642</f>
        <v>XLEU Maxamum</v>
      </c>
      <c r="B641" t="str">
        <f>IF(ISNUMBER(SEARCH(Calculadora!$C$4,A641)),MAX(B$1:B640)+1,"")</f>
        <v/>
      </c>
      <c r="C641">
        <v>640</v>
      </c>
      <c r="D641" t="str">
        <f t="shared" si="9"/>
        <v/>
      </c>
    </row>
    <row r="642" spans="1:4" x14ac:dyDescent="0.25">
      <c r="A642" t="str">
        <f>Datos!C643</f>
        <v>XLYS LOW TRY Maxamaid</v>
      </c>
      <c r="B642" t="str">
        <f>IF(ISNUMBER(SEARCH(Calculadora!$C$4,A642)),MAX(B$1:B641)+1,"")</f>
        <v/>
      </c>
      <c r="C642">
        <v>641</v>
      </c>
      <c r="D642" t="str">
        <f t="shared" ref="D642:D647" si="10">IFERROR(INDEX($A$2:$A$647,MATCH(C642,$B$2:$B$647,0)),"")</f>
        <v/>
      </c>
    </row>
    <row r="643" spans="1:4" x14ac:dyDescent="0.25">
      <c r="A643" t="str">
        <f>Datos!C644</f>
        <v>XLYS LOW TRY Maxamum</v>
      </c>
      <c r="B643" t="str">
        <f>IF(ISNUMBER(SEARCH(Calculadora!$C$4,A643)),MAX(B$1:B642)+1,"")</f>
        <v/>
      </c>
      <c r="C643">
        <v>642</v>
      </c>
      <c r="D643" t="str">
        <f t="shared" si="10"/>
        <v/>
      </c>
    </row>
    <row r="644" spans="1:4" x14ac:dyDescent="0.25">
      <c r="A644" t="str">
        <f>Datos!C645</f>
        <v>XMTVI Maxamum</v>
      </c>
      <c r="B644" t="str">
        <f>IF(ISNUMBER(SEARCH(Calculadora!$C$4,A644)),MAX(B$1:B643)+1,"")</f>
        <v/>
      </c>
      <c r="C644">
        <v>643</v>
      </c>
      <c r="D644" t="str">
        <f t="shared" si="10"/>
        <v/>
      </c>
    </row>
    <row r="645" spans="1:4" x14ac:dyDescent="0.25">
      <c r="A645" t="str">
        <f>Datos!C646</f>
        <v>XP Maxamaid</v>
      </c>
      <c r="B645" t="str">
        <f>IF(ISNUMBER(SEARCH(Calculadora!$C$4,A645)),MAX(B$1:B644)+1,"")</f>
        <v/>
      </c>
      <c r="C645">
        <v>644</v>
      </c>
      <c r="D645" t="str">
        <f t="shared" si="10"/>
        <v/>
      </c>
    </row>
    <row r="646" spans="1:4" x14ac:dyDescent="0.25">
      <c r="A646" t="str">
        <f>Datos!C647</f>
        <v>XP Maxamum</v>
      </c>
      <c r="B646" t="str">
        <f>IF(ISNUMBER(SEARCH(Calculadora!$C$4,A646)),MAX(B$1:B645)+1,"")</f>
        <v/>
      </c>
      <c r="C646">
        <v>645</v>
      </c>
      <c r="D646" t="str">
        <f t="shared" si="10"/>
        <v/>
      </c>
    </row>
    <row r="647" spans="1:4" x14ac:dyDescent="0.25">
      <c r="A647" t="str">
        <f>Datos!C648</f>
        <v>XPHEN TYR Maxamum</v>
      </c>
      <c r="B647" t="str">
        <f>IF(ISNUMBER(SEARCH(Calculadora!$C$4,A647)),MAX(B$1:B646)+1,"")</f>
        <v/>
      </c>
      <c r="C647">
        <v>646</v>
      </c>
      <c r="D647" t="str">
        <f t="shared" si="10"/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0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0" customWidth="1"/>
    <col min="2" max="2" width="26" customWidth="1"/>
    <col min="3" max="3" width="9" customWidth="1"/>
    <col min="4" max="4" width="14" customWidth="1"/>
    <col min="5" max="5" width="52" customWidth="1"/>
    <col min="6" max="6" width="70" customWidth="1"/>
    <col min="7" max="7" width="10" customWidth="1"/>
  </cols>
  <sheetData>
    <row r="1" spans="1:7" x14ac:dyDescent="0.25">
      <c r="A1" s="31" t="s">
        <v>61</v>
      </c>
      <c r="B1" s="31" t="s">
        <v>790</v>
      </c>
      <c r="C1" s="31" t="s">
        <v>11</v>
      </c>
      <c r="D1" s="31" t="s">
        <v>791</v>
      </c>
      <c r="E1" s="31" t="s">
        <v>792</v>
      </c>
      <c r="F1" s="31" t="s">
        <v>793</v>
      </c>
      <c r="G1" s="31" t="s">
        <v>794</v>
      </c>
    </row>
    <row r="2" spans="1:7" x14ac:dyDescent="0.25">
      <c r="A2" s="24" t="s">
        <v>99</v>
      </c>
      <c r="B2" s="24" t="s">
        <v>58</v>
      </c>
      <c r="C2" s="24" t="s">
        <v>5</v>
      </c>
      <c r="D2" s="24">
        <v>0</v>
      </c>
      <c r="E2" s="24" t="s">
        <v>795</v>
      </c>
      <c r="F2" s="24"/>
      <c r="G2" s="24"/>
    </row>
    <row r="3" spans="1:7" x14ac:dyDescent="0.25">
      <c r="A3" s="24" t="s">
        <v>101</v>
      </c>
      <c r="B3" s="24" t="s">
        <v>58</v>
      </c>
      <c r="C3" s="24" t="s">
        <v>5</v>
      </c>
      <c r="D3" s="24">
        <v>0</v>
      </c>
      <c r="E3" s="24" t="s">
        <v>795</v>
      </c>
      <c r="F3" s="24"/>
      <c r="G3" s="24"/>
    </row>
    <row r="4" spans="1:7" x14ac:dyDescent="0.25">
      <c r="A4" s="24" t="s">
        <v>102</v>
      </c>
      <c r="B4" s="24" t="s">
        <v>58</v>
      </c>
      <c r="C4" s="24" t="s">
        <v>5</v>
      </c>
      <c r="D4" s="24">
        <v>0</v>
      </c>
      <c r="E4" s="24" t="s">
        <v>795</v>
      </c>
      <c r="F4" s="24"/>
      <c r="G4" s="24"/>
    </row>
    <row r="5" spans="1:7" x14ac:dyDescent="0.25">
      <c r="A5" s="24" t="s">
        <v>103</v>
      </c>
      <c r="B5" s="24" t="s">
        <v>23</v>
      </c>
      <c r="C5" s="24" t="s">
        <v>5</v>
      </c>
      <c r="D5" s="24">
        <v>4.7</v>
      </c>
      <c r="E5" s="24" t="s">
        <v>796</v>
      </c>
      <c r="F5" s="24" t="s">
        <v>797</v>
      </c>
      <c r="G5" s="24">
        <v>172217</v>
      </c>
    </row>
    <row r="6" spans="1:7" x14ac:dyDescent="0.25">
      <c r="A6" s="24" t="s">
        <v>103</v>
      </c>
      <c r="B6" s="24" t="s">
        <v>35</v>
      </c>
      <c r="C6" s="24" t="s">
        <v>36</v>
      </c>
      <c r="D6" s="24">
        <v>0.1</v>
      </c>
      <c r="E6" s="24" t="s">
        <v>796</v>
      </c>
      <c r="F6" s="24" t="s">
        <v>797</v>
      </c>
      <c r="G6" s="24">
        <v>172217</v>
      </c>
    </row>
    <row r="7" spans="1:7" x14ac:dyDescent="0.25">
      <c r="A7" s="24" t="s">
        <v>103</v>
      </c>
      <c r="B7" s="24" t="s">
        <v>37</v>
      </c>
      <c r="C7" s="24" t="s">
        <v>38</v>
      </c>
      <c r="D7" s="24">
        <v>0.1</v>
      </c>
      <c r="E7" s="24" t="s">
        <v>796</v>
      </c>
      <c r="F7" s="24" t="s">
        <v>797</v>
      </c>
      <c r="G7" s="24">
        <v>172217</v>
      </c>
    </row>
    <row r="8" spans="1:7" x14ac:dyDescent="0.25">
      <c r="A8" s="24" t="s">
        <v>103</v>
      </c>
      <c r="B8" s="24" t="s">
        <v>39</v>
      </c>
      <c r="C8" s="24" t="s">
        <v>36</v>
      </c>
      <c r="D8" s="24">
        <v>0.3</v>
      </c>
      <c r="E8" s="24" t="s">
        <v>796</v>
      </c>
      <c r="F8" s="24" t="s">
        <v>797</v>
      </c>
      <c r="G8" s="24">
        <v>172217</v>
      </c>
    </row>
    <row r="9" spans="1:7" x14ac:dyDescent="0.25">
      <c r="A9" s="24" t="s">
        <v>103</v>
      </c>
      <c r="B9" s="24" t="s">
        <v>58</v>
      </c>
      <c r="C9" s="24" t="s">
        <v>5</v>
      </c>
      <c r="D9" s="24">
        <v>0</v>
      </c>
      <c r="E9" s="24" t="s">
        <v>795</v>
      </c>
      <c r="F9" s="24"/>
      <c r="G9" s="24"/>
    </row>
    <row r="10" spans="1:7" x14ac:dyDescent="0.25">
      <c r="A10" s="24" t="s">
        <v>104</v>
      </c>
      <c r="B10" s="24" t="s">
        <v>23</v>
      </c>
      <c r="C10" s="24" t="s">
        <v>5</v>
      </c>
      <c r="D10" s="24">
        <v>5.0999999999999996</v>
      </c>
      <c r="E10" s="24" t="s">
        <v>796</v>
      </c>
      <c r="F10" s="24" t="s">
        <v>797</v>
      </c>
      <c r="G10" s="24">
        <v>172217</v>
      </c>
    </row>
    <row r="11" spans="1:7" x14ac:dyDescent="0.25">
      <c r="A11" s="24" t="s">
        <v>104</v>
      </c>
      <c r="B11" s="24" t="s">
        <v>35</v>
      </c>
      <c r="C11" s="24" t="s">
        <v>36</v>
      </c>
      <c r="D11" s="24">
        <v>0.1</v>
      </c>
      <c r="E11" s="24" t="s">
        <v>796</v>
      </c>
      <c r="F11" s="24" t="s">
        <v>797</v>
      </c>
      <c r="G11" s="24">
        <v>172217</v>
      </c>
    </row>
    <row r="12" spans="1:7" x14ac:dyDescent="0.25">
      <c r="A12" s="24" t="s">
        <v>104</v>
      </c>
      <c r="B12" s="24" t="s">
        <v>37</v>
      </c>
      <c r="C12" s="24" t="s">
        <v>38</v>
      </c>
      <c r="D12" s="24">
        <v>0.1</v>
      </c>
      <c r="E12" s="24" t="s">
        <v>796</v>
      </c>
      <c r="F12" s="24" t="s">
        <v>797</v>
      </c>
      <c r="G12" s="24">
        <v>172217</v>
      </c>
    </row>
    <row r="13" spans="1:7" x14ac:dyDescent="0.25">
      <c r="A13" s="24" t="s">
        <v>104</v>
      </c>
      <c r="B13" s="24" t="s">
        <v>39</v>
      </c>
      <c r="C13" s="24" t="s">
        <v>36</v>
      </c>
      <c r="D13" s="24">
        <v>0.3</v>
      </c>
      <c r="E13" s="24" t="s">
        <v>796</v>
      </c>
      <c r="F13" s="24" t="s">
        <v>797</v>
      </c>
      <c r="G13" s="24">
        <v>172217</v>
      </c>
    </row>
    <row r="14" spans="1:7" x14ac:dyDescent="0.25">
      <c r="A14" s="24" t="s">
        <v>104</v>
      </c>
      <c r="B14" s="24" t="s">
        <v>57</v>
      </c>
      <c r="C14" s="24" t="s">
        <v>36</v>
      </c>
      <c r="D14" s="24">
        <v>3.7</v>
      </c>
      <c r="E14" s="24" t="s">
        <v>796</v>
      </c>
      <c r="F14" s="24" t="s">
        <v>797</v>
      </c>
      <c r="G14" s="24">
        <v>172217</v>
      </c>
    </row>
    <row r="15" spans="1:7" x14ac:dyDescent="0.25">
      <c r="A15" s="24" t="s">
        <v>104</v>
      </c>
      <c r="B15" s="24" t="s">
        <v>58</v>
      </c>
      <c r="C15" s="24" t="s">
        <v>5</v>
      </c>
      <c r="D15" s="24">
        <v>0</v>
      </c>
      <c r="E15" s="24" t="s">
        <v>795</v>
      </c>
      <c r="F15" s="24"/>
      <c r="G15" s="24"/>
    </row>
    <row r="16" spans="1:7" x14ac:dyDescent="0.25">
      <c r="A16" s="24" t="s">
        <v>105</v>
      </c>
      <c r="B16" s="24" t="s">
        <v>23</v>
      </c>
      <c r="C16" s="24" t="s">
        <v>5</v>
      </c>
      <c r="D16" s="24">
        <v>9.1999999999999993</v>
      </c>
      <c r="E16" s="24" t="s">
        <v>796</v>
      </c>
      <c r="F16" s="24" t="s">
        <v>798</v>
      </c>
      <c r="G16" s="24">
        <v>170879</v>
      </c>
    </row>
    <row r="17" spans="1:7" x14ac:dyDescent="0.25">
      <c r="A17" s="24" t="s">
        <v>105</v>
      </c>
      <c r="B17" s="24" t="s">
        <v>35</v>
      </c>
      <c r="C17" s="24" t="s">
        <v>36</v>
      </c>
      <c r="D17" s="24">
        <v>1.3</v>
      </c>
      <c r="E17" s="24" t="s">
        <v>796</v>
      </c>
      <c r="F17" s="24" t="s">
        <v>798</v>
      </c>
      <c r="G17" s="24">
        <v>170879</v>
      </c>
    </row>
    <row r="18" spans="1:7" x14ac:dyDescent="0.25">
      <c r="A18" s="24" t="s">
        <v>105</v>
      </c>
      <c r="B18" s="24" t="s">
        <v>39</v>
      </c>
      <c r="C18" s="24" t="s">
        <v>36</v>
      </c>
      <c r="D18" s="24">
        <v>0.3</v>
      </c>
      <c r="E18" s="24" t="s">
        <v>796</v>
      </c>
      <c r="F18" s="24" t="s">
        <v>798</v>
      </c>
      <c r="G18" s="24">
        <v>170879</v>
      </c>
    </row>
    <row r="19" spans="1:7" x14ac:dyDescent="0.25">
      <c r="A19" s="24" t="s">
        <v>105</v>
      </c>
      <c r="B19" s="24" t="s">
        <v>58</v>
      </c>
      <c r="C19" s="24" t="s">
        <v>5</v>
      </c>
      <c r="D19" s="24">
        <v>0</v>
      </c>
      <c r="E19" s="24" t="s">
        <v>795</v>
      </c>
      <c r="F19" s="24"/>
      <c r="G19" s="24"/>
    </row>
    <row r="20" spans="1:7" x14ac:dyDescent="0.25">
      <c r="A20" s="24" t="s">
        <v>106</v>
      </c>
      <c r="B20" s="24" t="s">
        <v>26</v>
      </c>
      <c r="C20" s="24" t="s">
        <v>5</v>
      </c>
      <c r="D20" s="24">
        <v>0.83</v>
      </c>
      <c r="E20" s="24" t="s">
        <v>799</v>
      </c>
      <c r="F20" s="24" t="s">
        <v>800</v>
      </c>
      <c r="G20" s="24">
        <v>171267</v>
      </c>
    </row>
    <row r="21" spans="1:7" x14ac:dyDescent="0.25">
      <c r="A21" s="24" t="s">
        <v>106</v>
      </c>
      <c r="B21" s="24" t="s">
        <v>27</v>
      </c>
      <c r="C21" s="24" t="s">
        <v>5</v>
      </c>
      <c r="D21" s="24">
        <v>0.37</v>
      </c>
      <c r="E21" s="24" t="s">
        <v>799</v>
      </c>
      <c r="F21" s="24" t="s">
        <v>800</v>
      </c>
      <c r="G21" s="24">
        <v>171267</v>
      </c>
    </row>
    <row r="22" spans="1:7" x14ac:dyDescent="0.25">
      <c r="A22" s="24" t="s">
        <v>106</v>
      </c>
      <c r="B22" s="24" t="s">
        <v>28</v>
      </c>
      <c r="C22" s="24" t="s">
        <v>5</v>
      </c>
      <c r="D22" s="24">
        <v>0.05</v>
      </c>
      <c r="E22" s="24" t="s">
        <v>799</v>
      </c>
      <c r="F22" s="24" t="s">
        <v>800</v>
      </c>
      <c r="G22" s="24">
        <v>171267</v>
      </c>
    </row>
    <row r="23" spans="1:7" x14ac:dyDescent="0.25">
      <c r="A23" s="24" t="s">
        <v>106</v>
      </c>
      <c r="B23" s="24" t="s">
        <v>29</v>
      </c>
      <c r="C23" s="24" t="s">
        <v>5</v>
      </c>
      <c r="D23" s="24">
        <v>0.06</v>
      </c>
      <c r="E23" s="24" t="s">
        <v>799</v>
      </c>
      <c r="F23" s="24" t="s">
        <v>800</v>
      </c>
      <c r="G23" s="24">
        <v>171267</v>
      </c>
    </row>
    <row r="24" spans="1:7" x14ac:dyDescent="0.25">
      <c r="A24" s="24" t="s">
        <v>106</v>
      </c>
      <c r="B24" s="24" t="s">
        <v>30</v>
      </c>
      <c r="C24" s="24" t="s">
        <v>31</v>
      </c>
      <c r="D24" s="24">
        <v>8</v>
      </c>
      <c r="E24" s="24" t="s">
        <v>801</v>
      </c>
      <c r="F24" s="24" t="s">
        <v>800</v>
      </c>
      <c r="G24" s="24">
        <v>171267</v>
      </c>
    </row>
    <row r="25" spans="1:7" x14ac:dyDescent="0.25">
      <c r="A25" s="24" t="s">
        <v>106</v>
      </c>
      <c r="B25" s="24" t="s">
        <v>32</v>
      </c>
      <c r="C25" s="24" t="s">
        <v>33</v>
      </c>
      <c r="D25" s="24">
        <v>50</v>
      </c>
      <c r="E25" s="24" t="s">
        <v>796</v>
      </c>
      <c r="F25" s="24" t="s">
        <v>800</v>
      </c>
      <c r="G25" s="24">
        <v>171267</v>
      </c>
    </row>
    <row r="26" spans="1:7" x14ac:dyDescent="0.25">
      <c r="A26" s="24" t="s">
        <v>106</v>
      </c>
      <c r="B26" s="24" t="s">
        <v>34</v>
      </c>
      <c r="C26" s="24" t="s">
        <v>31</v>
      </c>
      <c r="D26" s="24">
        <v>0.2</v>
      </c>
      <c r="E26" s="24" t="s">
        <v>796</v>
      </c>
      <c r="F26" s="24" t="s">
        <v>800</v>
      </c>
      <c r="G26" s="24">
        <v>171267</v>
      </c>
    </row>
    <row r="27" spans="1:7" x14ac:dyDescent="0.25">
      <c r="A27" s="24" t="s">
        <v>106</v>
      </c>
      <c r="B27" s="24" t="s">
        <v>35</v>
      </c>
      <c r="C27" s="24" t="s">
        <v>36</v>
      </c>
      <c r="D27" s="24">
        <v>1.1000000000000001</v>
      </c>
      <c r="E27" s="24" t="s">
        <v>796</v>
      </c>
      <c r="F27" s="24" t="s">
        <v>800</v>
      </c>
      <c r="G27" s="24">
        <v>171267</v>
      </c>
    </row>
    <row r="28" spans="1:7" x14ac:dyDescent="0.25">
      <c r="A28" s="24" t="s">
        <v>106</v>
      </c>
      <c r="B28" s="24" t="s">
        <v>37</v>
      </c>
      <c r="C28" s="24" t="s">
        <v>38</v>
      </c>
      <c r="D28" s="24">
        <v>0</v>
      </c>
      <c r="E28" s="24" t="s">
        <v>796</v>
      </c>
      <c r="F28" s="24" t="s">
        <v>800</v>
      </c>
      <c r="G28" s="24">
        <v>171267</v>
      </c>
    </row>
    <row r="29" spans="1:7" x14ac:dyDescent="0.25">
      <c r="A29" s="24" t="s">
        <v>106</v>
      </c>
      <c r="B29" s="24" t="s">
        <v>39</v>
      </c>
      <c r="C29" s="24" t="s">
        <v>36</v>
      </c>
      <c r="D29" s="24">
        <v>0.2</v>
      </c>
      <c r="E29" s="24" t="s">
        <v>796</v>
      </c>
      <c r="F29" s="24" t="s">
        <v>800</v>
      </c>
      <c r="G29" s="24">
        <v>171267</v>
      </c>
    </row>
    <row r="30" spans="1:7" x14ac:dyDescent="0.25">
      <c r="A30" s="24" t="s">
        <v>106</v>
      </c>
      <c r="B30" s="24" t="s">
        <v>40</v>
      </c>
      <c r="C30" s="24" t="s">
        <v>31</v>
      </c>
      <c r="D30" s="24">
        <v>0</v>
      </c>
      <c r="E30" s="24" t="s">
        <v>796</v>
      </c>
      <c r="F30" s="24" t="s">
        <v>800</v>
      </c>
      <c r="G30" s="24">
        <v>171267</v>
      </c>
    </row>
    <row r="31" spans="1:7" x14ac:dyDescent="0.25">
      <c r="A31" s="24" t="s">
        <v>106</v>
      </c>
      <c r="B31" s="24" t="s">
        <v>41</v>
      </c>
      <c r="C31" s="24" t="s">
        <v>31</v>
      </c>
      <c r="D31" s="24">
        <v>0.2</v>
      </c>
      <c r="E31" s="24" t="s">
        <v>796</v>
      </c>
      <c r="F31" s="24" t="s">
        <v>800</v>
      </c>
      <c r="G31" s="24">
        <v>171267</v>
      </c>
    </row>
    <row r="32" spans="1:7" x14ac:dyDescent="0.25">
      <c r="A32" s="24" t="s">
        <v>106</v>
      </c>
      <c r="B32" s="24" t="s">
        <v>42</v>
      </c>
      <c r="C32" s="24" t="s">
        <v>43</v>
      </c>
      <c r="D32" s="24">
        <v>0.1</v>
      </c>
      <c r="E32" s="24" t="s">
        <v>796</v>
      </c>
      <c r="F32" s="24" t="s">
        <v>800</v>
      </c>
      <c r="G32" s="24">
        <v>171267</v>
      </c>
    </row>
    <row r="33" spans="1:7" x14ac:dyDescent="0.25">
      <c r="A33" s="24" t="s">
        <v>106</v>
      </c>
      <c r="B33" s="24" t="s">
        <v>44</v>
      </c>
      <c r="C33" s="24" t="s">
        <v>31</v>
      </c>
      <c r="D33" s="24">
        <v>0</v>
      </c>
      <c r="E33" s="24" t="s">
        <v>796</v>
      </c>
      <c r="F33" s="24" t="s">
        <v>800</v>
      </c>
      <c r="G33" s="24">
        <v>171267</v>
      </c>
    </row>
    <row r="34" spans="1:7" x14ac:dyDescent="0.25">
      <c r="A34" s="24" t="s">
        <v>106</v>
      </c>
      <c r="B34" s="24" t="s">
        <v>45</v>
      </c>
      <c r="C34" s="24" t="s">
        <v>31</v>
      </c>
      <c r="D34" s="24">
        <v>0.3</v>
      </c>
      <c r="E34" s="24" t="s">
        <v>796</v>
      </c>
      <c r="F34" s="24" t="s">
        <v>800</v>
      </c>
      <c r="G34" s="24">
        <v>171267</v>
      </c>
    </row>
    <row r="35" spans="1:7" x14ac:dyDescent="0.25">
      <c r="A35" s="24" t="s">
        <v>106</v>
      </c>
      <c r="B35" s="24" t="s">
        <v>46</v>
      </c>
      <c r="C35" s="24" t="s">
        <v>36</v>
      </c>
      <c r="D35" s="24">
        <v>0.5</v>
      </c>
      <c r="E35" s="24" t="s">
        <v>796</v>
      </c>
      <c r="F35" s="24" t="s">
        <v>800</v>
      </c>
      <c r="G35" s="24">
        <v>171267</v>
      </c>
    </row>
    <row r="36" spans="1:7" x14ac:dyDescent="0.25">
      <c r="A36" s="24" t="s">
        <v>106</v>
      </c>
      <c r="B36" s="24" t="s">
        <v>47</v>
      </c>
      <c r="C36" s="24" t="s">
        <v>48</v>
      </c>
      <c r="D36" s="24">
        <v>4.5</v>
      </c>
      <c r="E36" s="24" t="s">
        <v>796</v>
      </c>
      <c r="F36" s="24" t="s">
        <v>800</v>
      </c>
      <c r="G36" s="24">
        <v>171267</v>
      </c>
    </row>
    <row r="37" spans="1:7" x14ac:dyDescent="0.25">
      <c r="A37" s="24" t="s">
        <v>106</v>
      </c>
      <c r="B37" s="24" t="s">
        <v>49</v>
      </c>
      <c r="C37" s="24" t="s">
        <v>31</v>
      </c>
      <c r="D37" s="24">
        <v>42.7</v>
      </c>
      <c r="E37" s="24" t="s">
        <v>796</v>
      </c>
      <c r="F37" s="24" t="s">
        <v>800</v>
      </c>
      <c r="G37" s="24">
        <v>171267</v>
      </c>
    </row>
    <row r="38" spans="1:7" x14ac:dyDescent="0.25">
      <c r="A38" s="24" t="s">
        <v>106</v>
      </c>
      <c r="B38" s="24" t="s">
        <v>50</v>
      </c>
      <c r="C38" s="24" t="s">
        <v>31</v>
      </c>
      <c r="D38" s="24">
        <v>127.2</v>
      </c>
      <c r="E38" s="24" t="s">
        <v>796</v>
      </c>
      <c r="F38" s="24" t="s">
        <v>800</v>
      </c>
      <c r="G38" s="24">
        <v>171267</v>
      </c>
    </row>
    <row r="39" spans="1:7" x14ac:dyDescent="0.25">
      <c r="A39" s="24" t="s">
        <v>106</v>
      </c>
      <c r="B39" s="24" t="s">
        <v>51</v>
      </c>
      <c r="C39" s="24" t="s">
        <v>31</v>
      </c>
      <c r="D39" s="24">
        <v>109</v>
      </c>
      <c r="E39" s="24" t="s">
        <v>796</v>
      </c>
      <c r="F39" s="24" t="s">
        <v>800</v>
      </c>
      <c r="G39" s="24">
        <v>171267</v>
      </c>
    </row>
    <row r="40" spans="1:7" x14ac:dyDescent="0.25">
      <c r="A40" s="24" t="s">
        <v>106</v>
      </c>
      <c r="B40" s="24" t="s">
        <v>52</v>
      </c>
      <c r="C40" s="24" t="s">
        <v>31</v>
      </c>
      <c r="D40" s="24">
        <v>83.6</v>
      </c>
      <c r="E40" s="24" t="s">
        <v>796</v>
      </c>
      <c r="F40" s="24" t="s">
        <v>800</v>
      </c>
      <c r="G40" s="24">
        <v>171267</v>
      </c>
    </row>
    <row r="41" spans="1:7" x14ac:dyDescent="0.25">
      <c r="A41" s="24" t="s">
        <v>106</v>
      </c>
      <c r="B41" s="24" t="s">
        <v>53</v>
      </c>
      <c r="C41" s="24" t="s">
        <v>31</v>
      </c>
      <c r="D41" s="24">
        <v>10</v>
      </c>
      <c r="E41" s="24" t="s">
        <v>796</v>
      </c>
      <c r="F41" s="24" t="s">
        <v>800</v>
      </c>
      <c r="G41" s="24">
        <v>171267</v>
      </c>
    </row>
    <row r="42" spans="1:7" x14ac:dyDescent="0.25">
      <c r="A42" s="24" t="s">
        <v>106</v>
      </c>
      <c r="B42" s="24" t="s">
        <v>54</v>
      </c>
      <c r="C42" s="24" t="s">
        <v>31</v>
      </c>
      <c r="D42" s="24">
        <v>0</v>
      </c>
      <c r="E42" s="24" t="s">
        <v>796</v>
      </c>
      <c r="F42" s="24" t="s">
        <v>800</v>
      </c>
      <c r="G42" s="24">
        <v>171267</v>
      </c>
    </row>
    <row r="43" spans="1:7" x14ac:dyDescent="0.25">
      <c r="A43" s="24" t="s">
        <v>106</v>
      </c>
      <c r="B43" s="24" t="s">
        <v>55</v>
      </c>
      <c r="C43" s="24" t="s">
        <v>31</v>
      </c>
      <c r="D43" s="24">
        <v>0.4</v>
      </c>
      <c r="E43" s="24" t="s">
        <v>796</v>
      </c>
      <c r="F43" s="24" t="s">
        <v>800</v>
      </c>
      <c r="G43" s="24">
        <v>171267</v>
      </c>
    </row>
    <row r="44" spans="1:7" x14ac:dyDescent="0.25">
      <c r="A44" s="24" t="s">
        <v>106</v>
      </c>
      <c r="B44" s="24" t="s">
        <v>56</v>
      </c>
      <c r="C44" s="24" t="s">
        <v>31</v>
      </c>
      <c r="D44" s="24">
        <v>0</v>
      </c>
      <c r="E44" s="24" t="s">
        <v>796</v>
      </c>
      <c r="F44" s="24" t="s">
        <v>800</v>
      </c>
      <c r="G44" s="24">
        <v>171267</v>
      </c>
    </row>
    <row r="45" spans="1:7" x14ac:dyDescent="0.25">
      <c r="A45" s="24" t="s">
        <v>106</v>
      </c>
      <c r="B45" s="24" t="s">
        <v>57</v>
      </c>
      <c r="C45" s="24" t="s">
        <v>36</v>
      </c>
      <c r="D45" s="24">
        <v>2.2999999999999998</v>
      </c>
      <c r="E45" s="24" t="s">
        <v>796</v>
      </c>
      <c r="F45" s="24" t="s">
        <v>800</v>
      </c>
      <c r="G45" s="24">
        <v>171267</v>
      </c>
    </row>
    <row r="46" spans="1:7" x14ac:dyDescent="0.25">
      <c r="A46" s="24" t="s">
        <v>106</v>
      </c>
      <c r="B46" s="24" t="s">
        <v>58</v>
      </c>
      <c r="C46" s="24" t="s">
        <v>5</v>
      </c>
      <c r="D46" s="24">
        <v>0</v>
      </c>
      <c r="E46" s="24" t="s">
        <v>795</v>
      </c>
      <c r="F46" s="24"/>
      <c r="G46" s="24"/>
    </row>
    <row r="47" spans="1:7" x14ac:dyDescent="0.25">
      <c r="A47" s="24" t="s">
        <v>107</v>
      </c>
      <c r="B47" s="24" t="s">
        <v>58</v>
      </c>
      <c r="C47" s="24" t="s">
        <v>5</v>
      </c>
      <c r="D47" s="24">
        <v>0</v>
      </c>
      <c r="E47" s="24" t="s">
        <v>795</v>
      </c>
      <c r="F47" s="24"/>
      <c r="G47" s="24"/>
    </row>
    <row r="48" spans="1:7" x14ac:dyDescent="0.25">
      <c r="A48" s="24" t="s">
        <v>108</v>
      </c>
      <c r="B48" s="24" t="s">
        <v>20</v>
      </c>
      <c r="C48" s="24" t="s">
        <v>5</v>
      </c>
      <c r="D48" s="24">
        <v>0.8</v>
      </c>
      <c r="E48" s="24" t="s">
        <v>796</v>
      </c>
      <c r="F48" s="24" t="s">
        <v>802</v>
      </c>
      <c r="G48" s="24">
        <v>170910</v>
      </c>
    </row>
    <row r="49" spans="1:7" x14ac:dyDescent="0.25">
      <c r="A49" s="24" t="s">
        <v>108</v>
      </c>
      <c r="B49" s="24" t="s">
        <v>24</v>
      </c>
      <c r="C49" s="24" t="s">
        <v>5</v>
      </c>
      <c r="D49" s="24">
        <v>0</v>
      </c>
      <c r="E49" s="24" t="s">
        <v>801</v>
      </c>
      <c r="F49" s="24" t="s">
        <v>802</v>
      </c>
      <c r="G49" s="24">
        <v>170910</v>
      </c>
    </row>
    <row r="50" spans="1:7" x14ac:dyDescent="0.25">
      <c r="A50" s="24" t="s">
        <v>108</v>
      </c>
      <c r="B50" s="24" t="s">
        <v>34</v>
      </c>
      <c r="C50" s="24" t="s">
        <v>31</v>
      </c>
      <c r="D50" s="24">
        <v>0</v>
      </c>
      <c r="E50" s="24" t="s">
        <v>801</v>
      </c>
      <c r="F50" s="24" t="s">
        <v>802</v>
      </c>
      <c r="G50" s="24">
        <v>170910</v>
      </c>
    </row>
    <row r="51" spans="1:7" x14ac:dyDescent="0.25">
      <c r="A51" s="24" t="s">
        <v>108</v>
      </c>
      <c r="B51" s="24" t="s">
        <v>39</v>
      </c>
      <c r="C51" s="24" t="s">
        <v>36</v>
      </c>
      <c r="D51" s="24">
        <v>0.1</v>
      </c>
      <c r="E51" s="24" t="s">
        <v>801</v>
      </c>
      <c r="F51" s="24" t="s">
        <v>802</v>
      </c>
      <c r="G51" s="24">
        <v>170910</v>
      </c>
    </row>
    <row r="52" spans="1:7" x14ac:dyDescent="0.25">
      <c r="A52" s="24" t="s">
        <v>108</v>
      </c>
      <c r="B52" s="24" t="s">
        <v>40</v>
      </c>
      <c r="C52" s="24" t="s">
        <v>31</v>
      </c>
      <c r="D52" s="24">
        <v>0</v>
      </c>
      <c r="E52" s="24" t="s">
        <v>801</v>
      </c>
      <c r="F52" s="24" t="s">
        <v>802</v>
      </c>
      <c r="G52" s="24">
        <v>170910</v>
      </c>
    </row>
    <row r="53" spans="1:7" x14ac:dyDescent="0.25">
      <c r="A53" s="24" t="s">
        <v>108</v>
      </c>
      <c r="B53" s="24" t="s">
        <v>41</v>
      </c>
      <c r="C53" s="24" t="s">
        <v>31</v>
      </c>
      <c r="D53" s="24">
        <v>0.2</v>
      </c>
      <c r="E53" s="24" t="s">
        <v>801</v>
      </c>
      <c r="F53" s="24" t="s">
        <v>802</v>
      </c>
      <c r="G53" s="24">
        <v>170910</v>
      </c>
    </row>
    <row r="54" spans="1:7" x14ac:dyDescent="0.25">
      <c r="A54" s="24" t="s">
        <v>108</v>
      </c>
      <c r="B54" s="24" t="s">
        <v>42</v>
      </c>
      <c r="C54" s="24" t="s">
        <v>43</v>
      </c>
      <c r="D54" s="24">
        <v>0.1</v>
      </c>
      <c r="E54" s="24" t="s">
        <v>801</v>
      </c>
      <c r="F54" s="24" t="s">
        <v>802</v>
      </c>
      <c r="G54" s="24">
        <v>170910</v>
      </c>
    </row>
    <row r="55" spans="1:7" x14ac:dyDescent="0.25">
      <c r="A55" s="24" t="s">
        <v>108</v>
      </c>
      <c r="B55" s="24" t="s">
        <v>44</v>
      </c>
      <c r="C55" s="24" t="s">
        <v>31</v>
      </c>
      <c r="D55" s="24">
        <v>0.1</v>
      </c>
      <c r="E55" s="24" t="s">
        <v>801</v>
      </c>
      <c r="F55" s="24" t="s">
        <v>802</v>
      </c>
      <c r="G55" s="24">
        <v>170910</v>
      </c>
    </row>
    <row r="56" spans="1:7" x14ac:dyDescent="0.25">
      <c r="A56" s="24" t="s">
        <v>108</v>
      </c>
      <c r="B56" s="24" t="s">
        <v>45</v>
      </c>
      <c r="C56" s="24" t="s">
        <v>31</v>
      </c>
      <c r="D56" s="24">
        <v>0.5</v>
      </c>
      <c r="E56" s="24" t="s">
        <v>801</v>
      </c>
      <c r="F56" s="24" t="s">
        <v>802</v>
      </c>
      <c r="G56" s="24">
        <v>170910</v>
      </c>
    </row>
    <row r="57" spans="1:7" x14ac:dyDescent="0.25">
      <c r="A57" s="24" t="s">
        <v>108</v>
      </c>
      <c r="B57" s="24" t="s">
        <v>46</v>
      </c>
      <c r="C57" s="24" t="s">
        <v>36</v>
      </c>
      <c r="D57" s="24">
        <v>0.2</v>
      </c>
      <c r="E57" s="24" t="s">
        <v>801</v>
      </c>
      <c r="F57" s="24" t="s">
        <v>802</v>
      </c>
      <c r="G57" s="24">
        <v>170910</v>
      </c>
    </row>
    <row r="58" spans="1:7" x14ac:dyDescent="0.25">
      <c r="A58" s="24" t="s">
        <v>108</v>
      </c>
      <c r="B58" s="24" t="s">
        <v>47</v>
      </c>
      <c r="C58" s="24" t="s">
        <v>48</v>
      </c>
      <c r="D58" s="24">
        <v>5</v>
      </c>
      <c r="E58" s="24" t="s">
        <v>801</v>
      </c>
      <c r="F58" s="24" t="s">
        <v>802</v>
      </c>
      <c r="G58" s="24">
        <v>170910</v>
      </c>
    </row>
    <row r="59" spans="1:7" x14ac:dyDescent="0.25">
      <c r="A59" s="24" t="s">
        <v>108</v>
      </c>
      <c r="B59" s="24" t="s">
        <v>50</v>
      </c>
      <c r="C59" s="24" t="s">
        <v>31</v>
      </c>
      <c r="D59" s="24">
        <v>168</v>
      </c>
      <c r="E59" s="24" t="s">
        <v>801</v>
      </c>
      <c r="F59" s="24" t="s">
        <v>802</v>
      </c>
      <c r="G59" s="24">
        <v>170910</v>
      </c>
    </row>
    <row r="60" spans="1:7" x14ac:dyDescent="0.25">
      <c r="A60" s="24" t="s">
        <v>108</v>
      </c>
      <c r="B60" s="24" t="s">
        <v>53</v>
      </c>
      <c r="C60" s="24" t="s">
        <v>31</v>
      </c>
      <c r="D60" s="24">
        <v>13</v>
      </c>
      <c r="E60" s="24" t="s">
        <v>801</v>
      </c>
      <c r="F60" s="24" t="s">
        <v>802</v>
      </c>
      <c r="G60" s="24">
        <v>170910</v>
      </c>
    </row>
    <row r="61" spans="1:7" x14ac:dyDescent="0.25">
      <c r="A61" s="24" t="s">
        <v>108</v>
      </c>
      <c r="B61" s="24" t="s">
        <v>54</v>
      </c>
      <c r="C61" s="24" t="s">
        <v>31</v>
      </c>
      <c r="D61" s="24">
        <v>0.2</v>
      </c>
      <c r="E61" s="24" t="s">
        <v>801</v>
      </c>
      <c r="F61" s="24" t="s">
        <v>802</v>
      </c>
      <c r="G61" s="24">
        <v>170910</v>
      </c>
    </row>
    <row r="62" spans="1:7" x14ac:dyDescent="0.25">
      <c r="A62" s="24" t="s">
        <v>108</v>
      </c>
      <c r="B62" s="24" t="s">
        <v>55</v>
      </c>
      <c r="C62" s="24" t="s">
        <v>31</v>
      </c>
      <c r="D62" s="24">
        <v>0.5</v>
      </c>
      <c r="E62" s="24" t="s">
        <v>801</v>
      </c>
      <c r="F62" s="24" t="s">
        <v>802</v>
      </c>
      <c r="G62" s="24">
        <v>170910</v>
      </c>
    </row>
    <row r="63" spans="1:7" x14ac:dyDescent="0.25">
      <c r="A63" s="24" t="s">
        <v>108</v>
      </c>
      <c r="B63" s="24" t="s">
        <v>56</v>
      </c>
      <c r="C63" s="24" t="s">
        <v>31</v>
      </c>
      <c r="D63" s="24">
        <v>0</v>
      </c>
      <c r="E63" s="24" t="s">
        <v>801</v>
      </c>
      <c r="F63" s="24" t="s">
        <v>802</v>
      </c>
      <c r="G63" s="24">
        <v>170910</v>
      </c>
    </row>
    <row r="64" spans="1:7" x14ac:dyDescent="0.25">
      <c r="A64" s="24" t="s">
        <v>108</v>
      </c>
      <c r="B64" s="24" t="s">
        <v>57</v>
      </c>
      <c r="C64" s="24" t="s">
        <v>36</v>
      </c>
      <c r="D64" s="24">
        <v>1.9</v>
      </c>
      <c r="E64" s="24" t="s">
        <v>801</v>
      </c>
      <c r="F64" s="24" t="s">
        <v>802</v>
      </c>
      <c r="G64" s="24">
        <v>170910</v>
      </c>
    </row>
    <row r="65" spans="1:7" x14ac:dyDescent="0.25">
      <c r="A65" s="24" t="s">
        <v>108</v>
      </c>
      <c r="B65" s="24" t="s">
        <v>58</v>
      </c>
      <c r="C65" s="24" t="s">
        <v>5</v>
      </c>
      <c r="D65" s="24">
        <v>0</v>
      </c>
      <c r="E65" s="24" t="s">
        <v>795</v>
      </c>
      <c r="F65" s="24"/>
      <c r="G65" s="24"/>
    </row>
    <row r="66" spans="1:7" x14ac:dyDescent="0.25">
      <c r="A66" s="24" t="s">
        <v>108</v>
      </c>
      <c r="B66" s="24" t="s">
        <v>18</v>
      </c>
      <c r="C66" s="24" t="s">
        <v>5</v>
      </c>
      <c r="D66" s="24">
        <v>88.6</v>
      </c>
      <c r="E66" s="24" t="s">
        <v>803</v>
      </c>
      <c r="F66" s="24"/>
      <c r="G66" s="24"/>
    </row>
    <row r="67" spans="1:7" x14ac:dyDescent="0.25">
      <c r="A67" s="24" t="s">
        <v>109</v>
      </c>
      <c r="B67" s="24" t="s">
        <v>20</v>
      </c>
      <c r="C67" s="24" t="s">
        <v>5</v>
      </c>
      <c r="D67" s="24">
        <v>0.8</v>
      </c>
      <c r="E67" s="24" t="s">
        <v>796</v>
      </c>
      <c r="F67" s="24" t="s">
        <v>804</v>
      </c>
      <c r="G67" s="24">
        <v>170872</v>
      </c>
    </row>
    <row r="68" spans="1:7" x14ac:dyDescent="0.25">
      <c r="A68" s="24" t="s">
        <v>109</v>
      </c>
      <c r="B68" s="24" t="s">
        <v>24</v>
      </c>
      <c r="C68" s="24" t="s">
        <v>5</v>
      </c>
      <c r="D68" s="24">
        <v>0</v>
      </c>
      <c r="E68" s="24" t="s">
        <v>801</v>
      </c>
      <c r="F68" s="24" t="s">
        <v>804</v>
      </c>
      <c r="G68" s="24">
        <v>170872</v>
      </c>
    </row>
    <row r="69" spans="1:7" x14ac:dyDescent="0.25">
      <c r="A69" s="24" t="s">
        <v>109</v>
      </c>
      <c r="B69" s="24" t="s">
        <v>34</v>
      </c>
      <c r="C69" s="24" t="s">
        <v>31</v>
      </c>
      <c r="D69" s="24">
        <v>0</v>
      </c>
      <c r="E69" s="24" t="s">
        <v>801</v>
      </c>
      <c r="F69" s="24" t="s">
        <v>804</v>
      </c>
      <c r="G69" s="24">
        <v>170872</v>
      </c>
    </row>
    <row r="70" spans="1:7" x14ac:dyDescent="0.25">
      <c r="A70" s="24" t="s">
        <v>109</v>
      </c>
      <c r="B70" s="24" t="s">
        <v>39</v>
      </c>
      <c r="C70" s="24" t="s">
        <v>36</v>
      </c>
      <c r="D70" s="24">
        <v>0.1</v>
      </c>
      <c r="E70" s="24" t="s">
        <v>801</v>
      </c>
      <c r="F70" s="24" t="s">
        <v>804</v>
      </c>
      <c r="G70" s="24">
        <v>170872</v>
      </c>
    </row>
    <row r="71" spans="1:7" x14ac:dyDescent="0.25">
      <c r="A71" s="24" t="s">
        <v>109</v>
      </c>
      <c r="B71" s="24" t="s">
        <v>40</v>
      </c>
      <c r="C71" s="24" t="s">
        <v>31</v>
      </c>
      <c r="D71" s="24">
        <v>0</v>
      </c>
      <c r="E71" s="24" t="s">
        <v>801</v>
      </c>
      <c r="F71" s="24" t="s">
        <v>804</v>
      </c>
      <c r="G71" s="24">
        <v>170872</v>
      </c>
    </row>
    <row r="72" spans="1:7" x14ac:dyDescent="0.25">
      <c r="A72" s="24" t="s">
        <v>109</v>
      </c>
      <c r="B72" s="24" t="s">
        <v>41</v>
      </c>
      <c r="C72" s="24" t="s">
        <v>31</v>
      </c>
      <c r="D72" s="24">
        <v>0.2</v>
      </c>
      <c r="E72" s="24" t="s">
        <v>801</v>
      </c>
      <c r="F72" s="24" t="s">
        <v>804</v>
      </c>
      <c r="G72" s="24">
        <v>170872</v>
      </c>
    </row>
    <row r="73" spans="1:7" x14ac:dyDescent="0.25">
      <c r="A73" s="24" t="s">
        <v>109</v>
      </c>
      <c r="B73" s="24" t="s">
        <v>42</v>
      </c>
      <c r="C73" s="24" t="s">
        <v>43</v>
      </c>
      <c r="D73" s="24">
        <v>0.1</v>
      </c>
      <c r="E73" s="24" t="s">
        <v>801</v>
      </c>
      <c r="F73" s="24" t="s">
        <v>804</v>
      </c>
      <c r="G73" s="24">
        <v>170872</v>
      </c>
    </row>
    <row r="74" spans="1:7" x14ac:dyDescent="0.25">
      <c r="A74" s="24" t="s">
        <v>109</v>
      </c>
      <c r="B74" s="24" t="s">
        <v>44</v>
      </c>
      <c r="C74" s="24" t="s">
        <v>31</v>
      </c>
      <c r="D74" s="24">
        <v>0</v>
      </c>
      <c r="E74" s="24" t="s">
        <v>801</v>
      </c>
      <c r="F74" s="24" t="s">
        <v>804</v>
      </c>
      <c r="G74" s="24">
        <v>170872</v>
      </c>
    </row>
    <row r="75" spans="1:7" x14ac:dyDescent="0.25">
      <c r="A75" s="24" t="s">
        <v>109</v>
      </c>
      <c r="B75" s="24" t="s">
        <v>45</v>
      </c>
      <c r="C75" s="24" t="s">
        <v>31</v>
      </c>
      <c r="D75" s="24">
        <v>0.4</v>
      </c>
      <c r="E75" s="24" t="s">
        <v>801</v>
      </c>
      <c r="F75" s="24" t="s">
        <v>804</v>
      </c>
      <c r="G75" s="24">
        <v>170872</v>
      </c>
    </row>
    <row r="76" spans="1:7" x14ac:dyDescent="0.25">
      <c r="A76" s="24" t="s">
        <v>109</v>
      </c>
      <c r="B76" s="24" t="s">
        <v>46</v>
      </c>
      <c r="C76" s="24" t="s">
        <v>36</v>
      </c>
      <c r="D76" s="24">
        <v>0.5</v>
      </c>
      <c r="E76" s="24" t="s">
        <v>801</v>
      </c>
      <c r="F76" s="24" t="s">
        <v>804</v>
      </c>
      <c r="G76" s="24">
        <v>170872</v>
      </c>
    </row>
    <row r="77" spans="1:7" x14ac:dyDescent="0.25">
      <c r="A77" s="24" t="s">
        <v>109</v>
      </c>
      <c r="B77" s="24" t="s">
        <v>47</v>
      </c>
      <c r="C77" s="24" t="s">
        <v>48</v>
      </c>
      <c r="D77" s="24">
        <v>5</v>
      </c>
      <c r="E77" s="24" t="s">
        <v>801</v>
      </c>
      <c r="F77" s="24" t="s">
        <v>804</v>
      </c>
      <c r="G77" s="24">
        <v>170872</v>
      </c>
    </row>
    <row r="78" spans="1:7" x14ac:dyDescent="0.25">
      <c r="A78" s="24" t="s">
        <v>109</v>
      </c>
      <c r="B78" s="24" t="s">
        <v>50</v>
      </c>
      <c r="C78" s="24" t="s">
        <v>31</v>
      </c>
      <c r="D78" s="24">
        <v>150</v>
      </c>
      <c r="E78" s="24" t="s">
        <v>801</v>
      </c>
      <c r="F78" s="24" t="s">
        <v>804</v>
      </c>
      <c r="G78" s="24">
        <v>170872</v>
      </c>
    </row>
    <row r="79" spans="1:7" x14ac:dyDescent="0.25">
      <c r="A79" s="24" t="s">
        <v>109</v>
      </c>
      <c r="B79" s="24" t="s">
        <v>53</v>
      </c>
      <c r="C79" s="24" t="s">
        <v>31</v>
      </c>
      <c r="D79" s="24">
        <v>11</v>
      </c>
      <c r="E79" s="24" t="s">
        <v>801</v>
      </c>
      <c r="F79" s="24" t="s">
        <v>804</v>
      </c>
      <c r="G79" s="24">
        <v>170872</v>
      </c>
    </row>
    <row r="80" spans="1:7" x14ac:dyDescent="0.25">
      <c r="A80" s="24" t="s">
        <v>109</v>
      </c>
      <c r="B80" s="24" t="s">
        <v>54</v>
      </c>
      <c r="C80" s="24" t="s">
        <v>31</v>
      </c>
      <c r="D80" s="24">
        <v>0</v>
      </c>
      <c r="E80" s="24" t="s">
        <v>801</v>
      </c>
      <c r="F80" s="24" t="s">
        <v>804</v>
      </c>
      <c r="G80" s="24">
        <v>170872</v>
      </c>
    </row>
    <row r="81" spans="1:7" x14ac:dyDescent="0.25">
      <c r="A81" s="24" t="s">
        <v>109</v>
      </c>
      <c r="B81" s="24" t="s">
        <v>55</v>
      </c>
      <c r="C81" s="24" t="s">
        <v>31</v>
      </c>
      <c r="D81" s="24">
        <v>0.4</v>
      </c>
      <c r="E81" s="24" t="s">
        <v>801</v>
      </c>
      <c r="F81" s="24" t="s">
        <v>804</v>
      </c>
      <c r="G81" s="24">
        <v>170872</v>
      </c>
    </row>
    <row r="82" spans="1:7" x14ac:dyDescent="0.25">
      <c r="A82" s="24" t="s">
        <v>109</v>
      </c>
      <c r="B82" s="24" t="s">
        <v>56</v>
      </c>
      <c r="C82" s="24" t="s">
        <v>31</v>
      </c>
      <c r="D82" s="24">
        <v>0</v>
      </c>
      <c r="E82" s="24" t="s">
        <v>801</v>
      </c>
      <c r="F82" s="24" t="s">
        <v>804</v>
      </c>
      <c r="G82" s="24">
        <v>170872</v>
      </c>
    </row>
    <row r="83" spans="1:7" x14ac:dyDescent="0.25">
      <c r="A83" s="24" t="s">
        <v>109</v>
      </c>
      <c r="B83" s="24" t="s">
        <v>57</v>
      </c>
      <c r="C83" s="24" t="s">
        <v>36</v>
      </c>
      <c r="D83" s="24">
        <v>3.3</v>
      </c>
      <c r="E83" s="24" t="s">
        <v>801</v>
      </c>
      <c r="F83" s="24" t="s">
        <v>804</v>
      </c>
      <c r="G83" s="24">
        <v>170872</v>
      </c>
    </row>
    <row r="84" spans="1:7" x14ac:dyDescent="0.25">
      <c r="A84" s="24" t="s">
        <v>109</v>
      </c>
      <c r="B84" s="24" t="s">
        <v>58</v>
      </c>
      <c r="C84" s="24" t="s">
        <v>5</v>
      </c>
      <c r="D84" s="24">
        <v>0</v>
      </c>
      <c r="E84" s="24" t="s">
        <v>795</v>
      </c>
      <c r="F84" s="24"/>
      <c r="G84" s="24"/>
    </row>
    <row r="85" spans="1:7" x14ac:dyDescent="0.25">
      <c r="A85" s="24" t="s">
        <v>109</v>
      </c>
      <c r="B85" s="24" t="s">
        <v>18</v>
      </c>
      <c r="C85" s="24" t="s">
        <v>5</v>
      </c>
      <c r="D85" s="24">
        <v>88.2</v>
      </c>
      <c r="E85" s="24" t="s">
        <v>803</v>
      </c>
      <c r="F85" s="24"/>
      <c r="G85" s="24"/>
    </row>
    <row r="86" spans="1:7" x14ac:dyDescent="0.25">
      <c r="A86" s="24" t="s">
        <v>110</v>
      </c>
      <c r="B86" s="24" t="s">
        <v>20</v>
      </c>
      <c r="C86" s="24" t="s">
        <v>5</v>
      </c>
      <c r="D86" s="24">
        <v>0.8</v>
      </c>
      <c r="E86" s="24" t="s">
        <v>796</v>
      </c>
      <c r="F86" s="24" t="s">
        <v>804</v>
      </c>
      <c r="G86" s="24">
        <v>170872</v>
      </c>
    </row>
    <row r="87" spans="1:7" x14ac:dyDescent="0.25">
      <c r="A87" s="24" t="s">
        <v>110</v>
      </c>
      <c r="B87" s="24" t="s">
        <v>24</v>
      </c>
      <c r="C87" s="24" t="s">
        <v>5</v>
      </c>
      <c r="D87" s="24">
        <v>0</v>
      </c>
      <c r="E87" s="24" t="s">
        <v>801</v>
      </c>
      <c r="F87" s="24" t="s">
        <v>804</v>
      </c>
      <c r="G87" s="24">
        <v>170872</v>
      </c>
    </row>
    <row r="88" spans="1:7" x14ac:dyDescent="0.25">
      <c r="A88" s="24" t="s">
        <v>110</v>
      </c>
      <c r="B88" s="24" t="s">
        <v>34</v>
      </c>
      <c r="C88" s="24" t="s">
        <v>31</v>
      </c>
      <c r="D88" s="24">
        <v>0</v>
      </c>
      <c r="E88" s="24" t="s">
        <v>801</v>
      </c>
      <c r="F88" s="24" t="s">
        <v>804</v>
      </c>
      <c r="G88" s="24">
        <v>170872</v>
      </c>
    </row>
    <row r="89" spans="1:7" x14ac:dyDescent="0.25">
      <c r="A89" s="24" t="s">
        <v>110</v>
      </c>
      <c r="B89" s="24" t="s">
        <v>37</v>
      </c>
      <c r="C89" s="24" t="s">
        <v>38</v>
      </c>
      <c r="D89" s="24">
        <v>0</v>
      </c>
      <c r="E89" s="24" t="s">
        <v>801</v>
      </c>
      <c r="F89" s="24" t="s">
        <v>804</v>
      </c>
      <c r="G89" s="24">
        <v>170872</v>
      </c>
    </row>
    <row r="90" spans="1:7" x14ac:dyDescent="0.25">
      <c r="A90" s="24" t="s">
        <v>110</v>
      </c>
      <c r="B90" s="24" t="s">
        <v>39</v>
      </c>
      <c r="C90" s="24" t="s">
        <v>36</v>
      </c>
      <c r="D90" s="24">
        <v>0.1</v>
      </c>
      <c r="E90" s="24" t="s">
        <v>801</v>
      </c>
      <c r="F90" s="24" t="s">
        <v>804</v>
      </c>
      <c r="G90" s="24">
        <v>170872</v>
      </c>
    </row>
    <row r="91" spans="1:7" x14ac:dyDescent="0.25">
      <c r="A91" s="24" t="s">
        <v>110</v>
      </c>
      <c r="B91" s="24" t="s">
        <v>40</v>
      </c>
      <c r="C91" s="24" t="s">
        <v>31</v>
      </c>
      <c r="D91" s="24">
        <v>0</v>
      </c>
      <c r="E91" s="24" t="s">
        <v>801</v>
      </c>
      <c r="F91" s="24" t="s">
        <v>804</v>
      </c>
      <c r="G91" s="24">
        <v>170872</v>
      </c>
    </row>
    <row r="92" spans="1:7" x14ac:dyDescent="0.25">
      <c r="A92" s="24" t="s">
        <v>110</v>
      </c>
      <c r="B92" s="24" t="s">
        <v>41</v>
      </c>
      <c r="C92" s="24" t="s">
        <v>31</v>
      </c>
      <c r="D92" s="24">
        <v>0.2</v>
      </c>
      <c r="E92" s="24" t="s">
        <v>801</v>
      </c>
      <c r="F92" s="24" t="s">
        <v>804</v>
      </c>
      <c r="G92" s="24">
        <v>170872</v>
      </c>
    </row>
    <row r="93" spans="1:7" x14ac:dyDescent="0.25">
      <c r="A93" s="24" t="s">
        <v>110</v>
      </c>
      <c r="B93" s="24" t="s">
        <v>42</v>
      </c>
      <c r="C93" s="24" t="s">
        <v>43</v>
      </c>
      <c r="D93" s="24">
        <v>0.1</v>
      </c>
      <c r="E93" s="24" t="s">
        <v>801</v>
      </c>
      <c r="F93" s="24" t="s">
        <v>804</v>
      </c>
      <c r="G93" s="24">
        <v>170872</v>
      </c>
    </row>
    <row r="94" spans="1:7" x14ac:dyDescent="0.25">
      <c r="A94" s="24" t="s">
        <v>110</v>
      </c>
      <c r="B94" s="24" t="s">
        <v>44</v>
      </c>
      <c r="C94" s="24" t="s">
        <v>31</v>
      </c>
      <c r="D94" s="24">
        <v>0</v>
      </c>
      <c r="E94" s="24" t="s">
        <v>801</v>
      </c>
      <c r="F94" s="24" t="s">
        <v>804</v>
      </c>
      <c r="G94" s="24">
        <v>170872</v>
      </c>
    </row>
    <row r="95" spans="1:7" x14ac:dyDescent="0.25">
      <c r="A95" s="24" t="s">
        <v>110</v>
      </c>
      <c r="B95" s="24" t="s">
        <v>45</v>
      </c>
      <c r="C95" s="24" t="s">
        <v>31</v>
      </c>
      <c r="D95" s="24">
        <v>0.4</v>
      </c>
      <c r="E95" s="24" t="s">
        <v>801</v>
      </c>
      <c r="F95" s="24" t="s">
        <v>804</v>
      </c>
      <c r="G95" s="24">
        <v>170872</v>
      </c>
    </row>
    <row r="96" spans="1:7" x14ac:dyDescent="0.25">
      <c r="A96" s="24" t="s">
        <v>110</v>
      </c>
      <c r="B96" s="24" t="s">
        <v>46</v>
      </c>
      <c r="C96" s="24" t="s">
        <v>36</v>
      </c>
      <c r="D96" s="24">
        <v>0.5</v>
      </c>
      <c r="E96" s="24" t="s">
        <v>801</v>
      </c>
      <c r="F96" s="24" t="s">
        <v>804</v>
      </c>
      <c r="G96" s="24">
        <v>170872</v>
      </c>
    </row>
    <row r="97" spans="1:7" x14ac:dyDescent="0.25">
      <c r="A97" s="24" t="s">
        <v>110</v>
      </c>
      <c r="B97" s="24" t="s">
        <v>47</v>
      </c>
      <c r="C97" s="24" t="s">
        <v>48</v>
      </c>
      <c r="D97" s="24">
        <v>5</v>
      </c>
      <c r="E97" s="24" t="s">
        <v>801</v>
      </c>
      <c r="F97" s="24" t="s">
        <v>804</v>
      </c>
      <c r="G97" s="24">
        <v>170872</v>
      </c>
    </row>
    <row r="98" spans="1:7" x14ac:dyDescent="0.25">
      <c r="A98" s="24" t="s">
        <v>110</v>
      </c>
      <c r="B98" s="24" t="s">
        <v>50</v>
      </c>
      <c r="C98" s="24" t="s">
        <v>31</v>
      </c>
      <c r="D98" s="24">
        <v>150</v>
      </c>
      <c r="E98" s="24" t="s">
        <v>801</v>
      </c>
      <c r="F98" s="24" t="s">
        <v>804</v>
      </c>
      <c r="G98" s="24">
        <v>170872</v>
      </c>
    </row>
    <row r="99" spans="1:7" x14ac:dyDescent="0.25">
      <c r="A99" s="24" t="s">
        <v>110</v>
      </c>
      <c r="B99" s="24" t="s">
        <v>52</v>
      </c>
      <c r="C99" s="24" t="s">
        <v>31</v>
      </c>
      <c r="D99" s="24">
        <v>95</v>
      </c>
      <c r="E99" s="24" t="s">
        <v>801</v>
      </c>
      <c r="F99" s="24" t="s">
        <v>804</v>
      </c>
      <c r="G99" s="24">
        <v>170872</v>
      </c>
    </row>
    <row r="100" spans="1:7" x14ac:dyDescent="0.25">
      <c r="A100" s="24" t="s">
        <v>110</v>
      </c>
      <c r="B100" s="24" t="s">
        <v>53</v>
      </c>
      <c r="C100" s="24" t="s">
        <v>31</v>
      </c>
      <c r="D100" s="24">
        <v>11</v>
      </c>
      <c r="E100" s="24" t="s">
        <v>801</v>
      </c>
      <c r="F100" s="24" t="s">
        <v>804</v>
      </c>
      <c r="G100" s="24">
        <v>170872</v>
      </c>
    </row>
    <row r="101" spans="1:7" x14ac:dyDescent="0.25">
      <c r="A101" s="24" t="s">
        <v>110</v>
      </c>
      <c r="B101" s="24" t="s">
        <v>54</v>
      </c>
      <c r="C101" s="24" t="s">
        <v>31</v>
      </c>
      <c r="D101" s="24">
        <v>0</v>
      </c>
      <c r="E101" s="24" t="s">
        <v>801</v>
      </c>
      <c r="F101" s="24" t="s">
        <v>804</v>
      </c>
      <c r="G101" s="24">
        <v>170872</v>
      </c>
    </row>
    <row r="102" spans="1:7" x14ac:dyDescent="0.25">
      <c r="A102" s="24" t="s">
        <v>110</v>
      </c>
      <c r="B102" s="24" t="s">
        <v>55</v>
      </c>
      <c r="C102" s="24" t="s">
        <v>31</v>
      </c>
      <c r="D102" s="24">
        <v>0.4</v>
      </c>
      <c r="E102" s="24" t="s">
        <v>801</v>
      </c>
      <c r="F102" s="24" t="s">
        <v>804</v>
      </c>
      <c r="G102" s="24">
        <v>170872</v>
      </c>
    </row>
    <row r="103" spans="1:7" x14ac:dyDescent="0.25">
      <c r="A103" s="24" t="s">
        <v>110</v>
      </c>
      <c r="B103" s="24" t="s">
        <v>56</v>
      </c>
      <c r="C103" s="24" t="s">
        <v>31</v>
      </c>
      <c r="D103" s="24">
        <v>0</v>
      </c>
      <c r="E103" s="24" t="s">
        <v>801</v>
      </c>
      <c r="F103" s="24" t="s">
        <v>804</v>
      </c>
      <c r="G103" s="24">
        <v>170872</v>
      </c>
    </row>
    <row r="104" spans="1:7" x14ac:dyDescent="0.25">
      <c r="A104" s="24" t="s">
        <v>110</v>
      </c>
      <c r="B104" s="24" t="s">
        <v>57</v>
      </c>
      <c r="C104" s="24" t="s">
        <v>36</v>
      </c>
      <c r="D104" s="24">
        <v>3.3</v>
      </c>
      <c r="E104" s="24" t="s">
        <v>801</v>
      </c>
      <c r="F104" s="24" t="s">
        <v>804</v>
      </c>
      <c r="G104" s="24">
        <v>170872</v>
      </c>
    </row>
    <row r="105" spans="1:7" x14ac:dyDescent="0.25">
      <c r="A105" s="24" t="s">
        <v>110</v>
      </c>
      <c r="B105" s="24" t="s">
        <v>58</v>
      </c>
      <c r="C105" s="24" t="s">
        <v>5</v>
      </c>
      <c r="D105" s="24">
        <v>0</v>
      </c>
      <c r="E105" s="24" t="s">
        <v>795</v>
      </c>
      <c r="F105" s="24"/>
      <c r="G105" s="24"/>
    </row>
    <row r="106" spans="1:7" x14ac:dyDescent="0.25">
      <c r="A106" s="24" t="s">
        <v>110</v>
      </c>
      <c r="B106" s="24" t="s">
        <v>18</v>
      </c>
      <c r="C106" s="24" t="s">
        <v>5</v>
      </c>
      <c r="D106" s="24">
        <v>90.2</v>
      </c>
      <c r="E106" s="24" t="s">
        <v>803</v>
      </c>
      <c r="F106" s="24"/>
      <c r="G106" s="24"/>
    </row>
    <row r="107" spans="1:7" x14ac:dyDescent="0.25">
      <c r="A107" s="24" t="s">
        <v>111</v>
      </c>
      <c r="B107" s="24" t="s">
        <v>20</v>
      </c>
      <c r="C107" s="24" t="s">
        <v>5</v>
      </c>
      <c r="D107" s="24">
        <v>0.8</v>
      </c>
      <c r="E107" s="24" t="s">
        <v>796</v>
      </c>
      <c r="F107" s="24" t="s">
        <v>805</v>
      </c>
      <c r="G107" s="24">
        <v>171269</v>
      </c>
    </row>
    <row r="108" spans="1:7" x14ac:dyDescent="0.25">
      <c r="A108" s="24" t="s">
        <v>111</v>
      </c>
      <c r="B108" s="24" t="s">
        <v>24</v>
      </c>
      <c r="C108" s="24" t="s">
        <v>5</v>
      </c>
      <c r="D108" s="24">
        <v>0</v>
      </c>
      <c r="E108" s="24" t="s">
        <v>801</v>
      </c>
      <c r="F108" s="24" t="s">
        <v>805</v>
      </c>
      <c r="G108" s="24">
        <v>171269</v>
      </c>
    </row>
    <row r="109" spans="1:7" x14ac:dyDescent="0.25">
      <c r="A109" s="24" t="s">
        <v>111</v>
      </c>
      <c r="B109" s="24" t="s">
        <v>32</v>
      </c>
      <c r="C109" s="24" t="s">
        <v>33</v>
      </c>
      <c r="D109" s="24">
        <v>61</v>
      </c>
      <c r="E109" s="24" t="s">
        <v>801</v>
      </c>
      <c r="F109" s="24" t="s">
        <v>805</v>
      </c>
      <c r="G109" s="24">
        <v>171269</v>
      </c>
    </row>
    <row r="110" spans="1:7" x14ac:dyDescent="0.25">
      <c r="A110" s="24" t="s">
        <v>111</v>
      </c>
      <c r="B110" s="24" t="s">
        <v>34</v>
      </c>
      <c r="C110" s="24" t="s">
        <v>31</v>
      </c>
      <c r="D110" s="24">
        <v>0</v>
      </c>
      <c r="E110" s="24" t="s">
        <v>801</v>
      </c>
      <c r="F110" s="24" t="s">
        <v>805</v>
      </c>
      <c r="G110" s="24">
        <v>171269</v>
      </c>
    </row>
    <row r="111" spans="1:7" x14ac:dyDescent="0.25">
      <c r="A111" s="24" t="s">
        <v>111</v>
      </c>
      <c r="B111" s="24" t="s">
        <v>35</v>
      </c>
      <c r="C111" s="24" t="s">
        <v>36</v>
      </c>
      <c r="D111" s="24">
        <v>1.2</v>
      </c>
      <c r="E111" s="24" t="s">
        <v>801</v>
      </c>
      <c r="F111" s="24" t="s">
        <v>805</v>
      </c>
      <c r="G111" s="24">
        <v>171269</v>
      </c>
    </row>
    <row r="112" spans="1:7" x14ac:dyDescent="0.25">
      <c r="A112" s="24" t="s">
        <v>111</v>
      </c>
      <c r="B112" s="24" t="s">
        <v>37</v>
      </c>
      <c r="C112" s="24" t="s">
        <v>38</v>
      </c>
      <c r="D112" s="24">
        <v>0</v>
      </c>
      <c r="E112" s="24" t="s">
        <v>801</v>
      </c>
      <c r="F112" s="24" t="s">
        <v>805</v>
      </c>
      <c r="G112" s="24">
        <v>171269</v>
      </c>
    </row>
    <row r="113" spans="1:7" x14ac:dyDescent="0.25">
      <c r="A113" s="24" t="s">
        <v>111</v>
      </c>
      <c r="B113" s="24" t="s">
        <v>39</v>
      </c>
      <c r="C113" s="24" t="s">
        <v>36</v>
      </c>
      <c r="D113" s="24">
        <v>0</v>
      </c>
      <c r="E113" s="24" t="s">
        <v>801</v>
      </c>
      <c r="F113" s="24" t="s">
        <v>805</v>
      </c>
      <c r="G113" s="24">
        <v>171269</v>
      </c>
    </row>
    <row r="114" spans="1:7" x14ac:dyDescent="0.25">
      <c r="A114" s="24" t="s">
        <v>111</v>
      </c>
      <c r="B114" s="24" t="s">
        <v>40</v>
      </c>
      <c r="C114" s="24" t="s">
        <v>31</v>
      </c>
      <c r="D114" s="24">
        <v>0</v>
      </c>
      <c r="E114" s="24" t="s">
        <v>801</v>
      </c>
      <c r="F114" s="24" t="s">
        <v>805</v>
      </c>
      <c r="G114" s="24">
        <v>171269</v>
      </c>
    </row>
    <row r="115" spans="1:7" x14ac:dyDescent="0.25">
      <c r="A115" s="24" t="s">
        <v>111</v>
      </c>
      <c r="B115" s="24" t="s">
        <v>41</v>
      </c>
      <c r="C115" s="24" t="s">
        <v>31</v>
      </c>
      <c r="D115" s="24">
        <v>0.2</v>
      </c>
      <c r="E115" s="24" t="s">
        <v>801</v>
      </c>
      <c r="F115" s="24" t="s">
        <v>805</v>
      </c>
      <c r="G115" s="24">
        <v>171269</v>
      </c>
    </row>
    <row r="116" spans="1:7" x14ac:dyDescent="0.25">
      <c r="A116" s="24" t="s">
        <v>111</v>
      </c>
      <c r="B116" s="24" t="s">
        <v>42</v>
      </c>
      <c r="C116" s="24" t="s">
        <v>43</v>
      </c>
      <c r="D116" s="24">
        <v>0.1</v>
      </c>
      <c r="E116" s="24" t="s">
        <v>801</v>
      </c>
      <c r="F116" s="24" t="s">
        <v>805</v>
      </c>
      <c r="G116" s="24">
        <v>171269</v>
      </c>
    </row>
    <row r="117" spans="1:7" x14ac:dyDescent="0.25">
      <c r="A117" s="24" t="s">
        <v>111</v>
      </c>
      <c r="B117" s="24" t="s">
        <v>44</v>
      </c>
      <c r="C117" s="24" t="s">
        <v>31</v>
      </c>
      <c r="D117" s="24">
        <v>0</v>
      </c>
      <c r="E117" s="24" t="s">
        <v>801</v>
      </c>
      <c r="F117" s="24" t="s">
        <v>805</v>
      </c>
      <c r="G117" s="24">
        <v>171269</v>
      </c>
    </row>
    <row r="118" spans="1:7" x14ac:dyDescent="0.25">
      <c r="A118" s="24" t="s">
        <v>111</v>
      </c>
      <c r="B118" s="24" t="s">
        <v>45</v>
      </c>
      <c r="C118" s="24" t="s">
        <v>31</v>
      </c>
      <c r="D118" s="24">
        <v>0.4</v>
      </c>
      <c r="E118" s="24" t="s">
        <v>801</v>
      </c>
      <c r="F118" s="24" t="s">
        <v>805</v>
      </c>
      <c r="G118" s="24">
        <v>171269</v>
      </c>
    </row>
    <row r="119" spans="1:7" x14ac:dyDescent="0.25">
      <c r="A119" s="24" t="s">
        <v>111</v>
      </c>
      <c r="B119" s="24" t="s">
        <v>46</v>
      </c>
      <c r="C119" s="24" t="s">
        <v>36</v>
      </c>
      <c r="D119" s="24">
        <v>0.5</v>
      </c>
      <c r="E119" s="24" t="s">
        <v>801</v>
      </c>
      <c r="F119" s="24" t="s">
        <v>805</v>
      </c>
      <c r="G119" s="24">
        <v>171269</v>
      </c>
    </row>
    <row r="120" spans="1:7" x14ac:dyDescent="0.25">
      <c r="A120" s="24" t="s">
        <v>111</v>
      </c>
      <c r="B120" s="24" t="s">
        <v>47</v>
      </c>
      <c r="C120" s="24" t="s">
        <v>48</v>
      </c>
      <c r="D120" s="24">
        <v>5</v>
      </c>
      <c r="E120" s="24" t="s">
        <v>801</v>
      </c>
      <c r="F120" s="24" t="s">
        <v>805</v>
      </c>
      <c r="G120" s="24">
        <v>171269</v>
      </c>
    </row>
    <row r="121" spans="1:7" x14ac:dyDescent="0.25">
      <c r="A121" s="24" t="s">
        <v>111</v>
      </c>
      <c r="B121" s="24" t="s">
        <v>50</v>
      </c>
      <c r="C121" s="24" t="s">
        <v>31</v>
      </c>
      <c r="D121" s="24">
        <v>156</v>
      </c>
      <c r="E121" s="24" t="s">
        <v>801</v>
      </c>
      <c r="F121" s="24" t="s">
        <v>805</v>
      </c>
      <c r="G121" s="24">
        <v>171269</v>
      </c>
    </row>
    <row r="122" spans="1:7" x14ac:dyDescent="0.25">
      <c r="A122" s="24" t="s">
        <v>111</v>
      </c>
      <c r="B122" s="24" t="s">
        <v>53</v>
      </c>
      <c r="C122" s="24" t="s">
        <v>31</v>
      </c>
      <c r="D122" s="24">
        <v>11</v>
      </c>
      <c r="E122" s="24" t="s">
        <v>801</v>
      </c>
      <c r="F122" s="24" t="s">
        <v>805</v>
      </c>
      <c r="G122" s="24">
        <v>171269</v>
      </c>
    </row>
    <row r="123" spans="1:7" x14ac:dyDescent="0.25">
      <c r="A123" s="24" t="s">
        <v>111</v>
      </c>
      <c r="B123" s="24" t="s">
        <v>54</v>
      </c>
      <c r="C123" s="24" t="s">
        <v>31</v>
      </c>
      <c r="D123" s="24">
        <v>0</v>
      </c>
      <c r="E123" s="24" t="s">
        <v>801</v>
      </c>
      <c r="F123" s="24" t="s">
        <v>805</v>
      </c>
      <c r="G123" s="24">
        <v>171269</v>
      </c>
    </row>
    <row r="124" spans="1:7" x14ac:dyDescent="0.25">
      <c r="A124" s="24" t="s">
        <v>111</v>
      </c>
      <c r="B124" s="24" t="s">
        <v>55</v>
      </c>
      <c r="C124" s="24" t="s">
        <v>31</v>
      </c>
      <c r="D124" s="24">
        <v>0.4</v>
      </c>
      <c r="E124" s="24" t="s">
        <v>801</v>
      </c>
      <c r="F124" s="24" t="s">
        <v>805</v>
      </c>
      <c r="G124" s="24">
        <v>171269</v>
      </c>
    </row>
    <row r="125" spans="1:7" x14ac:dyDescent="0.25">
      <c r="A125" s="24" t="s">
        <v>111</v>
      </c>
      <c r="B125" s="24" t="s">
        <v>56</v>
      </c>
      <c r="C125" s="24" t="s">
        <v>31</v>
      </c>
      <c r="D125" s="24">
        <v>0</v>
      </c>
      <c r="E125" s="24" t="s">
        <v>801</v>
      </c>
      <c r="F125" s="24" t="s">
        <v>805</v>
      </c>
      <c r="G125" s="24">
        <v>171269</v>
      </c>
    </row>
    <row r="126" spans="1:7" x14ac:dyDescent="0.25">
      <c r="A126" s="24" t="s">
        <v>111</v>
      </c>
      <c r="B126" s="24" t="s">
        <v>57</v>
      </c>
      <c r="C126" s="24" t="s">
        <v>36</v>
      </c>
      <c r="D126" s="24">
        <v>3.1</v>
      </c>
      <c r="E126" s="24" t="s">
        <v>801</v>
      </c>
      <c r="F126" s="24" t="s">
        <v>805</v>
      </c>
      <c r="G126" s="24">
        <v>171269</v>
      </c>
    </row>
    <row r="127" spans="1:7" x14ac:dyDescent="0.25">
      <c r="A127" s="24" t="s">
        <v>111</v>
      </c>
      <c r="B127" s="24" t="s">
        <v>58</v>
      </c>
      <c r="C127" s="24" t="s">
        <v>5</v>
      </c>
      <c r="D127" s="24">
        <v>0</v>
      </c>
      <c r="E127" s="24" t="s">
        <v>795</v>
      </c>
      <c r="F127" s="24"/>
      <c r="G127" s="24"/>
    </row>
    <row r="128" spans="1:7" x14ac:dyDescent="0.25">
      <c r="A128" s="24" t="s">
        <v>111</v>
      </c>
      <c r="B128" s="24" t="s">
        <v>18</v>
      </c>
      <c r="C128" s="24" t="s">
        <v>5</v>
      </c>
      <c r="D128" s="24">
        <v>91.1</v>
      </c>
      <c r="E128" s="24" t="s">
        <v>803</v>
      </c>
      <c r="F128" s="24"/>
      <c r="G128" s="24"/>
    </row>
    <row r="129" spans="1:7" x14ac:dyDescent="0.25">
      <c r="A129" s="24" t="s">
        <v>112</v>
      </c>
      <c r="B129" s="24" t="s">
        <v>58</v>
      </c>
      <c r="C129" s="24" t="s">
        <v>5</v>
      </c>
      <c r="D129" s="24">
        <v>0</v>
      </c>
      <c r="E129" s="24" t="s">
        <v>795</v>
      </c>
      <c r="F129" s="24"/>
      <c r="G129" s="24"/>
    </row>
    <row r="130" spans="1:7" x14ac:dyDescent="0.25">
      <c r="A130" s="24" t="s">
        <v>113</v>
      </c>
      <c r="B130" s="24" t="s">
        <v>23</v>
      </c>
      <c r="C130" s="24" t="s">
        <v>5</v>
      </c>
      <c r="D130" s="24">
        <v>36.700000000000003</v>
      </c>
      <c r="E130" s="24" t="s">
        <v>796</v>
      </c>
      <c r="F130" s="24" t="s">
        <v>806</v>
      </c>
      <c r="G130" s="24">
        <v>173454</v>
      </c>
    </row>
    <row r="131" spans="1:7" x14ac:dyDescent="0.25">
      <c r="A131" s="24" t="s">
        <v>113</v>
      </c>
      <c r="B131" s="24" t="s">
        <v>35</v>
      </c>
      <c r="C131" s="24" t="s">
        <v>36</v>
      </c>
      <c r="D131" s="24">
        <v>0.5</v>
      </c>
      <c r="E131" s="24" t="s">
        <v>796</v>
      </c>
      <c r="F131" s="24" t="s">
        <v>806</v>
      </c>
      <c r="G131" s="24">
        <v>173454</v>
      </c>
    </row>
    <row r="132" spans="1:7" x14ac:dyDescent="0.25">
      <c r="A132" s="24" t="s">
        <v>113</v>
      </c>
      <c r="B132" s="24" t="s">
        <v>37</v>
      </c>
      <c r="C132" s="24" t="s">
        <v>38</v>
      </c>
      <c r="D132" s="24">
        <v>0.6</v>
      </c>
      <c r="E132" s="24" t="s">
        <v>796</v>
      </c>
      <c r="F132" s="24" t="s">
        <v>806</v>
      </c>
      <c r="G132" s="24">
        <v>173454</v>
      </c>
    </row>
    <row r="133" spans="1:7" x14ac:dyDescent="0.25">
      <c r="A133" s="24" t="s">
        <v>113</v>
      </c>
      <c r="B133" s="24" t="s">
        <v>39</v>
      </c>
      <c r="C133" s="24" t="s">
        <v>36</v>
      </c>
      <c r="D133" s="24">
        <v>2.2000000000000002</v>
      </c>
      <c r="E133" s="24" t="s">
        <v>796</v>
      </c>
      <c r="F133" s="24" t="s">
        <v>806</v>
      </c>
      <c r="G133" s="24">
        <v>173454</v>
      </c>
    </row>
    <row r="134" spans="1:7" x14ac:dyDescent="0.25">
      <c r="A134" s="24" t="s">
        <v>113</v>
      </c>
      <c r="B134" s="24" t="s">
        <v>56</v>
      </c>
      <c r="C134" s="24" t="s">
        <v>31</v>
      </c>
      <c r="D134" s="24">
        <v>0.1</v>
      </c>
      <c r="E134" s="24" t="s">
        <v>796</v>
      </c>
      <c r="F134" s="24" t="s">
        <v>806</v>
      </c>
      <c r="G134" s="24">
        <v>173454</v>
      </c>
    </row>
    <row r="135" spans="1:7" x14ac:dyDescent="0.25">
      <c r="A135" s="24" t="s">
        <v>113</v>
      </c>
      <c r="B135" s="24" t="s">
        <v>57</v>
      </c>
      <c r="C135" s="24" t="s">
        <v>36</v>
      </c>
      <c r="D135" s="24">
        <v>16.2</v>
      </c>
      <c r="E135" s="24" t="s">
        <v>796</v>
      </c>
      <c r="F135" s="24" t="s">
        <v>806</v>
      </c>
      <c r="G135" s="24">
        <v>173454</v>
      </c>
    </row>
    <row r="136" spans="1:7" x14ac:dyDescent="0.25">
      <c r="A136" s="24" t="s">
        <v>113</v>
      </c>
      <c r="B136" s="24" t="s">
        <v>58</v>
      </c>
      <c r="C136" s="24" t="s">
        <v>5</v>
      </c>
      <c r="D136" s="24">
        <v>0</v>
      </c>
      <c r="E136" s="24" t="s">
        <v>795</v>
      </c>
      <c r="F136" s="24"/>
      <c r="G136" s="24"/>
    </row>
    <row r="137" spans="1:7" x14ac:dyDescent="0.25">
      <c r="A137" s="24" t="s">
        <v>2</v>
      </c>
      <c r="B137" s="24" t="s">
        <v>58</v>
      </c>
      <c r="C137" s="24" t="s">
        <v>5</v>
      </c>
      <c r="D137" s="24">
        <v>0</v>
      </c>
      <c r="E137" s="24" t="s">
        <v>795</v>
      </c>
      <c r="F137" s="24"/>
      <c r="G137" s="24"/>
    </row>
    <row r="138" spans="1:7" x14ac:dyDescent="0.25">
      <c r="A138" s="24" t="s">
        <v>114</v>
      </c>
      <c r="B138" s="24" t="s">
        <v>20</v>
      </c>
      <c r="C138" s="24" t="s">
        <v>5</v>
      </c>
      <c r="D138" s="24">
        <v>6.1</v>
      </c>
      <c r="E138" s="24" t="s">
        <v>796</v>
      </c>
      <c r="F138" s="24" t="s">
        <v>807</v>
      </c>
      <c r="G138" s="24">
        <v>170876</v>
      </c>
    </row>
    <row r="139" spans="1:7" x14ac:dyDescent="0.25">
      <c r="A139" s="24" t="s">
        <v>114</v>
      </c>
      <c r="B139" s="24" t="s">
        <v>23</v>
      </c>
      <c r="C139" s="24" t="s">
        <v>5</v>
      </c>
      <c r="D139" s="24">
        <v>38.4</v>
      </c>
      <c r="E139" s="24" t="s">
        <v>801</v>
      </c>
      <c r="F139" s="24" t="s">
        <v>807</v>
      </c>
      <c r="G139" s="24">
        <v>170876</v>
      </c>
    </row>
    <row r="140" spans="1:7" x14ac:dyDescent="0.25">
      <c r="A140" s="24" t="s">
        <v>114</v>
      </c>
      <c r="B140" s="24" t="s">
        <v>32</v>
      </c>
      <c r="C140" s="24" t="s">
        <v>33</v>
      </c>
      <c r="D140" s="24">
        <v>258</v>
      </c>
      <c r="E140" s="24" t="s">
        <v>801</v>
      </c>
      <c r="F140" s="24" t="s">
        <v>807</v>
      </c>
      <c r="G140" s="24">
        <v>170876</v>
      </c>
    </row>
    <row r="141" spans="1:7" x14ac:dyDescent="0.25">
      <c r="A141" s="24" t="s">
        <v>114</v>
      </c>
      <c r="B141" s="24" t="s">
        <v>35</v>
      </c>
      <c r="C141" s="24" t="s">
        <v>36</v>
      </c>
      <c r="D141" s="24">
        <v>10.5</v>
      </c>
      <c r="E141" s="24" t="s">
        <v>801</v>
      </c>
      <c r="F141" s="24" t="s">
        <v>807</v>
      </c>
      <c r="G141" s="24">
        <v>170876</v>
      </c>
    </row>
    <row r="142" spans="1:7" x14ac:dyDescent="0.25">
      <c r="A142" s="24" t="s">
        <v>114</v>
      </c>
      <c r="B142" s="24" t="s">
        <v>37</v>
      </c>
      <c r="C142" s="24" t="s">
        <v>38</v>
      </c>
      <c r="D142" s="24">
        <v>0.6</v>
      </c>
      <c r="E142" s="24" t="s">
        <v>801</v>
      </c>
      <c r="F142" s="24" t="s">
        <v>807</v>
      </c>
      <c r="G142" s="24">
        <v>170876</v>
      </c>
    </row>
    <row r="143" spans="1:7" x14ac:dyDescent="0.25">
      <c r="A143" s="24" t="s">
        <v>114</v>
      </c>
      <c r="B143" s="24" t="s">
        <v>39</v>
      </c>
      <c r="C143" s="24" t="s">
        <v>36</v>
      </c>
      <c r="D143" s="24">
        <v>2.2000000000000002</v>
      </c>
      <c r="E143" s="24" t="s">
        <v>801</v>
      </c>
      <c r="F143" s="24" t="s">
        <v>807</v>
      </c>
      <c r="G143" s="24">
        <v>170876</v>
      </c>
    </row>
    <row r="144" spans="1:7" x14ac:dyDescent="0.25">
      <c r="A144" s="24" t="s">
        <v>114</v>
      </c>
      <c r="B144" s="24" t="s">
        <v>40</v>
      </c>
      <c r="C144" s="24" t="s">
        <v>31</v>
      </c>
      <c r="D144" s="24">
        <v>0.3</v>
      </c>
      <c r="E144" s="24" t="s">
        <v>801</v>
      </c>
      <c r="F144" s="24" t="s">
        <v>807</v>
      </c>
      <c r="G144" s="24">
        <v>170876</v>
      </c>
    </row>
    <row r="145" spans="1:7" x14ac:dyDescent="0.25">
      <c r="A145" s="24" t="s">
        <v>114</v>
      </c>
      <c r="B145" s="24" t="s">
        <v>41</v>
      </c>
      <c r="C145" s="24" t="s">
        <v>31</v>
      </c>
      <c r="D145" s="24">
        <v>1.2</v>
      </c>
      <c r="E145" s="24" t="s">
        <v>801</v>
      </c>
      <c r="F145" s="24" t="s">
        <v>807</v>
      </c>
      <c r="G145" s="24">
        <v>170876</v>
      </c>
    </row>
    <row r="146" spans="1:7" x14ac:dyDescent="0.25">
      <c r="A146" s="24" t="s">
        <v>114</v>
      </c>
      <c r="B146" s="24" t="s">
        <v>42</v>
      </c>
      <c r="C146" s="24" t="s">
        <v>43</v>
      </c>
      <c r="D146" s="24">
        <v>0.6</v>
      </c>
      <c r="E146" s="24" t="s">
        <v>801</v>
      </c>
      <c r="F146" s="24" t="s">
        <v>807</v>
      </c>
      <c r="G146" s="24">
        <v>170876</v>
      </c>
    </row>
    <row r="147" spans="1:7" x14ac:dyDescent="0.25">
      <c r="A147" s="24" t="s">
        <v>114</v>
      </c>
      <c r="B147" s="24" t="s">
        <v>44</v>
      </c>
      <c r="C147" s="24" t="s">
        <v>31</v>
      </c>
      <c r="D147" s="24">
        <v>0.3</v>
      </c>
      <c r="E147" s="24" t="s">
        <v>801</v>
      </c>
      <c r="F147" s="24" t="s">
        <v>807</v>
      </c>
      <c r="G147" s="24">
        <v>170876</v>
      </c>
    </row>
    <row r="148" spans="1:7" x14ac:dyDescent="0.25">
      <c r="A148" s="24" t="s">
        <v>114</v>
      </c>
      <c r="B148" s="24" t="s">
        <v>45</v>
      </c>
      <c r="C148" s="24" t="s">
        <v>31</v>
      </c>
      <c r="D148" s="24">
        <v>2.2999999999999998</v>
      </c>
      <c r="E148" s="24" t="s">
        <v>801</v>
      </c>
      <c r="F148" s="24" t="s">
        <v>807</v>
      </c>
      <c r="G148" s="24">
        <v>170876</v>
      </c>
    </row>
    <row r="149" spans="1:7" x14ac:dyDescent="0.25">
      <c r="A149" s="24" t="s">
        <v>114</v>
      </c>
      <c r="B149" s="24" t="s">
        <v>46</v>
      </c>
      <c r="C149" s="24" t="s">
        <v>36</v>
      </c>
      <c r="D149" s="24">
        <v>3.2</v>
      </c>
      <c r="E149" s="24" t="s">
        <v>801</v>
      </c>
      <c r="F149" s="24" t="s">
        <v>807</v>
      </c>
      <c r="G149" s="24">
        <v>170876</v>
      </c>
    </row>
    <row r="150" spans="1:7" x14ac:dyDescent="0.25">
      <c r="A150" s="24" t="s">
        <v>114</v>
      </c>
      <c r="B150" s="24" t="s">
        <v>47</v>
      </c>
      <c r="C150" s="24" t="s">
        <v>48</v>
      </c>
      <c r="D150" s="24">
        <v>37</v>
      </c>
      <c r="E150" s="24" t="s">
        <v>801</v>
      </c>
      <c r="F150" s="24" t="s">
        <v>807</v>
      </c>
      <c r="G150" s="24">
        <v>170876</v>
      </c>
    </row>
    <row r="151" spans="1:7" x14ac:dyDescent="0.25">
      <c r="A151" s="24" t="s">
        <v>114</v>
      </c>
      <c r="B151" s="24" t="s">
        <v>49</v>
      </c>
      <c r="C151" s="24" t="s">
        <v>31</v>
      </c>
      <c r="D151" s="24">
        <v>371</v>
      </c>
      <c r="E151" s="24" t="s">
        <v>801</v>
      </c>
      <c r="F151" s="24" t="s">
        <v>807</v>
      </c>
      <c r="G151" s="24">
        <v>170876</v>
      </c>
    </row>
    <row r="152" spans="1:7" x14ac:dyDescent="0.25">
      <c r="A152" s="24" t="s">
        <v>114</v>
      </c>
      <c r="B152" s="24" t="s">
        <v>50</v>
      </c>
      <c r="C152" s="24" t="s">
        <v>31</v>
      </c>
      <c r="D152" s="24">
        <v>1330</v>
      </c>
      <c r="E152" s="24" t="s">
        <v>801</v>
      </c>
      <c r="F152" s="24" t="s">
        <v>807</v>
      </c>
      <c r="G152" s="24">
        <v>170876</v>
      </c>
    </row>
    <row r="153" spans="1:7" x14ac:dyDescent="0.25">
      <c r="A153" s="24" t="s">
        <v>114</v>
      </c>
      <c r="B153" s="24" t="s">
        <v>53</v>
      </c>
      <c r="C153" s="24" t="s">
        <v>31</v>
      </c>
      <c r="D153" s="24">
        <v>85</v>
      </c>
      <c r="E153" s="24" t="s">
        <v>801</v>
      </c>
      <c r="F153" s="24" t="s">
        <v>807</v>
      </c>
      <c r="G153" s="24">
        <v>170876</v>
      </c>
    </row>
    <row r="154" spans="1:7" x14ac:dyDescent="0.25">
      <c r="A154" s="24" t="s">
        <v>114</v>
      </c>
      <c r="B154" s="24" t="s">
        <v>55</v>
      </c>
      <c r="C154" s="24" t="s">
        <v>31</v>
      </c>
      <c r="D154" s="24">
        <v>3.3</v>
      </c>
      <c r="E154" s="24" t="s">
        <v>801</v>
      </c>
      <c r="F154" s="24" t="s">
        <v>807</v>
      </c>
      <c r="G154" s="24">
        <v>170876</v>
      </c>
    </row>
    <row r="155" spans="1:7" x14ac:dyDescent="0.25">
      <c r="A155" s="24" t="s">
        <v>114</v>
      </c>
      <c r="B155" s="24" t="s">
        <v>56</v>
      </c>
      <c r="C155" s="24" t="s">
        <v>31</v>
      </c>
      <c r="D155" s="24">
        <v>0.1</v>
      </c>
      <c r="E155" s="24" t="s">
        <v>801</v>
      </c>
      <c r="F155" s="24" t="s">
        <v>807</v>
      </c>
      <c r="G155" s="24">
        <v>170876</v>
      </c>
    </row>
    <row r="156" spans="1:7" x14ac:dyDescent="0.25">
      <c r="A156" s="24" t="s">
        <v>114</v>
      </c>
      <c r="B156" s="24" t="s">
        <v>57</v>
      </c>
      <c r="C156" s="24" t="s">
        <v>36</v>
      </c>
      <c r="D156" s="24">
        <v>16.3</v>
      </c>
      <c r="E156" s="24" t="s">
        <v>801</v>
      </c>
      <c r="F156" s="24" t="s">
        <v>807</v>
      </c>
      <c r="G156" s="24">
        <v>170876</v>
      </c>
    </row>
    <row r="157" spans="1:7" x14ac:dyDescent="0.25">
      <c r="A157" s="24" t="s">
        <v>114</v>
      </c>
      <c r="B157" s="24" t="s">
        <v>58</v>
      </c>
      <c r="C157" s="24" t="s">
        <v>5</v>
      </c>
      <c r="D157" s="24">
        <v>0</v>
      </c>
      <c r="E157" s="24" t="s">
        <v>795</v>
      </c>
      <c r="F157" s="24"/>
      <c r="G157" s="24"/>
    </row>
    <row r="158" spans="1:7" x14ac:dyDescent="0.25">
      <c r="A158" s="24" t="s">
        <v>114</v>
      </c>
      <c r="B158" s="24" t="s">
        <v>18</v>
      </c>
      <c r="C158" s="24" t="s">
        <v>5</v>
      </c>
      <c r="D158" s="24">
        <v>4.2</v>
      </c>
      <c r="E158" s="24" t="s">
        <v>803</v>
      </c>
      <c r="F158" s="24"/>
      <c r="G158" s="24"/>
    </row>
    <row r="159" spans="1:7" x14ac:dyDescent="0.25">
      <c r="A159" s="24" t="s">
        <v>115</v>
      </c>
      <c r="B159" s="24" t="s">
        <v>23</v>
      </c>
      <c r="C159" s="24" t="s">
        <v>5</v>
      </c>
      <c r="D159" s="24">
        <v>37.299999999999997</v>
      </c>
      <c r="E159" s="24" t="s">
        <v>796</v>
      </c>
      <c r="F159" s="24" t="s">
        <v>807</v>
      </c>
      <c r="G159" s="24">
        <v>170876</v>
      </c>
    </row>
    <row r="160" spans="1:7" x14ac:dyDescent="0.25">
      <c r="A160" s="24" t="s">
        <v>115</v>
      </c>
      <c r="B160" s="24" t="s">
        <v>34</v>
      </c>
      <c r="C160" s="24" t="s">
        <v>31</v>
      </c>
      <c r="D160" s="24">
        <v>8.3000000000000007</v>
      </c>
      <c r="E160" s="24" t="s">
        <v>796</v>
      </c>
      <c r="F160" s="24" t="s">
        <v>807</v>
      </c>
      <c r="G160" s="24">
        <v>170876</v>
      </c>
    </row>
    <row r="161" spans="1:7" x14ac:dyDescent="0.25">
      <c r="A161" s="24" t="s">
        <v>115</v>
      </c>
      <c r="B161" s="24" t="s">
        <v>35</v>
      </c>
      <c r="C161" s="24" t="s">
        <v>36</v>
      </c>
      <c r="D161" s="24">
        <v>10.199999999999999</v>
      </c>
      <c r="E161" s="24" t="s">
        <v>796</v>
      </c>
      <c r="F161" s="24" t="s">
        <v>807</v>
      </c>
      <c r="G161" s="24">
        <v>170876</v>
      </c>
    </row>
    <row r="162" spans="1:7" x14ac:dyDescent="0.25">
      <c r="A162" s="24" t="s">
        <v>115</v>
      </c>
      <c r="B162" s="24" t="s">
        <v>37</v>
      </c>
      <c r="C162" s="24" t="s">
        <v>38</v>
      </c>
      <c r="D162" s="24">
        <v>0.6</v>
      </c>
      <c r="E162" s="24" t="s">
        <v>796</v>
      </c>
      <c r="F162" s="24" t="s">
        <v>807</v>
      </c>
      <c r="G162" s="24">
        <v>170876</v>
      </c>
    </row>
    <row r="163" spans="1:7" x14ac:dyDescent="0.25">
      <c r="A163" s="24" t="s">
        <v>115</v>
      </c>
      <c r="B163" s="24" t="s">
        <v>39</v>
      </c>
      <c r="C163" s="24" t="s">
        <v>36</v>
      </c>
      <c r="D163" s="24">
        <v>2.1</v>
      </c>
      <c r="E163" s="24" t="s">
        <v>796</v>
      </c>
      <c r="F163" s="24" t="s">
        <v>807</v>
      </c>
      <c r="G163" s="24">
        <v>170876</v>
      </c>
    </row>
    <row r="164" spans="1:7" x14ac:dyDescent="0.25">
      <c r="A164" s="24" t="s">
        <v>115</v>
      </c>
      <c r="B164" s="24" t="s">
        <v>42</v>
      </c>
      <c r="C164" s="24" t="s">
        <v>43</v>
      </c>
      <c r="D164" s="24">
        <v>0.6</v>
      </c>
      <c r="E164" s="24" t="s">
        <v>796</v>
      </c>
      <c r="F164" s="24" t="s">
        <v>807</v>
      </c>
      <c r="G164" s="24">
        <v>170876</v>
      </c>
    </row>
    <row r="165" spans="1:7" x14ac:dyDescent="0.25">
      <c r="A165" s="24" t="s">
        <v>115</v>
      </c>
      <c r="B165" s="24" t="s">
        <v>44</v>
      </c>
      <c r="C165" s="24" t="s">
        <v>31</v>
      </c>
      <c r="D165" s="24">
        <v>0.3</v>
      </c>
      <c r="E165" s="24" t="s">
        <v>796</v>
      </c>
      <c r="F165" s="24" t="s">
        <v>807</v>
      </c>
      <c r="G165" s="24">
        <v>170876</v>
      </c>
    </row>
    <row r="166" spans="1:7" x14ac:dyDescent="0.25">
      <c r="A166" s="24" t="s">
        <v>115</v>
      </c>
      <c r="B166" s="24" t="s">
        <v>45</v>
      </c>
      <c r="C166" s="24" t="s">
        <v>31</v>
      </c>
      <c r="D166" s="24">
        <v>2.2000000000000002</v>
      </c>
      <c r="E166" s="24" t="s">
        <v>796</v>
      </c>
      <c r="F166" s="24" t="s">
        <v>807</v>
      </c>
      <c r="G166" s="24">
        <v>170876</v>
      </c>
    </row>
    <row r="167" spans="1:7" x14ac:dyDescent="0.25">
      <c r="A167" s="24" t="s">
        <v>115</v>
      </c>
      <c r="B167" s="24" t="s">
        <v>46</v>
      </c>
      <c r="C167" s="24" t="s">
        <v>36</v>
      </c>
      <c r="D167" s="24">
        <v>3.2</v>
      </c>
      <c r="E167" s="24" t="s">
        <v>796</v>
      </c>
      <c r="F167" s="24" t="s">
        <v>807</v>
      </c>
      <c r="G167" s="24">
        <v>170876</v>
      </c>
    </row>
    <row r="168" spans="1:7" x14ac:dyDescent="0.25">
      <c r="A168" s="24" t="s">
        <v>115</v>
      </c>
      <c r="B168" s="24" t="s">
        <v>47</v>
      </c>
      <c r="C168" s="24" t="s">
        <v>48</v>
      </c>
      <c r="D168" s="24">
        <v>35.9</v>
      </c>
      <c r="E168" s="24" t="s">
        <v>796</v>
      </c>
      <c r="F168" s="24" t="s">
        <v>807</v>
      </c>
      <c r="G168" s="24">
        <v>170876</v>
      </c>
    </row>
    <row r="169" spans="1:7" x14ac:dyDescent="0.25">
      <c r="A169" s="24" t="s">
        <v>115</v>
      </c>
      <c r="B169" s="24" t="s">
        <v>51</v>
      </c>
      <c r="C169" s="24" t="s">
        <v>31</v>
      </c>
      <c r="D169" s="24">
        <v>884.6</v>
      </c>
      <c r="E169" s="24" t="s">
        <v>796</v>
      </c>
      <c r="F169" s="24" t="s">
        <v>807</v>
      </c>
      <c r="G169" s="24">
        <v>170876</v>
      </c>
    </row>
    <row r="170" spans="1:7" x14ac:dyDescent="0.25">
      <c r="A170" s="24" t="s">
        <v>115</v>
      </c>
      <c r="B170" s="24" t="s">
        <v>53</v>
      </c>
      <c r="C170" s="24" t="s">
        <v>31</v>
      </c>
      <c r="D170" s="24">
        <v>82.4</v>
      </c>
      <c r="E170" s="24" t="s">
        <v>796</v>
      </c>
      <c r="F170" s="24" t="s">
        <v>807</v>
      </c>
      <c r="G170" s="24">
        <v>170876</v>
      </c>
    </row>
    <row r="171" spans="1:7" x14ac:dyDescent="0.25">
      <c r="A171" s="24" t="s">
        <v>115</v>
      </c>
      <c r="B171" s="24" t="s">
        <v>54</v>
      </c>
      <c r="C171" s="24" t="s">
        <v>31</v>
      </c>
      <c r="D171" s="24">
        <v>0.5</v>
      </c>
      <c r="E171" s="24" t="s">
        <v>796</v>
      </c>
      <c r="F171" s="24" t="s">
        <v>807</v>
      </c>
      <c r="G171" s="24">
        <v>170876</v>
      </c>
    </row>
    <row r="172" spans="1:7" x14ac:dyDescent="0.25">
      <c r="A172" s="24" t="s">
        <v>115</v>
      </c>
      <c r="B172" s="24" t="s">
        <v>55</v>
      </c>
      <c r="C172" s="24" t="s">
        <v>31</v>
      </c>
      <c r="D172" s="24">
        <v>3.2</v>
      </c>
      <c r="E172" s="24" t="s">
        <v>796</v>
      </c>
      <c r="F172" s="24" t="s">
        <v>807</v>
      </c>
      <c r="G172" s="24">
        <v>170876</v>
      </c>
    </row>
    <row r="173" spans="1:7" x14ac:dyDescent="0.25">
      <c r="A173" s="24" t="s">
        <v>115</v>
      </c>
      <c r="B173" s="24" t="s">
        <v>56</v>
      </c>
      <c r="C173" s="24" t="s">
        <v>31</v>
      </c>
      <c r="D173" s="24">
        <v>0.1</v>
      </c>
      <c r="E173" s="24" t="s">
        <v>796</v>
      </c>
      <c r="F173" s="24" t="s">
        <v>807</v>
      </c>
      <c r="G173" s="24">
        <v>170876</v>
      </c>
    </row>
    <row r="174" spans="1:7" x14ac:dyDescent="0.25">
      <c r="A174" s="24" t="s">
        <v>115</v>
      </c>
      <c r="B174" s="24" t="s">
        <v>57</v>
      </c>
      <c r="C174" s="24" t="s">
        <v>36</v>
      </c>
      <c r="D174" s="24">
        <v>15.8</v>
      </c>
      <c r="E174" s="24" t="s">
        <v>796</v>
      </c>
      <c r="F174" s="24" t="s">
        <v>807</v>
      </c>
      <c r="G174" s="24">
        <v>170876</v>
      </c>
    </row>
    <row r="175" spans="1:7" x14ac:dyDescent="0.25">
      <c r="A175" s="24" t="s">
        <v>115</v>
      </c>
      <c r="B175" s="24" t="s">
        <v>58</v>
      </c>
      <c r="C175" s="24" t="s">
        <v>5</v>
      </c>
      <c r="D175" s="24">
        <v>0</v>
      </c>
      <c r="E175" s="24" t="s">
        <v>795</v>
      </c>
      <c r="F175" s="24"/>
      <c r="G175" s="24"/>
    </row>
    <row r="176" spans="1:7" x14ac:dyDescent="0.25">
      <c r="A176" s="24" t="s">
        <v>116</v>
      </c>
      <c r="B176" s="24" t="s">
        <v>58</v>
      </c>
      <c r="C176" s="24" t="s">
        <v>5</v>
      </c>
      <c r="D176" s="24">
        <v>0</v>
      </c>
      <c r="E176" s="24" t="s">
        <v>795</v>
      </c>
      <c r="F176" s="24"/>
      <c r="G176" s="24"/>
    </row>
    <row r="177" spans="1:7" x14ac:dyDescent="0.25">
      <c r="A177" s="24" t="s">
        <v>117</v>
      </c>
      <c r="B177" s="24" t="s">
        <v>20</v>
      </c>
      <c r="C177" s="24" t="s">
        <v>5</v>
      </c>
      <c r="D177" s="24">
        <v>7.9</v>
      </c>
      <c r="E177" s="24" t="s">
        <v>796</v>
      </c>
      <c r="F177" s="24" t="s">
        <v>808</v>
      </c>
      <c r="G177" s="24">
        <v>172195</v>
      </c>
    </row>
    <row r="178" spans="1:7" x14ac:dyDescent="0.25">
      <c r="A178" s="24" t="s">
        <v>117</v>
      </c>
      <c r="B178" s="24" t="s">
        <v>24</v>
      </c>
      <c r="C178" s="24" t="s">
        <v>5</v>
      </c>
      <c r="D178" s="24">
        <v>0</v>
      </c>
      <c r="E178" s="24" t="s">
        <v>801</v>
      </c>
      <c r="F178" s="24" t="s">
        <v>808</v>
      </c>
      <c r="G178" s="24">
        <v>172195</v>
      </c>
    </row>
    <row r="179" spans="1:7" x14ac:dyDescent="0.25">
      <c r="A179" s="24" t="s">
        <v>117</v>
      </c>
      <c r="B179" s="24" t="s">
        <v>40</v>
      </c>
      <c r="C179" s="24" t="s">
        <v>31</v>
      </c>
      <c r="D179" s="24">
        <v>0.4</v>
      </c>
      <c r="E179" s="24" t="s">
        <v>801</v>
      </c>
      <c r="F179" s="24" t="s">
        <v>808</v>
      </c>
      <c r="G179" s="24">
        <v>172195</v>
      </c>
    </row>
    <row r="180" spans="1:7" x14ac:dyDescent="0.25">
      <c r="A180" s="24" t="s">
        <v>117</v>
      </c>
      <c r="B180" s="24" t="s">
        <v>41</v>
      </c>
      <c r="C180" s="24" t="s">
        <v>31</v>
      </c>
      <c r="D180" s="24">
        <v>1.6</v>
      </c>
      <c r="E180" s="24" t="s">
        <v>801</v>
      </c>
      <c r="F180" s="24" t="s">
        <v>808</v>
      </c>
      <c r="G180" s="24">
        <v>172195</v>
      </c>
    </row>
    <row r="181" spans="1:7" x14ac:dyDescent="0.25">
      <c r="A181" s="24" t="s">
        <v>117</v>
      </c>
      <c r="B181" s="24" t="s">
        <v>42</v>
      </c>
      <c r="C181" s="24" t="s">
        <v>43</v>
      </c>
      <c r="D181" s="24">
        <v>1</v>
      </c>
      <c r="E181" s="24" t="s">
        <v>801</v>
      </c>
      <c r="F181" s="24" t="s">
        <v>808</v>
      </c>
      <c r="G181" s="24">
        <v>172195</v>
      </c>
    </row>
    <row r="182" spans="1:7" x14ac:dyDescent="0.25">
      <c r="A182" s="24" t="s">
        <v>117</v>
      </c>
      <c r="B182" s="24" t="s">
        <v>44</v>
      </c>
      <c r="C182" s="24" t="s">
        <v>31</v>
      </c>
      <c r="D182" s="24">
        <v>0.4</v>
      </c>
      <c r="E182" s="24" t="s">
        <v>801</v>
      </c>
      <c r="F182" s="24" t="s">
        <v>808</v>
      </c>
      <c r="G182" s="24">
        <v>172195</v>
      </c>
    </row>
    <row r="183" spans="1:7" x14ac:dyDescent="0.25">
      <c r="A183" s="24" t="s">
        <v>117</v>
      </c>
      <c r="B183" s="24" t="s">
        <v>45</v>
      </c>
      <c r="C183" s="24" t="s">
        <v>31</v>
      </c>
      <c r="D183" s="24">
        <v>3.6</v>
      </c>
      <c r="E183" s="24" t="s">
        <v>801</v>
      </c>
      <c r="F183" s="24" t="s">
        <v>808</v>
      </c>
      <c r="G183" s="24">
        <v>172195</v>
      </c>
    </row>
    <row r="184" spans="1:7" x14ac:dyDescent="0.25">
      <c r="A184" s="24" t="s">
        <v>117</v>
      </c>
      <c r="B184" s="24" t="s">
        <v>46</v>
      </c>
      <c r="C184" s="24" t="s">
        <v>36</v>
      </c>
      <c r="D184" s="24">
        <v>4</v>
      </c>
      <c r="E184" s="24" t="s">
        <v>801</v>
      </c>
      <c r="F184" s="24" t="s">
        <v>808</v>
      </c>
      <c r="G184" s="24">
        <v>172195</v>
      </c>
    </row>
    <row r="185" spans="1:7" x14ac:dyDescent="0.25">
      <c r="A185" s="24" t="s">
        <v>117</v>
      </c>
      <c r="B185" s="24" t="s">
        <v>47</v>
      </c>
      <c r="C185" s="24" t="s">
        <v>48</v>
      </c>
      <c r="D185" s="24">
        <v>50</v>
      </c>
      <c r="E185" s="24" t="s">
        <v>801</v>
      </c>
      <c r="F185" s="24" t="s">
        <v>808</v>
      </c>
      <c r="G185" s="24">
        <v>172195</v>
      </c>
    </row>
    <row r="186" spans="1:7" x14ac:dyDescent="0.25">
      <c r="A186" s="24" t="s">
        <v>117</v>
      </c>
      <c r="B186" s="24" t="s">
        <v>50</v>
      </c>
      <c r="C186" s="24" t="s">
        <v>31</v>
      </c>
      <c r="D186" s="24">
        <v>1794</v>
      </c>
      <c r="E186" s="24" t="s">
        <v>801</v>
      </c>
      <c r="F186" s="24" t="s">
        <v>808</v>
      </c>
      <c r="G186" s="24">
        <v>172195</v>
      </c>
    </row>
    <row r="187" spans="1:7" x14ac:dyDescent="0.25">
      <c r="A187" s="24" t="s">
        <v>117</v>
      </c>
      <c r="B187" s="24" t="s">
        <v>56</v>
      </c>
      <c r="C187" s="24" t="s">
        <v>31</v>
      </c>
      <c r="D187" s="24">
        <v>0</v>
      </c>
      <c r="E187" s="24" t="s">
        <v>801</v>
      </c>
      <c r="F187" s="24" t="s">
        <v>808</v>
      </c>
      <c r="G187" s="24">
        <v>172195</v>
      </c>
    </row>
    <row r="188" spans="1:7" x14ac:dyDescent="0.25">
      <c r="A188" s="24" t="s">
        <v>117</v>
      </c>
      <c r="B188" s="24" t="s">
        <v>57</v>
      </c>
      <c r="C188" s="24" t="s">
        <v>36</v>
      </c>
      <c r="D188" s="24">
        <v>27.3</v>
      </c>
      <c r="E188" s="24" t="s">
        <v>801</v>
      </c>
      <c r="F188" s="24" t="s">
        <v>808</v>
      </c>
      <c r="G188" s="24">
        <v>172195</v>
      </c>
    </row>
    <row r="189" spans="1:7" x14ac:dyDescent="0.25">
      <c r="A189" s="24" t="s">
        <v>117</v>
      </c>
      <c r="B189" s="24" t="s">
        <v>58</v>
      </c>
      <c r="C189" s="24" t="s">
        <v>5</v>
      </c>
      <c r="D189" s="24">
        <v>0</v>
      </c>
      <c r="E189" s="24" t="s">
        <v>795</v>
      </c>
      <c r="F189" s="24"/>
      <c r="G189" s="24"/>
    </row>
    <row r="190" spans="1:7" x14ac:dyDescent="0.25">
      <c r="A190" s="24" t="s">
        <v>117</v>
      </c>
      <c r="B190" s="24" t="s">
        <v>18</v>
      </c>
      <c r="C190" s="24" t="s">
        <v>5</v>
      </c>
      <c r="D190" s="24">
        <v>6.8</v>
      </c>
      <c r="E190" s="24" t="s">
        <v>803</v>
      </c>
      <c r="F190" s="24"/>
      <c r="G190" s="24"/>
    </row>
    <row r="191" spans="1:7" x14ac:dyDescent="0.25">
      <c r="A191" s="24" t="s">
        <v>118</v>
      </c>
      <c r="B191" s="24" t="s">
        <v>58</v>
      </c>
      <c r="C191" s="24" t="s">
        <v>5</v>
      </c>
      <c r="D191" s="24">
        <v>0</v>
      </c>
      <c r="E191" s="24" t="s">
        <v>795</v>
      </c>
      <c r="F191" s="24"/>
      <c r="G191" s="24"/>
    </row>
    <row r="192" spans="1:7" x14ac:dyDescent="0.25">
      <c r="A192" s="24" t="s">
        <v>119</v>
      </c>
      <c r="B192" s="24" t="s">
        <v>58</v>
      </c>
      <c r="C192" s="24" t="s">
        <v>5</v>
      </c>
      <c r="D192" s="24">
        <v>0</v>
      </c>
      <c r="E192" s="24" t="s">
        <v>795</v>
      </c>
      <c r="F192" s="24"/>
      <c r="G192" s="24"/>
    </row>
    <row r="193" spans="1:7" x14ac:dyDescent="0.25">
      <c r="A193" s="24" t="s">
        <v>120</v>
      </c>
      <c r="B193" s="24" t="s">
        <v>58</v>
      </c>
      <c r="C193" s="24" t="s">
        <v>5</v>
      </c>
      <c r="D193" s="24">
        <v>0</v>
      </c>
      <c r="E193" s="24" t="s">
        <v>795</v>
      </c>
      <c r="F193" s="24"/>
      <c r="G193" s="24"/>
    </row>
    <row r="194" spans="1:7" x14ac:dyDescent="0.25">
      <c r="A194" s="24" t="s">
        <v>121</v>
      </c>
      <c r="B194" s="24" t="s">
        <v>20</v>
      </c>
      <c r="C194" s="24" t="s">
        <v>5</v>
      </c>
      <c r="D194" s="24">
        <v>1.3</v>
      </c>
      <c r="E194" s="24" t="s">
        <v>809</v>
      </c>
      <c r="F194" s="24"/>
      <c r="G194" s="24"/>
    </row>
    <row r="195" spans="1:7" x14ac:dyDescent="0.25">
      <c r="A195" s="24" t="s">
        <v>121</v>
      </c>
      <c r="B195" s="24" t="s">
        <v>23</v>
      </c>
      <c r="C195" s="24" t="s">
        <v>5</v>
      </c>
      <c r="D195" s="24">
        <v>2.7</v>
      </c>
      <c r="E195" s="24" t="s">
        <v>796</v>
      </c>
      <c r="F195" s="24" t="s">
        <v>810</v>
      </c>
      <c r="G195" s="24">
        <v>173417</v>
      </c>
    </row>
    <row r="196" spans="1:7" x14ac:dyDescent="0.25">
      <c r="A196" s="24" t="s">
        <v>121</v>
      </c>
      <c r="B196" s="24" t="s">
        <v>35</v>
      </c>
      <c r="C196" s="24" t="s">
        <v>36</v>
      </c>
      <c r="D196" s="24">
        <v>0</v>
      </c>
      <c r="E196" s="24" t="s">
        <v>796</v>
      </c>
      <c r="F196" s="24" t="s">
        <v>810</v>
      </c>
      <c r="G196" s="24">
        <v>173417</v>
      </c>
    </row>
    <row r="197" spans="1:7" x14ac:dyDescent="0.25">
      <c r="A197" s="24" t="s">
        <v>121</v>
      </c>
      <c r="B197" s="24" t="s">
        <v>39</v>
      </c>
      <c r="C197" s="24" t="s">
        <v>36</v>
      </c>
      <c r="D197" s="24">
        <v>0.1</v>
      </c>
      <c r="E197" s="24" t="s">
        <v>796</v>
      </c>
      <c r="F197" s="24" t="s">
        <v>810</v>
      </c>
      <c r="G197" s="24">
        <v>173417</v>
      </c>
    </row>
    <row r="198" spans="1:7" x14ac:dyDescent="0.25">
      <c r="A198" s="24" t="s">
        <v>121</v>
      </c>
      <c r="B198" s="24" t="s">
        <v>58</v>
      </c>
      <c r="C198" s="24" t="s">
        <v>5</v>
      </c>
      <c r="D198" s="24">
        <v>0</v>
      </c>
      <c r="E198" s="24" t="s">
        <v>795</v>
      </c>
      <c r="F198" s="24"/>
      <c r="G198" s="24"/>
    </row>
    <row r="199" spans="1:7" x14ac:dyDescent="0.25">
      <c r="A199" s="24" t="s">
        <v>122</v>
      </c>
      <c r="B199" s="24" t="s">
        <v>20</v>
      </c>
      <c r="C199" s="24" t="s">
        <v>5</v>
      </c>
      <c r="D199" s="24">
        <v>1.7</v>
      </c>
      <c r="E199" s="24" t="s">
        <v>796</v>
      </c>
      <c r="F199" s="24" t="s">
        <v>811</v>
      </c>
      <c r="G199" s="24">
        <v>172181</v>
      </c>
    </row>
    <row r="200" spans="1:7" x14ac:dyDescent="0.25">
      <c r="A200" s="24" t="s">
        <v>122</v>
      </c>
      <c r="B200" s="24" t="s">
        <v>24</v>
      </c>
      <c r="C200" s="24" t="s">
        <v>5</v>
      </c>
      <c r="D200" s="24">
        <v>0</v>
      </c>
      <c r="E200" s="24" t="s">
        <v>801</v>
      </c>
      <c r="F200" s="24" t="s">
        <v>811</v>
      </c>
      <c r="G200" s="24">
        <v>172181</v>
      </c>
    </row>
    <row r="201" spans="1:7" x14ac:dyDescent="0.25">
      <c r="A201" s="24" t="s">
        <v>122</v>
      </c>
      <c r="B201" s="24" t="s">
        <v>32</v>
      </c>
      <c r="C201" s="24" t="s">
        <v>33</v>
      </c>
      <c r="D201" s="24">
        <v>2</v>
      </c>
      <c r="E201" s="24" t="s">
        <v>801</v>
      </c>
      <c r="F201" s="24" t="s">
        <v>811</v>
      </c>
      <c r="G201" s="24">
        <v>172181</v>
      </c>
    </row>
    <row r="202" spans="1:7" x14ac:dyDescent="0.25">
      <c r="A202" s="24" t="s">
        <v>122</v>
      </c>
      <c r="B202" s="24" t="s">
        <v>34</v>
      </c>
      <c r="C202" s="24" t="s">
        <v>31</v>
      </c>
      <c r="D202" s="24">
        <v>0</v>
      </c>
      <c r="E202" s="24" t="s">
        <v>801</v>
      </c>
      <c r="F202" s="24" t="s">
        <v>811</v>
      </c>
      <c r="G202" s="24">
        <v>172181</v>
      </c>
    </row>
    <row r="203" spans="1:7" x14ac:dyDescent="0.25">
      <c r="A203" s="24" t="s">
        <v>122</v>
      </c>
      <c r="B203" s="24" t="s">
        <v>35</v>
      </c>
      <c r="C203" s="24" t="s">
        <v>36</v>
      </c>
      <c r="D203" s="24">
        <v>0</v>
      </c>
      <c r="E203" s="24" t="s">
        <v>801</v>
      </c>
      <c r="F203" s="24" t="s">
        <v>811</v>
      </c>
      <c r="G203" s="24">
        <v>172181</v>
      </c>
    </row>
    <row r="204" spans="1:7" x14ac:dyDescent="0.25">
      <c r="A204" s="24" t="s">
        <v>122</v>
      </c>
      <c r="B204" s="24" t="s">
        <v>37</v>
      </c>
      <c r="C204" s="24" t="s">
        <v>38</v>
      </c>
      <c r="D204" s="24">
        <v>0</v>
      </c>
      <c r="E204" s="24" t="s">
        <v>801</v>
      </c>
      <c r="F204" s="24" t="s">
        <v>811</v>
      </c>
      <c r="G204" s="24">
        <v>172181</v>
      </c>
    </row>
    <row r="205" spans="1:7" x14ac:dyDescent="0.25">
      <c r="A205" s="24" t="s">
        <v>122</v>
      </c>
      <c r="B205" s="24" t="s">
        <v>39</v>
      </c>
      <c r="C205" s="24" t="s">
        <v>36</v>
      </c>
      <c r="D205" s="24">
        <v>0</v>
      </c>
      <c r="E205" s="24" t="s">
        <v>801</v>
      </c>
      <c r="F205" s="24" t="s">
        <v>811</v>
      </c>
      <c r="G205" s="24">
        <v>172181</v>
      </c>
    </row>
    <row r="206" spans="1:7" x14ac:dyDescent="0.25">
      <c r="A206" s="24" t="s">
        <v>122</v>
      </c>
      <c r="B206" s="24" t="s">
        <v>40</v>
      </c>
      <c r="C206" s="24" t="s">
        <v>31</v>
      </c>
      <c r="D206" s="24">
        <v>0</v>
      </c>
      <c r="E206" s="24" t="s">
        <v>801</v>
      </c>
      <c r="F206" s="24" t="s">
        <v>811</v>
      </c>
      <c r="G206" s="24">
        <v>172181</v>
      </c>
    </row>
    <row r="207" spans="1:7" x14ac:dyDescent="0.25">
      <c r="A207" s="24" t="s">
        <v>122</v>
      </c>
      <c r="B207" s="24" t="s">
        <v>41</v>
      </c>
      <c r="C207" s="24" t="s">
        <v>31</v>
      </c>
      <c r="D207" s="24">
        <v>0.2</v>
      </c>
      <c r="E207" s="24" t="s">
        <v>801</v>
      </c>
      <c r="F207" s="24" t="s">
        <v>811</v>
      </c>
      <c r="G207" s="24">
        <v>172181</v>
      </c>
    </row>
    <row r="208" spans="1:7" x14ac:dyDescent="0.25">
      <c r="A208" s="24" t="s">
        <v>122</v>
      </c>
      <c r="B208" s="24" t="s">
        <v>42</v>
      </c>
      <c r="C208" s="24" t="s">
        <v>43</v>
      </c>
      <c r="D208" s="24">
        <v>0.1</v>
      </c>
      <c r="E208" s="24" t="s">
        <v>801</v>
      </c>
      <c r="F208" s="24" t="s">
        <v>811</v>
      </c>
      <c r="G208" s="24">
        <v>172181</v>
      </c>
    </row>
    <row r="209" spans="1:7" x14ac:dyDescent="0.25">
      <c r="A209" s="24" t="s">
        <v>122</v>
      </c>
      <c r="B209" s="24" t="s">
        <v>44</v>
      </c>
      <c r="C209" s="24" t="s">
        <v>31</v>
      </c>
      <c r="D209" s="24">
        <v>0</v>
      </c>
      <c r="E209" s="24" t="s">
        <v>801</v>
      </c>
      <c r="F209" s="24" t="s">
        <v>811</v>
      </c>
      <c r="G209" s="24">
        <v>172181</v>
      </c>
    </row>
    <row r="210" spans="1:7" x14ac:dyDescent="0.25">
      <c r="A210" s="24" t="s">
        <v>122</v>
      </c>
      <c r="B210" s="24" t="s">
        <v>45</v>
      </c>
      <c r="C210" s="24" t="s">
        <v>31</v>
      </c>
      <c r="D210" s="24">
        <v>0.4</v>
      </c>
      <c r="E210" s="24" t="s">
        <v>801</v>
      </c>
      <c r="F210" s="24" t="s">
        <v>811</v>
      </c>
      <c r="G210" s="24">
        <v>172181</v>
      </c>
    </row>
    <row r="211" spans="1:7" x14ac:dyDescent="0.25">
      <c r="A211" s="24" t="s">
        <v>122</v>
      </c>
      <c r="B211" s="24" t="s">
        <v>46</v>
      </c>
      <c r="C211" s="24" t="s">
        <v>36</v>
      </c>
      <c r="D211" s="24">
        <v>0.5</v>
      </c>
      <c r="E211" s="24" t="s">
        <v>801</v>
      </c>
      <c r="F211" s="24" t="s">
        <v>811</v>
      </c>
      <c r="G211" s="24">
        <v>172181</v>
      </c>
    </row>
    <row r="212" spans="1:7" x14ac:dyDescent="0.25">
      <c r="A212" s="24" t="s">
        <v>122</v>
      </c>
      <c r="B212" s="24" t="s">
        <v>47</v>
      </c>
      <c r="C212" s="24" t="s">
        <v>48</v>
      </c>
      <c r="D212" s="24">
        <v>9</v>
      </c>
      <c r="E212" s="24" t="s">
        <v>801</v>
      </c>
      <c r="F212" s="24" t="s">
        <v>811</v>
      </c>
      <c r="G212" s="24">
        <v>172181</v>
      </c>
    </row>
    <row r="213" spans="1:7" x14ac:dyDescent="0.25">
      <c r="A213" s="24" t="s">
        <v>122</v>
      </c>
      <c r="B213" s="24" t="s">
        <v>50</v>
      </c>
      <c r="C213" s="24" t="s">
        <v>31</v>
      </c>
      <c r="D213" s="24">
        <v>137</v>
      </c>
      <c r="E213" s="24" t="s">
        <v>801</v>
      </c>
      <c r="F213" s="24" t="s">
        <v>811</v>
      </c>
      <c r="G213" s="24">
        <v>172181</v>
      </c>
    </row>
    <row r="214" spans="1:7" x14ac:dyDescent="0.25">
      <c r="A214" s="24" t="s">
        <v>122</v>
      </c>
      <c r="B214" s="24" t="s">
        <v>52</v>
      </c>
      <c r="C214" s="24" t="s">
        <v>31</v>
      </c>
      <c r="D214" s="24">
        <v>190</v>
      </c>
      <c r="E214" s="24" t="s">
        <v>801</v>
      </c>
      <c r="F214" s="24" t="s">
        <v>811</v>
      </c>
      <c r="G214" s="24">
        <v>172181</v>
      </c>
    </row>
    <row r="215" spans="1:7" x14ac:dyDescent="0.25">
      <c r="A215" s="24" t="s">
        <v>122</v>
      </c>
      <c r="B215" s="24" t="s">
        <v>53</v>
      </c>
      <c r="C215" s="24" t="s">
        <v>31</v>
      </c>
      <c r="D215" s="24">
        <v>11</v>
      </c>
      <c r="E215" s="24" t="s">
        <v>801</v>
      </c>
      <c r="F215" s="24" t="s">
        <v>811</v>
      </c>
      <c r="G215" s="24">
        <v>172181</v>
      </c>
    </row>
    <row r="216" spans="1:7" x14ac:dyDescent="0.25">
      <c r="A216" s="24" t="s">
        <v>122</v>
      </c>
      <c r="B216" s="24" t="s">
        <v>54</v>
      </c>
      <c r="C216" s="24" t="s">
        <v>31</v>
      </c>
      <c r="D216" s="24">
        <v>0.1</v>
      </c>
      <c r="E216" s="24" t="s">
        <v>801</v>
      </c>
      <c r="F216" s="24" t="s">
        <v>811</v>
      </c>
      <c r="G216" s="24">
        <v>172181</v>
      </c>
    </row>
    <row r="217" spans="1:7" x14ac:dyDescent="0.25">
      <c r="A217" s="24" t="s">
        <v>122</v>
      </c>
      <c r="B217" s="24" t="s">
        <v>55</v>
      </c>
      <c r="C217" s="24" t="s">
        <v>31</v>
      </c>
      <c r="D217" s="24">
        <v>0.5</v>
      </c>
      <c r="E217" s="24" t="s">
        <v>801</v>
      </c>
      <c r="F217" s="24" t="s">
        <v>811</v>
      </c>
      <c r="G217" s="24">
        <v>172181</v>
      </c>
    </row>
    <row r="218" spans="1:7" x14ac:dyDescent="0.25">
      <c r="A218" s="24" t="s">
        <v>122</v>
      </c>
      <c r="B218" s="24" t="s">
        <v>56</v>
      </c>
      <c r="C218" s="24" t="s">
        <v>31</v>
      </c>
      <c r="D218" s="24">
        <v>0</v>
      </c>
      <c r="E218" s="24" t="s">
        <v>801</v>
      </c>
      <c r="F218" s="24" t="s">
        <v>811</v>
      </c>
      <c r="G218" s="24">
        <v>172181</v>
      </c>
    </row>
    <row r="219" spans="1:7" x14ac:dyDescent="0.25">
      <c r="A219" s="24" t="s">
        <v>122</v>
      </c>
      <c r="B219" s="24" t="s">
        <v>57</v>
      </c>
      <c r="C219" s="24" t="s">
        <v>36</v>
      </c>
      <c r="D219" s="24">
        <v>9.4</v>
      </c>
      <c r="E219" s="24" t="s">
        <v>801</v>
      </c>
      <c r="F219" s="24" t="s">
        <v>811</v>
      </c>
      <c r="G219" s="24">
        <v>172181</v>
      </c>
    </row>
    <row r="220" spans="1:7" x14ac:dyDescent="0.25">
      <c r="A220" s="24" t="s">
        <v>122</v>
      </c>
      <c r="B220" s="24" t="s">
        <v>58</v>
      </c>
      <c r="C220" s="24" t="s">
        <v>5</v>
      </c>
      <c r="D220" s="24">
        <v>0</v>
      </c>
      <c r="E220" s="24" t="s">
        <v>795</v>
      </c>
      <c r="F220" s="24"/>
      <c r="G220" s="24"/>
    </row>
    <row r="221" spans="1:7" x14ac:dyDescent="0.25">
      <c r="A221" s="24" t="s">
        <v>122</v>
      </c>
      <c r="B221" s="24" t="s">
        <v>18</v>
      </c>
      <c r="C221" s="24" t="s">
        <v>5</v>
      </c>
      <c r="D221" s="24">
        <v>78.7</v>
      </c>
      <c r="E221" s="24" t="s">
        <v>803</v>
      </c>
      <c r="F221" s="24"/>
      <c r="G221" s="24"/>
    </row>
    <row r="222" spans="1:7" x14ac:dyDescent="0.25">
      <c r="A222" s="24" t="s">
        <v>123</v>
      </c>
      <c r="B222" s="24" t="s">
        <v>20</v>
      </c>
      <c r="C222" s="24" t="s">
        <v>5</v>
      </c>
      <c r="D222" s="24">
        <v>1.3</v>
      </c>
      <c r="E222" s="24" t="s">
        <v>796</v>
      </c>
      <c r="F222" s="24" t="s">
        <v>812</v>
      </c>
      <c r="G222" s="24">
        <v>172182</v>
      </c>
    </row>
    <row r="223" spans="1:7" x14ac:dyDescent="0.25">
      <c r="A223" s="24" t="s">
        <v>123</v>
      </c>
      <c r="B223" s="24" t="s">
        <v>24</v>
      </c>
      <c r="C223" s="24" t="s">
        <v>5</v>
      </c>
      <c r="D223" s="24">
        <v>0</v>
      </c>
      <c r="E223" s="24" t="s">
        <v>801</v>
      </c>
      <c r="F223" s="24" t="s">
        <v>812</v>
      </c>
      <c r="G223" s="24">
        <v>172182</v>
      </c>
    </row>
    <row r="224" spans="1:7" x14ac:dyDescent="0.25">
      <c r="A224" s="24" t="s">
        <v>123</v>
      </c>
      <c r="B224" s="24" t="s">
        <v>32</v>
      </c>
      <c r="C224" s="24" t="s">
        <v>33</v>
      </c>
      <c r="D224" s="24">
        <v>68</v>
      </c>
      <c r="E224" s="24" t="s">
        <v>801</v>
      </c>
      <c r="F224" s="24" t="s">
        <v>812</v>
      </c>
      <c r="G224" s="24">
        <v>172182</v>
      </c>
    </row>
    <row r="225" spans="1:7" x14ac:dyDescent="0.25">
      <c r="A225" s="24" t="s">
        <v>123</v>
      </c>
      <c r="B225" s="24" t="s">
        <v>34</v>
      </c>
      <c r="C225" s="24" t="s">
        <v>31</v>
      </c>
      <c r="D225" s="24">
        <v>0</v>
      </c>
      <c r="E225" s="24" t="s">
        <v>801</v>
      </c>
      <c r="F225" s="24" t="s">
        <v>812</v>
      </c>
      <c r="G225" s="24">
        <v>172182</v>
      </c>
    </row>
    <row r="226" spans="1:7" x14ac:dyDescent="0.25">
      <c r="A226" s="24" t="s">
        <v>123</v>
      </c>
      <c r="B226" s="24" t="s">
        <v>35</v>
      </c>
      <c r="C226" s="24" t="s">
        <v>36</v>
      </c>
      <c r="D226" s="24">
        <v>0</v>
      </c>
      <c r="E226" s="24" t="s">
        <v>801</v>
      </c>
      <c r="F226" s="24" t="s">
        <v>812</v>
      </c>
      <c r="G226" s="24">
        <v>172182</v>
      </c>
    </row>
    <row r="227" spans="1:7" x14ac:dyDescent="0.25">
      <c r="A227" s="24" t="s">
        <v>123</v>
      </c>
      <c r="B227" s="24" t="s">
        <v>37</v>
      </c>
      <c r="C227" s="24" t="s">
        <v>38</v>
      </c>
      <c r="D227" s="24">
        <v>0.1</v>
      </c>
      <c r="E227" s="24" t="s">
        <v>801</v>
      </c>
      <c r="F227" s="24" t="s">
        <v>812</v>
      </c>
      <c r="G227" s="24">
        <v>172182</v>
      </c>
    </row>
    <row r="228" spans="1:7" x14ac:dyDescent="0.25">
      <c r="A228" s="24" t="s">
        <v>123</v>
      </c>
      <c r="B228" s="24" t="s">
        <v>39</v>
      </c>
      <c r="C228" s="24" t="s">
        <v>36</v>
      </c>
      <c r="D228" s="24">
        <v>0</v>
      </c>
      <c r="E228" s="24" t="s">
        <v>801</v>
      </c>
      <c r="F228" s="24" t="s">
        <v>812</v>
      </c>
      <c r="G228" s="24">
        <v>172182</v>
      </c>
    </row>
    <row r="229" spans="1:7" x14ac:dyDescent="0.25">
      <c r="A229" s="24" t="s">
        <v>123</v>
      </c>
      <c r="B229" s="24" t="s">
        <v>40</v>
      </c>
      <c r="C229" s="24" t="s">
        <v>31</v>
      </c>
      <c r="D229" s="24">
        <v>0</v>
      </c>
      <c r="E229" s="24" t="s">
        <v>801</v>
      </c>
      <c r="F229" s="24" t="s">
        <v>812</v>
      </c>
      <c r="G229" s="24">
        <v>172182</v>
      </c>
    </row>
    <row r="230" spans="1:7" x14ac:dyDescent="0.25">
      <c r="A230" s="24" t="s">
        <v>123</v>
      </c>
      <c r="B230" s="24" t="s">
        <v>41</v>
      </c>
      <c r="C230" s="24" t="s">
        <v>31</v>
      </c>
      <c r="D230" s="24">
        <v>0.3</v>
      </c>
      <c r="E230" s="24" t="s">
        <v>801</v>
      </c>
      <c r="F230" s="24" t="s">
        <v>812</v>
      </c>
      <c r="G230" s="24">
        <v>172182</v>
      </c>
    </row>
    <row r="231" spans="1:7" x14ac:dyDescent="0.25">
      <c r="A231" s="24" t="s">
        <v>123</v>
      </c>
      <c r="B231" s="24" t="s">
        <v>42</v>
      </c>
      <c r="C231" s="24" t="s">
        <v>43</v>
      </c>
      <c r="D231" s="24">
        <v>0.1</v>
      </c>
      <c r="E231" s="24" t="s">
        <v>801</v>
      </c>
      <c r="F231" s="24" t="s">
        <v>812</v>
      </c>
      <c r="G231" s="24">
        <v>172182</v>
      </c>
    </row>
    <row r="232" spans="1:7" x14ac:dyDescent="0.25">
      <c r="A232" s="24" t="s">
        <v>123</v>
      </c>
      <c r="B232" s="24" t="s">
        <v>44</v>
      </c>
      <c r="C232" s="24" t="s">
        <v>31</v>
      </c>
      <c r="D232" s="24">
        <v>0.1</v>
      </c>
      <c r="E232" s="24" t="s">
        <v>801</v>
      </c>
      <c r="F232" s="24" t="s">
        <v>812</v>
      </c>
      <c r="G232" s="24">
        <v>172182</v>
      </c>
    </row>
    <row r="233" spans="1:7" x14ac:dyDescent="0.25">
      <c r="A233" s="24" t="s">
        <v>123</v>
      </c>
      <c r="B233" s="24" t="s">
        <v>45</v>
      </c>
      <c r="C233" s="24" t="s">
        <v>31</v>
      </c>
      <c r="D233" s="24">
        <v>0.5</v>
      </c>
      <c r="E233" s="24" t="s">
        <v>801</v>
      </c>
      <c r="F233" s="24" t="s">
        <v>812</v>
      </c>
      <c r="G233" s="24">
        <v>172182</v>
      </c>
    </row>
    <row r="234" spans="1:7" x14ac:dyDescent="0.25">
      <c r="A234" s="24" t="s">
        <v>123</v>
      </c>
      <c r="B234" s="24" t="s">
        <v>46</v>
      </c>
      <c r="C234" s="24" t="s">
        <v>36</v>
      </c>
      <c r="D234" s="24">
        <v>0.5</v>
      </c>
      <c r="E234" s="24" t="s">
        <v>801</v>
      </c>
      <c r="F234" s="24" t="s">
        <v>812</v>
      </c>
      <c r="G234" s="24">
        <v>172182</v>
      </c>
    </row>
    <row r="235" spans="1:7" x14ac:dyDescent="0.25">
      <c r="A235" s="24" t="s">
        <v>123</v>
      </c>
      <c r="B235" s="24" t="s">
        <v>47</v>
      </c>
      <c r="C235" s="24" t="s">
        <v>48</v>
      </c>
      <c r="D235" s="24">
        <v>8</v>
      </c>
      <c r="E235" s="24" t="s">
        <v>801</v>
      </c>
      <c r="F235" s="24" t="s">
        <v>812</v>
      </c>
      <c r="G235" s="24">
        <v>172182</v>
      </c>
    </row>
    <row r="236" spans="1:7" x14ac:dyDescent="0.25">
      <c r="A236" s="24" t="s">
        <v>123</v>
      </c>
      <c r="B236" s="24" t="s">
        <v>50</v>
      </c>
      <c r="C236" s="24" t="s">
        <v>31</v>
      </c>
      <c r="D236" s="24">
        <v>125</v>
      </c>
      <c r="E236" s="24" t="s">
        <v>801</v>
      </c>
      <c r="F236" s="24" t="s">
        <v>812</v>
      </c>
      <c r="G236" s="24">
        <v>172182</v>
      </c>
    </row>
    <row r="237" spans="1:7" x14ac:dyDescent="0.25">
      <c r="A237" s="24" t="s">
        <v>123</v>
      </c>
      <c r="B237" s="24" t="s">
        <v>52</v>
      </c>
      <c r="C237" s="24" t="s">
        <v>31</v>
      </c>
      <c r="D237" s="24">
        <v>150</v>
      </c>
      <c r="E237" s="24" t="s">
        <v>801</v>
      </c>
      <c r="F237" s="24" t="s">
        <v>812</v>
      </c>
      <c r="G237" s="24">
        <v>172182</v>
      </c>
    </row>
    <row r="238" spans="1:7" x14ac:dyDescent="0.25">
      <c r="A238" s="24" t="s">
        <v>123</v>
      </c>
      <c r="B238" s="24" t="s">
        <v>53</v>
      </c>
      <c r="C238" s="24" t="s">
        <v>31</v>
      </c>
      <c r="D238" s="24">
        <v>9</v>
      </c>
      <c r="E238" s="24" t="s">
        <v>801</v>
      </c>
      <c r="F238" s="24" t="s">
        <v>812</v>
      </c>
      <c r="G238" s="24">
        <v>172182</v>
      </c>
    </row>
    <row r="239" spans="1:7" x14ac:dyDescent="0.25">
      <c r="A239" s="24" t="s">
        <v>123</v>
      </c>
      <c r="B239" s="24" t="s">
        <v>54</v>
      </c>
      <c r="C239" s="24" t="s">
        <v>31</v>
      </c>
      <c r="D239" s="24">
        <v>0.1</v>
      </c>
      <c r="E239" s="24" t="s">
        <v>801</v>
      </c>
      <c r="F239" s="24" t="s">
        <v>812</v>
      </c>
      <c r="G239" s="24">
        <v>172182</v>
      </c>
    </row>
    <row r="240" spans="1:7" x14ac:dyDescent="0.25">
      <c r="A240" s="24" t="s">
        <v>123</v>
      </c>
      <c r="B240" s="24" t="s">
        <v>55</v>
      </c>
      <c r="C240" s="24" t="s">
        <v>31</v>
      </c>
      <c r="D240" s="24">
        <v>0.5</v>
      </c>
      <c r="E240" s="24" t="s">
        <v>801</v>
      </c>
      <c r="F240" s="24" t="s">
        <v>812</v>
      </c>
      <c r="G240" s="24">
        <v>172182</v>
      </c>
    </row>
    <row r="241" spans="1:7" x14ac:dyDescent="0.25">
      <c r="A241" s="24" t="s">
        <v>123</v>
      </c>
      <c r="B241" s="24" t="s">
        <v>56</v>
      </c>
      <c r="C241" s="24" t="s">
        <v>31</v>
      </c>
      <c r="D241" s="24">
        <v>0</v>
      </c>
      <c r="E241" s="24" t="s">
        <v>801</v>
      </c>
      <c r="F241" s="24" t="s">
        <v>812</v>
      </c>
      <c r="G241" s="24">
        <v>172182</v>
      </c>
    </row>
    <row r="242" spans="1:7" x14ac:dyDescent="0.25">
      <c r="A242" s="24" t="s">
        <v>123</v>
      </c>
      <c r="B242" s="24" t="s">
        <v>57</v>
      </c>
      <c r="C242" s="24" t="s">
        <v>36</v>
      </c>
      <c r="D242" s="24">
        <v>11.9</v>
      </c>
      <c r="E242" s="24" t="s">
        <v>801</v>
      </c>
      <c r="F242" s="24" t="s">
        <v>812</v>
      </c>
      <c r="G242" s="24">
        <v>172182</v>
      </c>
    </row>
    <row r="243" spans="1:7" x14ac:dyDescent="0.25">
      <c r="A243" s="24" t="s">
        <v>123</v>
      </c>
      <c r="B243" s="24" t="s">
        <v>58</v>
      </c>
      <c r="C243" s="24" t="s">
        <v>5</v>
      </c>
      <c r="D243" s="24">
        <v>0</v>
      </c>
      <c r="E243" s="24" t="s">
        <v>795</v>
      </c>
      <c r="F243" s="24"/>
      <c r="G243" s="24"/>
    </row>
    <row r="244" spans="1:7" x14ac:dyDescent="0.25">
      <c r="A244" s="24" t="s">
        <v>123</v>
      </c>
      <c r="B244" s="24" t="s">
        <v>18</v>
      </c>
      <c r="C244" s="24" t="s">
        <v>5</v>
      </c>
      <c r="D244" s="24">
        <v>72.2</v>
      </c>
      <c r="E244" s="24" t="s">
        <v>803</v>
      </c>
      <c r="F244" s="24"/>
      <c r="G244" s="24"/>
    </row>
    <row r="245" spans="1:7" x14ac:dyDescent="0.25">
      <c r="A245" s="24" t="s">
        <v>124</v>
      </c>
      <c r="B245" s="24" t="s">
        <v>58</v>
      </c>
      <c r="C245" s="24" t="s">
        <v>5</v>
      </c>
      <c r="D245" s="24">
        <v>0</v>
      </c>
      <c r="E245" s="24" t="s">
        <v>795</v>
      </c>
      <c r="F245" s="24"/>
      <c r="G245" s="24"/>
    </row>
    <row r="246" spans="1:7" x14ac:dyDescent="0.25">
      <c r="A246" s="24" t="s">
        <v>125</v>
      </c>
      <c r="B246" s="24" t="s">
        <v>32</v>
      </c>
      <c r="C246" s="24" t="s">
        <v>33</v>
      </c>
      <c r="D246" s="24">
        <v>161.19999999999999</v>
      </c>
      <c r="E246" s="24" t="s">
        <v>796</v>
      </c>
      <c r="F246" s="24" t="s">
        <v>813</v>
      </c>
      <c r="G246" s="24">
        <v>171241</v>
      </c>
    </row>
    <row r="247" spans="1:7" x14ac:dyDescent="0.25">
      <c r="A247" s="24" t="s">
        <v>125</v>
      </c>
      <c r="B247" s="24" t="s">
        <v>34</v>
      </c>
      <c r="C247" s="24" t="s">
        <v>31</v>
      </c>
      <c r="D247" s="24">
        <v>0</v>
      </c>
      <c r="E247" s="24" t="s">
        <v>796</v>
      </c>
      <c r="F247" s="24" t="s">
        <v>813</v>
      </c>
      <c r="G247" s="24">
        <v>171241</v>
      </c>
    </row>
    <row r="248" spans="1:7" x14ac:dyDescent="0.25">
      <c r="A248" s="24" t="s">
        <v>125</v>
      </c>
      <c r="B248" s="24" t="s">
        <v>35</v>
      </c>
      <c r="C248" s="24" t="s">
        <v>36</v>
      </c>
      <c r="D248" s="24">
        <v>0.5</v>
      </c>
      <c r="E248" s="24" t="s">
        <v>796</v>
      </c>
      <c r="F248" s="24" t="s">
        <v>813</v>
      </c>
      <c r="G248" s="24">
        <v>171241</v>
      </c>
    </row>
    <row r="249" spans="1:7" x14ac:dyDescent="0.25">
      <c r="A249" s="24" t="s">
        <v>125</v>
      </c>
      <c r="B249" s="24" t="s">
        <v>37</v>
      </c>
      <c r="C249" s="24" t="s">
        <v>38</v>
      </c>
      <c r="D249" s="24">
        <v>0.2</v>
      </c>
      <c r="E249" s="24" t="s">
        <v>796</v>
      </c>
      <c r="F249" s="24" t="s">
        <v>813</v>
      </c>
      <c r="G249" s="24">
        <v>171241</v>
      </c>
    </row>
    <row r="250" spans="1:7" x14ac:dyDescent="0.25">
      <c r="A250" s="24" t="s">
        <v>125</v>
      </c>
      <c r="B250" s="24" t="s">
        <v>39</v>
      </c>
      <c r="C250" s="24" t="s">
        <v>36</v>
      </c>
      <c r="D250" s="24">
        <v>2.2000000000000002</v>
      </c>
      <c r="E250" s="24" t="s">
        <v>796</v>
      </c>
      <c r="F250" s="24" t="s">
        <v>813</v>
      </c>
      <c r="G250" s="24">
        <v>171241</v>
      </c>
    </row>
    <row r="251" spans="1:7" x14ac:dyDescent="0.25">
      <c r="A251" s="24" t="s">
        <v>125</v>
      </c>
      <c r="B251" s="24" t="s">
        <v>40</v>
      </c>
      <c r="C251" s="24" t="s">
        <v>31</v>
      </c>
      <c r="D251" s="24">
        <v>0</v>
      </c>
      <c r="E251" s="24" t="s">
        <v>796</v>
      </c>
      <c r="F251" s="24" t="s">
        <v>813</v>
      </c>
      <c r="G251" s="24">
        <v>171241</v>
      </c>
    </row>
    <row r="252" spans="1:7" x14ac:dyDescent="0.25">
      <c r="A252" s="24" t="s">
        <v>125</v>
      </c>
      <c r="B252" s="24" t="s">
        <v>41</v>
      </c>
      <c r="C252" s="24" t="s">
        <v>31</v>
      </c>
      <c r="D252" s="24">
        <v>0.3</v>
      </c>
      <c r="E252" s="24" t="s">
        <v>796</v>
      </c>
      <c r="F252" s="24" t="s">
        <v>813</v>
      </c>
      <c r="G252" s="24">
        <v>171241</v>
      </c>
    </row>
    <row r="253" spans="1:7" x14ac:dyDescent="0.25">
      <c r="A253" s="24" t="s">
        <v>125</v>
      </c>
      <c r="B253" s="24" t="s">
        <v>42</v>
      </c>
      <c r="C253" s="24" t="s">
        <v>43</v>
      </c>
      <c r="D253" s="24">
        <v>0.1</v>
      </c>
      <c r="E253" s="24" t="s">
        <v>796</v>
      </c>
      <c r="F253" s="24" t="s">
        <v>813</v>
      </c>
      <c r="G253" s="24">
        <v>171241</v>
      </c>
    </row>
    <row r="254" spans="1:7" x14ac:dyDescent="0.25">
      <c r="A254" s="24" t="s">
        <v>125</v>
      </c>
      <c r="B254" s="24" t="s">
        <v>44</v>
      </c>
      <c r="C254" s="24" t="s">
        <v>31</v>
      </c>
      <c r="D254" s="24">
        <v>0.1</v>
      </c>
      <c r="E254" s="24" t="s">
        <v>796</v>
      </c>
      <c r="F254" s="24" t="s">
        <v>813</v>
      </c>
      <c r="G254" s="24">
        <v>171241</v>
      </c>
    </row>
    <row r="255" spans="1:7" x14ac:dyDescent="0.25">
      <c r="A255" s="24" t="s">
        <v>125</v>
      </c>
      <c r="B255" s="24" t="s">
        <v>45</v>
      </c>
      <c r="C255" s="24" t="s">
        <v>31</v>
      </c>
      <c r="D255" s="24">
        <v>0.3</v>
      </c>
      <c r="E255" s="24" t="s">
        <v>796</v>
      </c>
      <c r="F255" s="24" t="s">
        <v>813</v>
      </c>
      <c r="G255" s="24">
        <v>171241</v>
      </c>
    </row>
    <row r="256" spans="1:7" x14ac:dyDescent="0.25">
      <c r="A256" s="24" t="s">
        <v>125</v>
      </c>
      <c r="B256" s="24" t="s">
        <v>46</v>
      </c>
      <c r="C256" s="24" t="s">
        <v>36</v>
      </c>
      <c r="D256" s="24">
        <v>1.5</v>
      </c>
      <c r="E256" s="24" t="s">
        <v>796</v>
      </c>
      <c r="F256" s="24" t="s">
        <v>813</v>
      </c>
      <c r="G256" s="24">
        <v>171241</v>
      </c>
    </row>
    <row r="257" spans="1:7" x14ac:dyDescent="0.25">
      <c r="A257" s="24" t="s">
        <v>125</v>
      </c>
      <c r="B257" s="24" t="s">
        <v>47</v>
      </c>
      <c r="C257" s="24" t="s">
        <v>48</v>
      </c>
      <c r="D257" s="24">
        <v>20.5</v>
      </c>
      <c r="E257" s="24" t="s">
        <v>796</v>
      </c>
      <c r="F257" s="24" t="s">
        <v>813</v>
      </c>
      <c r="G257" s="24">
        <v>171241</v>
      </c>
    </row>
    <row r="258" spans="1:7" x14ac:dyDescent="0.25">
      <c r="A258" s="24" t="s">
        <v>125</v>
      </c>
      <c r="B258" s="24" t="s">
        <v>50</v>
      </c>
      <c r="C258" s="24" t="s">
        <v>31</v>
      </c>
      <c r="D258" s="24">
        <v>118.2</v>
      </c>
      <c r="E258" s="24" t="s">
        <v>796</v>
      </c>
      <c r="F258" s="24" t="s">
        <v>813</v>
      </c>
      <c r="G258" s="24">
        <v>171241</v>
      </c>
    </row>
    <row r="259" spans="1:7" x14ac:dyDescent="0.25">
      <c r="A259" s="24" t="s">
        <v>125</v>
      </c>
      <c r="B259" s="24" t="s">
        <v>52</v>
      </c>
      <c r="C259" s="24" t="s">
        <v>31</v>
      </c>
      <c r="D259" s="24">
        <v>533.5</v>
      </c>
      <c r="E259" s="24" t="s">
        <v>796</v>
      </c>
      <c r="F259" s="24" t="s">
        <v>813</v>
      </c>
      <c r="G259" s="24">
        <v>171241</v>
      </c>
    </row>
    <row r="260" spans="1:7" x14ac:dyDescent="0.25">
      <c r="A260" s="24" t="s">
        <v>125</v>
      </c>
      <c r="B260" s="24" t="s">
        <v>53</v>
      </c>
      <c r="C260" s="24" t="s">
        <v>31</v>
      </c>
      <c r="D260" s="24">
        <v>28.3</v>
      </c>
      <c r="E260" s="24" t="s">
        <v>796</v>
      </c>
      <c r="F260" s="24" t="s">
        <v>813</v>
      </c>
      <c r="G260" s="24">
        <v>171241</v>
      </c>
    </row>
    <row r="261" spans="1:7" x14ac:dyDescent="0.25">
      <c r="A261" s="24" t="s">
        <v>125</v>
      </c>
      <c r="B261" s="24" t="s">
        <v>54</v>
      </c>
      <c r="C261" s="24" t="s">
        <v>31</v>
      </c>
      <c r="D261" s="24">
        <v>0.2</v>
      </c>
      <c r="E261" s="24" t="s">
        <v>796</v>
      </c>
      <c r="F261" s="24" t="s">
        <v>813</v>
      </c>
      <c r="G261" s="24">
        <v>171241</v>
      </c>
    </row>
    <row r="262" spans="1:7" x14ac:dyDescent="0.25">
      <c r="A262" s="24" t="s">
        <v>125</v>
      </c>
      <c r="B262" s="24" t="s">
        <v>55</v>
      </c>
      <c r="C262" s="24" t="s">
        <v>31</v>
      </c>
      <c r="D262" s="24">
        <v>3.8</v>
      </c>
      <c r="E262" s="24" t="s">
        <v>796</v>
      </c>
      <c r="F262" s="24" t="s">
        <v>813</v>
      </c>
      <c r="G262" s="24">
        <v>171241</v>
      </c>
    </row>
    <row r="263" spans="1:7" x14ac:dyDescent="0.25">
      <c r="A263" s="24" t="s">
        <v>125</v>
      </c>
      <c r="B263" s="24" t="s">
        <v>56</v>
      </c>
      <c r="C263" s="24" t="s">
        <v>31</v>
      </c>
      <c r="D263" s="24">
        <v>0</v>
      </c>
      <c r="E263" s="24" t="s">
        <v>796</v>
      </c>
      <c r="F263" s="24" t="s">
        <v>813</v>
      </c>
      <c r="G263" s="24">
        <v>171241</v>
      </c>
    </row>
    <row r="264" spans="1:7" x14ac:dyDescent="0.25">
      <c r="A264" s="24" t="s">
        <v>125</v>
      </c>
      <c r="B264" s="24" t="s">
        <v>57</v>
      </c>
      <c r="C264" s="24" t="s">
        <v>36</v>
      </c>
      <c r="D264" s="24">
        <v>14.2</v>
      </c>
      <c r="E264" s="24" t="s">
        <v>796</v>
      </c>
      <c r="F264" s="24" t="s">
        <v>813</v>
      </c>
      <c r="G264" s="24">
        <v>171241</v>
      </c>
    </row>
    <row r="265" spans="1:7" x14ac:dyDescent="0.25">
      <c r="A265" s="24" t="s">
        <v>125</v>
      </c>
      <c r="B265" s="24" t="s">
        <v>58</v>
      </c>
      <c r="C265" s="24" t="s">
        <v>5</v>
      </c>
      <c r="D265" s="24">
        <v>0</v>
      </c>
      <c r="E265" s="24" t="s">
        <v>795</v>
      </c>
      <c r="F265" s="24"/>
      <c r="G265" s="24"/>
    </row>
    <row r="266" spans="1:7" x14ac:dyDescent="0.25">
      <c r="A266" s="24" t="s">
        <v>126</v>
      </c>
      <c r="B266" s="24" t="s">
        <v>29</v>
      </c>
      <c r="C266" s="24" t="s">
        <v>5</v>
      </c>
      <c r="D266" s="24">
        <v>1.1599999999999999</v>
      </c>
      <c r="E266" s="24" t="s">
        <v>799</v>
      </c>
      <c r="F266" s="24" t="s">
        <v>814</v>
      </c>
      <c r="G266" s="24">
        <v>170899</v>
      </c>
    </row>
    <row r="267" spans="1:7" x14ac:dyDescent="0.25">
      <c r="A267" s="24" t="s">
        <v>126</v>
      </c>
      <c r="B267" s="24" t="s">
        <v>58</v>
      </c>
      <c r="C267" s="24" t="s">
        <v>5</v>
      </c>
      <c r="D267" s="24">
        <v>0</v>
      </c>
      <c r="E267" s="24" t="s">
        <v>795</v>
      </c>
      <c r="F267" s="24"/>
      <c r="G267" s="24"/>
    </row>
    <row r="268" spans="1:7" x14ac:dyDescent="0.25">
      <c r="A268" s="24" t="s">
        <v>127</v>
      </c>
      <c r="B268" s="24" t="s">
        <v>29</v>
      </c>
      <c r="C268" s="24" t="s">
        <v>5</v>
      </c>
      <c r="D268" s="24">
        <v>1.17</v>
      </c>
      <c r="E268" s="24" t="s">
        <v>799</v>
      </c>
      <c r="F268" s="24" t="s">
        <v>815</v>
      </c>
      <c r="G268" s="24">
        <v>173418</v>
      </c>
    </row>
    <row r="269" spans="1:7" x14ac:dyDescent="0.25">
      <c r="A269" s="24" t="s">
        <v>127</v>
      </c>
      <c r="B269" s="24" t="s">
        <v>58</v>
      </c>
      <c r="C269" s="24" t="s">
        <v>5</v>
      </c>
      <c r="D269" s="24">
        <v>0</v>
      </c>
      <c r="E269" s="24" t="s">
        <v>795</v>
      </c>
      <c r="F269" s="24"/>
      <c r="G269" s="24"/>
    </row>
    <row r="270" spans="1:7" x14ac:dyDescent="0.25">
      <c r="A270" s="24" t="s">
        <v>128</v>
      </c>
      <c r="B270" s="24" t="s">
        <v>32</v>
      </c>
      <c r="C270" s="24" t="s">
        <v>33</v>
      </c>
      <c r="D270" s="24">
        <v>249.6</v>
      </c>
      <c r="E270" s="24" t="s">
        <v>796</v>
      </c>
      <c r="F270" s="24" t="s">
        <v>815</v>
      </c>
      <c r="G270" s="24">
        <v>173418</v>
      </c>
    </row>
    <row r="271" spans="1:7" x14ac:dyDescent="0.25">
      <c r="A271" s="24" t="s">
        <v>128</v>
      </c>
      <c r="B271" s="24" t="s">
        <v>34</v>
      </c>
      <c r="C271" s="24" t="s">
        <v>31</v>
      </c>
      <c r="D271" s="24">
        <v>0</v>
      </c>
      <c r="E271" s="24" t="s">
        <v>796</v>
      </c>
      <c r="F271" s="24" t="s">
        <v>815</v>
      </c>
      <c r="G271" s="24">
        <v>173418</v>
      </c>
    </row>
    <row r="272" spans="1:7" x14ac:dyDescent="0.25">
      <c r="A272" s="24" t="s">
        <v>128</v>
      </c>
      <c r="B272" s="24" t="s">
        <v>35</v>
      </c>
      <c r="C272" s="24" t="s">
        <v>36</v>
      </c>
      <c r="D272" s="24">
        <v>0</v>
      </c>
      <c r="E272" s="24" t="s">
        <v>796</v>
      </c>
      <c r="F272" s="24" t="s">
        <v>815</v>
      </c>
      <c r="G272" s="24">
        <v>173418</v>
      </c>
    </row>
    <row r="273" spans="1:7" x14ac:dyDescent="0.25">
      <c r="A273" s="24" t="s">
        <v>128</v>
      </c>
      <c r="B273" s="24" t="s">
        <v>37</v>
      </c>
      <c r="C273" s="24" t="s">
        <v>38</v>
      </c>
      <c r="D273" s="24">
        <v>0.7</v>
      </c>
      <c r="E273" s="24" t="s">
        <v>796</v>
      </c>
      <c r="F273" s="24" t="s">
        <v>815</v>
      </c>
      <c r="G273" s="24">
        <v>173418</v>
      </c>
    </row>
    <row r="274" spans="1:7" x14ac:dyDescent="0.25">
      <c r="A274" s="24" t="s">
        <v>128</v>
      </c>
      <c r="B274" s="24" t="s">
        <v>39</v>
      </c>
      <c r="C274" s="24" t="s">
        <v>36</v>
      </c>
      <c r="D274" s="24">
        <v>1.7</v>
      </c>
      <c r="E274" s="24" t="s">
        <v>796</v>
      </c>
      <c r="F274" s="24" t="s">
        <v>815</v>
      </c>
      <c r="G274" s="24">
        <v>173418</v>
      </c>
    </row>
    <row r="275" spans="1:7" x14ac:dyDescent="0.25">
      <c r="A275" s="24" t="s">
        <v>128</v>
      </c>
      <c r="B275" s="24" t="s">
        <v>40</v>
      </c>
      <c r="C275" s="24" t="s">
        <v>31</v>
      </c>
      <c r="D275" s="24">
        <v>0</v>
      </c>
      <c r="E275" s="24" t="s">
        <v>796</v>
      </c>
      <c r="F275" s="24" t="s">
        <v>815</v>
      </c>
      <c r="G275" s="24">
        <v>173418</v>
      </c>
    </row>
    <row r="276" spans="1:7" x14ac:dyDescent="0.25">
      <c r="A276" s="24" t="s">
        <v>128</v>
      </c>
      <c r="B276" s="24" t="s">
        <v>41</v>
      </c>
      <c r="C276" s="24" t="s">
        <v>31</v>
      </c>
      <c r="D276" s="24">
        <v>0.2</v>
      </c>
      <c r="E276" s="24" t="s">
        <v>796</v>
      </c>
      <c r="F276" s="24" t="s">
        <v>815</v>
      </c>
      <c r="G276" s="24">
        <v>173418</v>
      </c>
    </row>
    <row r="277" spans="1:7" x14ac:dyDescent="0.25">
      <c r="A277" s="24" t="s">
        <v>128</v>
      </c>
      <c r="B277" s="24" t="s">
        <v>42</v>
      </c>
      <c r="C277" s="24" t="s">
        <v>43</v>
      </c>
      <c r="D277" s="24">
        <v>0.1</v>
      </c>
      <c r="E277" s="24" t="s">
        <v>796</v>
      </c>
      <c r="F277" s="24" t="s">
        <v>815</v>
      </c>
      <c r="G277" s="24">
        <v>173418</v>
      </c>
    </row>
    <row r="278" spans="1:7" x14ac:dyDescent="0.25">
      <c r="A278" s="24" t="s">
        <v>128</v>
      </c>
      <c r="B278" s="24" t="s">
        <v>44</v>
      </c>
      <c r="C278" s="24" t="s">
        <v>31</v>
      </c>
      <c r="D278" s="24">
        <v>0</v>
      </c>
      <c r="E278" s="24" t="s">
        <v>796</v>
      </c>
      <c r="F278" s="24" t="s">
        <v>815</v>
      </c>
      <c r="G278" s="24">
        <v>173418</v>
      </c>
    </row>
    <row r="279" spans="1:7" x14ac:dyDescent="0.25">
      <c r="A279" s="24" t="s">
        <v>128</v>
      </c>
      <c r="B279" s="24" t="s">
        <v>45</v>
      </c>
      <c r="C279" s="24" t="s">
        <v>31</v>
      </c>
      <c r="D279" s="24">
        <v>0.4</v>
      </c>
      <c r="E279" s="24" t="s">
        <v>796</v>
      </c>
      <c r="F279" s="24" t="s">
        <v>815</v>
      </c>
      <c r="G279" s="24">
        <v>173418</v>
      </c>
    </row>
    <row r="280" spans="1:7" x14ac:dyDescent="0.25">
      <c r="A280" s="24" t="s">
        <v>128</v>
      </c>
      <c r="B280" s="24" t="s">
        <v>46</v>
      </c>
      <c r="C280" s="24" t="s">
        <v>36</v>
      </c>
      <c r="D280" s="24">
        <v>0.2</v>
      </c>
      <c r="E280" s="24" t="s">
        <v>796</v>
      </c>
      <c r="F280" s="24" t="s">
        <v>815</v>
      </c>
      <c r="G280" s="24">
        <v>173418</v>
      </c>
    </row>
    <row r="281" spans="1:7" x14ac:dyDescent="0.25">
      <c r="A281" s="24" t="s">
        <v>128</v>
      </c>
      <c r="B281" s="24" t="s">
        <v>47</v>
      </c>
      <c r="C281" s="24" t="s">
        <v>48</v>
      </c>
      <c r="D281" s="24">
        <v>7.3</v>
      </c>
      <c r="E281" s="24" t="s">
        <v>796</v>
      </c>
      <c r="F281" s="24" t="s">
        <v>815</v>
      </c>
      <c r="G281" s="24">
        <v>173418</v>
      </c>
    </row>
    <row r="282" spans="1:7" x14ac:dyDescent="0.25">
      <c r="A282" s="24" t="s">
        <v>128</v>
      </c>
      <c r="B282" s="24" t="s">
        <v>50</v>
      </c>
      <c r="C282" s="24" t="s">
        <v>31</v>
      </c>
      <c r="D282" s="24">
        <v>107</v>
      </c>
      <c r="E282" s="24" t="s">
        <v>796</v>
      </c>
      <c r="F282" s="24" t="s">
        <v>815</v>
      </c>
      <c r="G282" s="24">
        <v>173418</v>
      </c>
    </row>
    <row r="283" spans="1:7" x14ac:dyDescent="0.25">
      <c r="A283" s="24" t="s">
        <v>128</v>
      </c>
      <c r="B283" s="24" t="s">
        <v>52</v>
      </c>
      <c r="C283" s="24" t="s">
        <v>31</v>
      </c>
      <c r="D283" s="24">
        <v>86.7</v>
      </c>
      <c r="E283" s="24" t="s">
        <v>796</v>
      </c>
      <c r="F283" s="24" t="s">
        <v>815</v>
      </c>
      <c r="G283" s="24">
        <v>173418</v>
      </c>
    </row>
    <row r="284" spans="1:7" x14ac:dyDescent="0.25">
      <c r="A284" s="24" t="s">
        <v>128</v>
      </c>
      <c r="B284" s="24" t="s">
        <v>53</v>
      </c>
      <c r="C284" s="24" t="s">
        <v>31</v>
      </c>
      <c r="D284" s="24">
        <v>7.3</v>
      </c>
      <c r="E284" s="24" t="s">
        <v>796</v>
      </c>
      <c r="F284" s="24" t="s">
        <v>815</v>
      </c>
      <c r="G284" s="24">
        <v>173418</v>
      </c>
    </row>
    <row r="285" spans="1:7" x14ac:dyDescent="0.25">
      <c r="A285" s="24" t="s">
        <v>128</v>
      </c>
      <c r="B285" s="24" t="s">
        <v>54</v>
      </c>
      <c r="C285" s="24" t="s">
        <v>31</v>
      </c>
      <c r="D285" s="24">
        <v>0.1</v>
      </c>
      <c r="E285" s="24" t="s">
        <v>796</v>
      </c>
      <c r="F285" s="24" t="s">
        <v>815</v>
      </c>
      <c r="G285" s="24">
        <v>173418</v>
      </c>
    </row>
    <row r="286" spans="1:7" x14ac:dyDescent="0.25">
      <c r="A286" s="24" t="s">
        <v>128</v>
      </c>
      <c r="B286" s="24" t="s">
        <v>55</v>
      </c>
      <c r="C286" s="24" t="s">
        <v>31</v>
      </c>
      <c r="D286" s="24">
        <v>0.4</v>
      </c>
      <c r="E286" s="24" t="s">
        <v>796</v>
      </c>
      <c r="F286" s="24" t="s">
        <v>815</v>
      </c>
      <c r="G286" s="24">
        <v>173418</v>
      </c>
    </row>
    <row r="287" spans="1:7" x14ac:dyDescent="0.25">
      <c r="A287" s="24" t="s">
        <v>128</v>
      </c>
      <c r="B287" s="24" t="s">
        <v>56</v>
      </c>
      <c r="C287" s="24" t="s">
        <v>31</v>
      </c>
      <c r="D287" s="24">
        <v>0</v>
      </c>
      <c r="E287" s="24" t="s">
        <v>796</v>
      </c>
      <c r="F287" s="24" t="s">
        <v>815</v>
      </c>
      <c r="G287" s="24">
        <v>173418</v>
      </c>
    </row>
    <row r="288" spans="1:7" x14ac:dyDescent="0.25">
      <c r="A288" s="24" t="s">
        <v>128</v>
      </c>
      <c r="B288" s="24" t="s">
        <v>57</v>
      </c>
      <c r="C288" s="24" t="s">
        <v>36</v>
      </c>
      <c r="D288" s="24">
        <v>7</v>
      </c>
      <c r="E288" s="24" t="s">
        <v>796</v>
      </c>
      <c r="F288" s="24" t="s">
        <v>815</v>
      </c>
      <c r="G288" s="24">
        <v>173418</v>
      </c>
    </row>
    <row r="289" spans="1:7" x14ac:dyDescent="0.25">
      <c r="A289" s="24" t="s">
        <v>128</v>
      </c>
      <c r="B289" s="24" t="s">
        <v>58</v>
      </c>
      <c r="C289" s="24" t="s">
        <v>5</v>
      </c>
      <c r="D289" s="24">
        <v>0</v>
      </c>
      <c r="E289" s="24" t="s">
        <v>795</v>
      </c>
      <c r="F289" s="24"/>
      <c r="G289" s="24"/>
    </row>
    <row r="290" spans="1:7" x14ac:dyDescent="0.25">
      <c r="A290" s="24" t="s">
        <v>129</v>
      </c>
      <c r="B290" s="24" t="s">
        <v>23</v>
      </c>
      <c r="C290" s="24" t="s">
        <v>5</v>
      </c>
      <c r="D290" s="24">
        <v>1.6</v>
      </c>
      <c r="E290" s="24" t="s">
        <v>796</v>
      </c>
      <c r="F290" s="24" t="s">
        <v>816</v>
      </c>
      <c r="G290" s="24">
        <v>172223</v>
      </c>
    </row>
    <row r="291" spans="1:7" x14ac:dyDescent="0.25">
      <c r="A291" s="24" t="s">
        <v>129</v>
      </c>
      <c r="B291" s="24" t="s">
        <v>32</v>
      </c>
      <c r="C291" s="24" t="s">
        <v>33</v>
      </c>
      <c r="D291" s="24">
        <v>176.6</v>
      </c>
      <c r="E291" s="24" t="s">
        <v>796</v>
      </c>
      <c r="F291" s="24" t="s">
        <v>816</v>
      </c>
      <c r="G291" s="24">
        <v>172223</v>
      </c>
    </row>
    <row r="292" spans="1:7" x14ac:dyDescent="0.25">
      <c r="A292" s="24" t="s">
        <v>129</v>
      </c>
      <c r="B292" s="24" t="s">
        <v>34</v>
      </c>
      <c r="C292" s="24" t="s">
        <v>31</v>
      </c>
      <c r="D292" s="24">
        <v>0</v>
      </c>
      <c r="E292" s="24" t="s">
        <v>796</v>
      </c>
      <c r="F292" s="24" t="s">
        <v>816</v>
      </c>
      <c r="G292" s="24">
        <v>172223</v>
      </c>
    </row>
    <row r="293" spans="1:7" x14ac:dyDescent="0.25">
      <c r="A293" s="24" t="s">
        <v>129</v>
      </c>
      <c r="B293" s="24" t="s">
        <v>35</v>
      </c>
      <c r="C293" s="24" t="s">
        <v>36</v>
      </c>
      <c r="D293" s="24">
        <v>2.1</v>
      </c>
      <c r="E293" s="24" t="s">
        <v>796</v>
      </c>
      <c r="F293" s="24" t="s">
        <v>816</v>
      </c>
      <c r="G293" s="24">
        <v>172223</v>
      </c>
    </row>
    <row r="294" spans="1:7" x14ac:dyDescent="0.25">
      <c r="A294" s="24" t="s">
        <v>129</v>
      </c>
      <c r="B294" s="24" t="s">
        <v>37</v>
      </c>
      <c r="C294" s="24" t="s">
        <v>38</v>
      </c>
      <c r="D294" s="24">
        <v>0.3</v>
      </c>
      <c r="E294" s="24" t="s">
        <v>796</v>
      </c>
      <c r="F294" s="24" t="s">
        <v>816</v>
      </c>
      <c r="G294" s="24">
        <v>172223</v>
      </c>
    </row>
    <row r="295" spans="1:7" x14ac:dyDescent="0.25">
      <c r="A295" s="24" t="s">
        <v>129</v>
      </c>
      <c r="B295" s="24" t="s">
        <v>39</v>
      </c>
      <c r="C295" s="24" t="s">
        <v>36</v>
      </c>
      <c r="D295" s="24">
        <v>0.8</v>
      </c>
      <c r="E295" s="24" t="s">
        <v>796</v>
      </c>
      <c r="F295" s="24" t="s">
        <v>816</v>
      </c>
      <c r="G295" s="24">
        <v>172223</v>
      </c>
    </row>
    <row r="296" spans="1:7" x14ac:dyDescent="0.25">
      <c r="A296" s="24" t="s">
        <v>129</v>
      </c>
      <c r="B296" s="24" t="s">
        <v>40</v>
      </c>
      <c r="C296" s="24" t="s">
        <v>31</v>
      </c>
      <c r="D296" s="24">
        <v>0</v>
      </c>
      <c r="E296" s="24" t="s">
        <v>796</v>
      </c>
      <c r="F296" s="24" t="s">
        <v>816</v>
      </c>
      <c r="G296" s="24">
        <v>172223</v>
      </c>
    </row>
    <row r="297" spans="1:7" x14ac:dyDescent="0.25">
      <c r="A297" s="24" t="s">
        <v>129</v>
      </c>
      <c r="B297" s="24" t="s">
        <v>41</v>
      </c>
      <c r="C297" s="24" t="s">
        <v>31</v>
      </c>
      <c r="D297" s="24">
        <v>0.1</v>
      </c>
      <c r="E297" s="24" t="s">
        <v>796</v>
      </c>
      <c r="F297" s="24" t="s">
        <v>816</v>
      </c>
      <c r="G297" s="24">
        <v>172223</v>
      </c>
    </row>
    <row r="298" spans="1:7" x14ac:dyDescent="0.25">
      <c r="A298" s="24" t="s">
        <v>129</v>
      </c>
      <c r="B298" s="24" t="s">
        <v>42</v>
      </c>
      <c r="C298" s="24" t="s">
        <v>43</v>
      </c>
      <c r="D298" s="24">
        <v>0</v>
      </c>
      <c r="E298" s="24" t="s">
        <v>796</v>
      </c>
      <c r="F298" s="24" t="s">
        <v>816</v>
      </c>
      <c r="G298" s="24">
        <v>172223</v>
      </c>
    </row>
    <row r="299" spans="1:7" x14ac:dyDescent="0.25">
      <c r="A299" s="24" t="s">
        <v>129</v>
      </c>
      <c r="B299" s="24" t="s">
        <v>44</v>
      </c>
      <c r="C299" s="24" t="s">
        <v>31</v>
      </c>
      <c r="D299" s="24">
        <v>0.1</v>
      </c>
      <c r="E299" s="24" t="s">
        <v>796</v>
      </c>
      <c r="F299" s="24" t="s">
        <v>816</v>
      </c>
      <c r="G299" s="24">
        <v>172223</v>
      </c>
    </row>
    <row r="300" spans="1:7" x14ac:dyDescent="0.25">
      <c r="A300" s="24" t="s">
        <v>129</v>
      </c>
      <c r="B300" s="24" t="s">
        <v>45</v>
      </c>
      <c r="C300" s="24" t="s">
        <v>31</v>
      </c>
      <c r="D300" s="24">
        <v>0.3</v>
      </c>
      <c r="E300" s="24" t="s">
        <v>796</v>
      </c>
      <c r="F300" s="24" t="s">
        <v>816</v>
      </c>
      <c r="G300" s="24">
        <v>172223</v>
      </c>
    </row>
    <row r="301" spans="1:7" x14ac:dyDescent="0.25">
      <c r="A301" s="24" t="s">
        <v>129</v>
      </c>
      <c r="B301" s="24" t="s">
        <v>46</v>
      </c>
      <c r="C301" s="24" t="s">
        <v>36</v>
      </c>
      <c r="D301" s="24">
        <v>1.3</v>
      </c>
      <c r="E301" s="24" t="s">
        <v>796</v>
      </c>
      <c r="F301" s="24" t="s">
        <v>816</v>
      </c>
      <c r="G301" s="24">
        <v>172223</v>
      </c>
    </row>
    <row r="302" spans="1:7" x14ac:dyDescent="0.25">
      <c r="A302" s="24" t="s">
        <v>129</v>
      </c>
      <c r="B302" s="24" t="s">
        <v>47</v>
      </c>
      <c r="C302" s="24" t="s">
        <v>48</v>
      </c>
      <c r="D302" s="24">
        <v>5.5</v>
      </c>
      <c r="E302" s="24" t="s">
        <v>796</v>
      </c>
      <c r="F302" s="24" t="s">
        <v>816</v>
      </c>
      <c r="G302" s="24">
        <v>172223</v>
      </c>
    </row>
    <row r="303" spans="1:7" x14ac:dyDescent="0.25">
      <c r="A303" s="24" t="s">
        <v>129</v>
      </c>
      <c r="B303" s="24" t="s">
        <v>50</v>
      </c>
      <c r="C303" s="24" t="s">
        <v>31</v>
      </c>
      <c r="D303" s="24">
        <v>101.7</v>
      </c>
      <c r="E303" s="24" t="s">
        <v>796</v>
      </c>
      <c r="F303" s="24" t="s">
        <v>816</v>
      </c>
      <c r="G303" s="24">
        <v>172223</v>
      </c>
    </row>
    <row r="304" spans="1:7" x14ac:dyDescent="0.25">
      <c r="A304" s="24" t="s">
        <v>129</v>
      </c>
      <c r="B304" s="24" t="s">
        <v>51</v>
      </c>
      <c r="C304" s="24" t="s">
        <v>31</v>
      </c>
      <c r="D304" s="24">
        <v>446.2</v>
      </c>
      <c r="E304" s="24" t="s">
        <v>796</v>
      </c>
      <c r="F304" s="24" t="s">
        <v>816</v>
      </c>
      <c r="G304" s="24">
        <v>172223</v>
      </c>
    </row>
    <row r="305" spans="1:7" x14ac:dyDescent="0.25">
      <c r="A305" s="24" t="s">
        <v>129</v>
      </c>
      <c r="B305" s="24" t="s">
        <v>52</v>
      </c>
      <c r="C305" s="24" t="s">
        <v>31</v>
      </c>
      <c r="D305" s="24">
        <v>303.5</v>
      </c>
      <c r="E305" s="24" t="s">
        <v>796</v>
      </c>
      <c r="F305" s="24" t="s">
        <v>816</v>
      </c>
      <c r="G305" s="24">
        <v>172223</v>
      </c>
    </row>
    <row r="306" spans="1:7" x14ac:dyDescent="0.25">
      <c r="A306" s="24" t="s">
        <v>129</v>
      </c>
      <c r="B306" s="24" t="s">
        <v>53</v>
      </c>
      <c r="C306" s="24" t="s">
        <v>31</v>
      </c>
      <c r="D306" s="24">
        <v>18.899999999999999</v>
      </c>
      <c r="E306" s="24" t="s">
        <v>796</v>
      </c>
      <c r="F306" s="24" t="s">
        <v>816</v>
      </c>
      <c r="G306" s="24">
        <v>172223</v>
      </c>
    </row>
    <row r="307" spans="1:7" x14ac:dyDescent="0.25">
      <c r="A307" s="24" t="s">
        <v>129</v>
      </c>
      <c r="B307" s="24" t="s">
        <v>54</v>
      </c>
      <c r="C307" s="24" t="s">
        <v>31</v>
      </c>
      <c r="D307" s="24">
        <v>0.2</v>
      </c>
      <c r="E307" s="24" t="s">
        <v>796</v>
      </c>
      <c r="F307" s="24" t="s">
        <v>816</v>
      </c>
      <c r="G307" s="24">
        <v>172223</v>
      </c>
    </row>
    <row r="308" spans="1:7" x14ac:dyDescent="0.25">
      <c r="A308" s="24" t="s">
        <v>129</v>
      </c>
      <c r="B308" s="24" t="s">
        <v>55</v>
      </c>
      <c r="C308" s="24" t="s">
        <v>31</v>
      </c>
      <c r="D308" s="24">
        <v>2</v>
      </c>
      <c r="E308" s="24" t="s">
        <v>796</v>
      </c>
      <c r="F308" s="24" t="s">
        <v>816</v>
      </c>
      <c r="G308" s="24">
        <v>172223</v>
      </c>
    </row>
    <row r="309" spans="1:7" x14ac:dyDescent="0.25">
      <c r="A309" s="24" t="s">
        <v>129</v>
      </c>
      <c r="B309" s="24" t="s">
        <v>56</v>
      </c>
      <c r="C309" s="24" t="s">
        <v>31</v>
      </c>
      <c r="D309" s="24">
        <v>0</v>
      </c>
      <c r="E309" s="24" t="s">
        <v>796</v>
      </c>
      <c r="F309" s="24" t="s">
        <v>816</v>
      </c>
      <c r="G309" s="24">
        <v>172223</v>
      </c>
    </row>
    <row r="310" spans="1:7" x14ac:dyDescent="0.25">
      <c r="A310" s="24" t="s">
        <v>129</v>
      </c>
      <c r="B310" s="24" t="s">
        <v>57</v>
      </c>
      <c r="C310" s="24" t="s">
        <v>36</v>
      </c>
      <c r="D310" s="24">
        <v>15.2</v>
      </c>
      <c r="E310" s="24" t="s">
        <v>796</v>
      </c>
      <c r="F310" s="24" t="s">
        <v>816</v>
      </c>
      <c r="G310" s="24">
        <v>172223</v>
      </c>
    </row>
    <row r="311" spans="1:7" x14ac:dyDescent="0.25">
      <c r="A311" s="24" t="s">
        <v>129</v>
      </c>
      <c r="B311" s="24" t="s">
        <v>58</v>
      </c>
      <c r="C311" s="24" t="s">
        <v>5</v>
      </c>
      <c r="D311" s="24">
        <v>0</v>
      </c>
      <c r="E311" s="24" t="s">
        <v>795</v>
      </c>
      <c r="F311" s="24"/>
      <c r="G311" s="24"/>
    </row>
    <row r="312" spans="1:7" x14ac:dyDescent="0.25">
      <c r="A312" s="24" t="s">
        <v>130</v>
      </c>
      <c r="B312" s="24" t="s">
        <v>20</v>
      </c>
      <c r="C312" s="24" t="s">
        <v>5</v>
      </c>
      <c r="D312" s="24">
        <v>3.7</v>
      </c>
      <c r="E312" s="24" t="s">
        <v>796</v>
      </c>
      <c r="F312" s="24" t="s">
        <v>816</v>
      </c>
      <c r="G312" s="24">
        <v>172223</v>
      </c>
    </row>
    <row r="313" spans="1:7" x14ac:dyDescent="0.25">
      <c r="A313" s="24" t="s">
        <v>130</v>
      </c>
      <c r="B313" s="24" t="s">
        <v>24</v>
      </c>
      <c r="C313" s="24" t="s">
        <v>5</v>
      </c>
      <c r="D313" s="24">
        <v>0</v>
      </c>
      <c r="E313" s="24" t="s">
        <v>801</v>
      </c>
      <c r="F313" s="24" t="s">
        <v>816</v>
      </c>
      <c r="G313" s="24">
        <v>172223</v>
      </c>
    </row>
    <row r="314" spans="1:7" x14ac:dyDescent="0.25">
      <c r="A314" s="24" t="s">
        <v>130</v>
      </c>
      <c r="B314" s="24" t="s">
        <v>32</v>
      </c>
      <c r="C314" s="24" t="s">
        <v>33</v>
      </c>
      <c r="D314" s="24">
        <v>224</v>
      </c>
      <c r="E314" s="24" t="s">
        <v>801</v>
      </c>
      <c r="F314" s="24" t="s">
        <v>816</v>
      </c>
      <c r="G314" s="24">
        <v>172223</v>
      </c>
    </row>
    <row r="315" spans="1:7" x14ac:dyDescent="0.25">
      <c r="A315" s="24" t="s">
        <v>130</v>
      </c>
      <c r="B315" s="24" t="s">
        <v>34</v>
      </c>
      <c r="C315" s="24" t="s">
        <v>31</v>
      </c>
      <c r="D315" s="24">
        <v>0</v>
      </c>
      <c r="E315" s="24" t="s">
        <v>801</v>
      </c>
      <c r="F315" s="24" t="s">
        <v>816</v>
      </c>
      <c r="G315" s="24">
        <v>172223</v>
      </c>
    </row>
    <row r="316" spans="1:7" x14ac:dyDescent="0.25">
      <c r="A316" s="24" t="s">
        <v>130</v>
      </c>
      <c r="B316" s="24" t="s">
        <v>35</v>
      </c>
      <c r="C316" s="24" t="s">
        <v>36</v>
      </c>
      <c r="D316" s="24">
        <v>2.7</v>
      </c>
      <c r="E316" s="24" t="s">
        <v>801</v>
      </c>
      <c r="F316" s="24" t="s">
        <v>816</v>
      </c>
      <c r="G316" s="24">
        <v>172223</v>
      </c>
    </row>
    <row r="317" spans="1:7" x14ac:dyDescent="0.25">
      <c r="A317" s="24" t="s">
        <v>130</v>
      </c>
      <c r="B317" s="24" t="s">
        <v>37</v>
      </c>
      <c r="C317" s="24" t="s">
        <v>38</v>
      </c>
      <c r="D317" s="24">
        <v>0.4</v>
      </c>
      <c r="E317" s="24" t="s">
        <v>801</v>
      </c>
      <c r="F317" s="24" t="s">
        <v>816</v>
      </c>
      <c r="G317" s="24">
        <v>172223</v>
      </c>
    </row>
    <row r="318" spans="1:7" x14ac:dyDescent="0.25">
      <c r="A318" s="24" t="s">
        <v>130</v>
      </c>
      <c r="B318" s="24" t="s">
        <v>39</v>
      </c>
      <c r="C318" s="24" t="s">
        <v>36</v>
      </c>
      <c r="D318" s="24">
        <v>1</v>
      </c>
      <c r="E318" s="24" t="s">
        <v>801</v>
      </c>
      <c r="F318" s="24" t="s">
        <v>816</v>
      </c>
      <c r="G318" s="24">
        <v>172223</v>
      </c>
    </row>
    <row r="319" spans="1:7" x14ac:dyDescent="0.25">
      <c r="A319" s="24" t="s">
        <v>130</v>
      </c>
      <c r="B319" s="24" t="s">
        <v>40</v>
      </c>
      <c r="C319" s="24" t="s">
        <v>31</v>
      </c>
      <c r="D319" s="24">
        <v>0</v>
      </c>
      <c r="E319" s="24" t="s">
        <v>801</v>
      </c>
      <c r="F319" s="24" t="s">
        <v>816</v>
      </c>
      <c r="G319" s="24">
        <v>172223</v>
      </c>
    </row>
    <row r="320" spans="1:7" x14ac:dyDescent="0.25">
      <c r="A320" s="24" t="s">
        <v>130</v>
      </c>
      <c r="B320" s="24" t="s">
        <v>41</v>
      </c>
      <c r="C320" s="24" t="s">
        <v>31</v>
      </c>
      <c r="D320" s="24">
        <v>0.2</v>
      </c>
      <c r="E320" s="24" t="s">
        <v>801</v>
      </c>
      <c r="F320" s="24" t="s">
        <v>816</v>
      </c>
      <c r="G320" s="24">
        <v>172223</v>
      </c>
    </row>
    <row r="321" spans="1:7" x14ac:dyDescent="0.25">
      <c r="A321" s="24" t="s">
        <v>130</v>
      </c>
      <c r="B321" s="24" t="s">
        <v>42</v>
      </c>
      <c r="C321" s="24" t="s">
        <v>43</v>
      </c>
      <c r="D321" s="24">
        <v>0</v>
      </c>
      <c r="E321" s="24" t="s">
        <v>801</v>
      </c>
      <c r="F321" s="24" t="s">
        <v>816</v>
      </c>
      <c r="G321" s="24">
        <v>172223</v>
      </c>
    </row>
    <row r="322" spans="1:7" x14ac:dyDescent="0.25">
      <c r="A322" s="24" t="s">
        <v>130</v>
      </c>
      <c r="B322" s="24" t="s">
        <v>44</v>
      </c>
      <c r="C322" s="24" t="s">
        <v>31</v>
      </c>
      <c r="D322" s="24">
        <v>0.1</v>
      </c>
      <c r="E322" s="24" t="s">
        <v>801</v>
      </c>
      <c r="F322" s="24" t="s">
        <v>816</v>
      </c>
      <c r="G322" s="24">
        <v>172223</v>
      </c>
    </row>
    <row r="323" spans="1:7" x14ac:dyDescent="0.25">
      <c r="A323" s="24" t="s">
        <v>130</v>
      </c>
      <c r="B323" s="24" t="s">
        <v>45</v>
      </c>
      <c r="C323" s="24" t="s">
        <v>31</v>
      </c>
      <c r="D323" s="24">
        <v>0.4</v>
      </c>
      <c r="E323" s="24" t="s">
        <v>801</v>
      </c>
      <c r="F323" s="24" t="s">
        <v>816</v>
      </c>
      <c r="G323" s="24">
        <v>172223</v>
      </c>
    </row>
    <row r="324" spans="1:7" x14ac:dyDescent="0.25">
      <c r="A324" s="24" t="s">
        <v>130</v>
      </c>
      <c r="B324" s="24" t="s">
        <v>46</v>
      </c>
      <c r="C324" s="24" t="s">
        <v>36</v>
      </c>
      <c r="D324" s="24">
        <v>1.7</v>
      </c>
      <c r="E324" s="24" t="s">
        <v>801</v>
      </c>
      <c r="F324" s="24" t="s">
        <v>816</v>
      </c>
      <c r="G324" s="24">
        <v>172223</v>
      </c>
    </row>
    <row r="325" spans="1:7" x14ac:dyDescent="0.25">
      <c r="A325" s="24" t="s">
        <v>130</v>
      </c>
      <c r="B325" s="24" t="s">
        <v>47</v>
      </c>
      <c r="C325" s="24" t="s">
        <v>48</v>
      </c>
      <c r="D325" s="24">
        <v>7</v>
      </c>
      <c r="E325" s="24" t="s">
        <v>801</v>
      </c>
      <c r="F325" s="24" t="s">
        <v>816</v>
      </c>
      <c r="G325" s="24">
        <v>172223</v>
      </c>
    </row>
    <row r="326" spans="1:7" x14ac:dyDescent="0.25">
      <c r="A326" s="24" t="s">
        <v>130</v>
      </c>
      <c r="B326" s="24" t="s">
        <v>50</v>
      </c>
      <c r="C326" s="24" t="s">
        <v>31</v>
      </c>
      <c r="D326" s="24">
        <v>129</v>
      </c>
      <c r="E326" s="24" t="s">
        <v>801</v>
      </c>
      <c r="F326" s="24" t="s">
        <v>816</v>
      </c>
      <c r="G326" s="24">
        <v>172223</v>
      </c>
    </row>
    <row r="327" spans="1:7" x14ac:dyDescent="0.25">
      <c r="A327" s="24" t="s">
        <v>130</v>
      </c>
      <c r="B327" s="24" t="s">
        <v>52</v>
      </c>
      <c r="C327" s="24" t="s">
        <v>31</v>
      </c>
      <c r="D327" s="24">
        <v>385</v>
      </c>
      <c r="E327" s="24" t="s">
        <v>801</v>
      </c>
      <c r="F327" s="24" t="s">
        <v>816</v>
      </c>
      <c r="G327" s="24">
        <v>172223</v>
      </c>
    </row>
    <row r="328" spans="1:7" x14ac:dyDescent="0.25">
      <c r="A328" s="24" t="s">
        <v>130</v>
      </c>
      <c r="B328" s="24" t="s">
        <v>53</v>
      </c>
      <c r="C328" s="24" t="s">
        <v>31</v>
      </c>
      <c r="D328" s="24">
        <v>24</v>
      </c>
      <c r="E328" s="24" t="s">
        <v>801</v>
      </c>
      <c r="F328" s="24" t="s">
        <v>816</v>
      </c>
      <c r="G328" s="24">
        <v>172223</v>
      </c>
    </row>
    <row r="329" spans="1:7" x14ac:dyDescent="0.25">
      <c r="A329" s="24" t="s">
        <v>130</v>
      </c>
      <c r="B329" s="24" t="s">
        <v>54</v>
      </c>
      <c r="C329" s="24" t="s">
        <v>31</v>
      </c>
      <c r="D329" s="24">
        <v>0.2</v>
      </c>
      <c r="E329" s="24" t="s">
        <v>801</v>
      </c>
      <c r="F329" s="24" t="s">
        <v>816</v>
      </c>
      <c r="G329" s="24">
        <v>172223</v>
      </c>
    </row>
    <row r="330" spans="1:7" x14ac:dyDescent="0.25">
      <c r="A330" s="24" t="s">
        <v>130</v>
      </c>
      <c r="B330" s="24" t="s">
        <v>55</v>
      </c>
      <c r="C330" s="24" t="s">
        <v>31</v>
      </c>
      <c r="D330" s="24">
        <v>2.6</v>
      </c>
      <c r="E330" s="24" t="s">
        <v>801</v>
      </c>
      <c r="F330" s="24" t="s">
        <v>816</v>
      </c>
      <c r="G330" s="24">
        <v>172223</v>
      </c>
    </row>
    <row r="331" spans="1:7" x14ac:dyDescent="0.25">
      <c r="A331" s="24" t="s">
        <v>130</v>
      </c>
      <c r="B331" s="24" t="s">
        <v>56</v>
      </c>
      <c r="C331" s="24" t="s">
        <v>31</v>
      </c>
      <c r="D331" s="24">
        <v>0</v>
      </c>
      <c r="E331" s="24" t="s">
        <v>801</v>
      </c>
      <c r="F331" s="24" t="s">
        <v>816</v>
      </c>
      <c r="G331" s="24">
        <v>172223</v>
      </c>
    </row>
    <row r="332" spans="1:7" x14ac:dyDescent="0.25">
      <c r="A332" s="24" t="s">
        <v>130</v>
      </c>
      <c r="B332" s="24" t="s">
        <v>57</v>
      </c>
      <c r="C332" s="24" t="s">
        <v>36</v>
      </c>
      <c r="D332" s="24">
        <v>19.3</v>
      </c>
      <c r="E332" s="24" t="s">
        <v>801</v>
      </c>
      <c r="F332" s="24" t="s">
        <v>816</v>
      </c>
      <c r="G332" s="24">
        <v>172223</v>
      </c>
    </row>
    <row r="333" spans="1:7" x14ac:dyDescent="0.25">
      <c r="A333" s="24" t="s">
        <v>130</v>
      </c>
      <c r="B333" s="24" t="s">
        <v>58</v>
      </c>
      <c r="C333" s="24" t="s">
        <v>5</v>
      </c>
      <c r="D333" s="24">
        <v>0</v>
      </c>
      <c r="E333" s="24" t="s">
        <v>795</v>
      </c>
      <c r="F333" s="24"/>
      <c r="G333" s="24"/>
    </row>
    <row r="334" spans="1:7" x14ac:dyDescent="0.25">
      <c r="A334" s="24" t="s">
        <v>130</v>
      </c>
      <c r="B334" s="24" t="s">
        <v>18</v>
      </c>
      <c r="C334" s="24" t="s">
        <v>5</v>
      </c>
      <c r="D334" s="24">
        <v>67.099999999999994</v>
      </c>
      <c r="E334" s="24" t="s">
        <v>803</v>
      </c>
      <c r="F334" s="24"/>
      <c r="G334" s="24"/>
    </row>
    <row r="335" spans="1:7" x14ac:dyDescent="0.25">
      <c r="A335" s="24" t="s">
        <v>131</v>
      </c>
      <c r="B335" s="24" t="s">
        <v>23</v>
      </c>
      <c r="C335" s="24" t="s">
        <v>5</v>
      </c>
      <c r="D335" s="24">
        <v>0.8</v>
      </c>
      <c r="E335" s="24" t="s">
        <v>796</v>
      </c>
      <c r="F335" s="24" t="s">
        <v>817</v>
      </c>
      <c r="G335" s="24">
        <v>170847</v>
      </c>
    </row>
    <row r="336" spans="1:7" x14ac:dyDescent="0.25">
      <c r="A336" s="24" t="s">
        <v>131</v>
      </c>
      <c r="B336" s="24" t="s">
        <v>26</v>
      </c>
      <c r="C336" s="24" t="s">
        <v>5</v>
      </c>
      <c r="D336" s="24">
        <v>8.83</v>
      </c>
      <c r="E336" s="24" t="s">
        <v>799</v>
      </c>
      <c r="F336" s="24" t="s">
        <v>817</v>
      </c>
      <c r="G336" s="24">
        <v>170847</v>
      </c>
    </row>
    <row r="337" spans="1:7" x14ac:dyDescent="0.25">
      <c r="A337" s="24" t="s">
        <v>131</v>
      </c>
      <c r="B337" s="24" t="s">
        <v>27</v>
      </c>
      <c r="C337" s="24" t="s">
        <v>5</v>
      </c>
      <c r="D337" s="24">
        <v>3.94</v>
      </c>
      <c r="E337" s="24" t="s">
        <v>799</v>
      </c>
      <c r="F337" s="24" t="s">
        <v>817</v>
      </c>
      <c r="G337" s="24">
        <v>170847</v>
      </c>
    </row>
    <row r="338" spans="1:7" x14ac:dyDescent="0.25">
      <c r="A338" s="24" t="s">
        <v>131</v>
      </c>
      <c r="B338" s="24" t="s">
        <v>28</v>
      </c>
      <c r="C338" s="24" t="s">
        <v>5</v>
      </c>
      <c r="D338" s="24">
        <v>0.41</v>
      </c>
      <c r="E338" s="24" t="s">
        <v>799</v>
      </c>
      <c r="F338" s="24" t="s">
        <v>817</v>
      </c>
      <c r="G338" s="24">
        <v>170847</v>
      </c>
    </row>
    <row r="339" spans="1:7" x14ac:dyDescent="0.25">
      <c r="A339" s="24" t="s">
        <v>131</v>
      </c>
      <c r="B339" s="24" t="s">
        <v>30</v>
      </c>
      <c r="C339" s="24" t="s">
        <v>31</v>
      </c>
      <c r="D339" s="24">
        <v>64</v>
      </c>
      <c r="E339" s="24" t="s">
        <v>801</v>
      </c>
      <c r="F339" s="24" t="s">
        <v>817</v>
      </c>
      <c r="G339" s="24">
        <v>170847</v>
      </c>
    </row>
    <row r="340" spans="1:7" x14ac:dyDescent="0.25">
      <c r="A340" s="24" t="s">
        <v>131</v>
      </c>
      <c r="B340" s="24" t="s">
        <v>32</v>
      </c>
      <c r="C340" s="24" t="s">
        <v>33</v>
      </c>
      <c r="D340" s="24">
        <v>92</v>
      </c>
      <c r="E340" s="24" t="s">
        <v>796</v>
      </c>
      <c r="F340" s="24" t="s">
        <v>817</v>
      </c>
      <c r="G340" s="24">
        <v>170847</v>
      </c>
    </row>
    <row r="341" spans="1:7" x14ac:dyDescent="0.25">
      <c r="A341" s="24" t="s">
        <v>131</v>
      </c>
      <c r="B341" s="24" t="s">
        <v>34</v>
      </c>
      <c r="C341" s="24" t="s">
        <v>31</v>
      </c>
      <c r="D341" s="24">
        <v>0</v>
      </c>
      <c r="E341" s="24" t="s">
        <v>796</v>
      </c>
      <c r="F341" s="24" t="s">
        <v>817</v>
      </c>
      <c r="G341" s="24">
        <v>170847</v>
      </c>
    </row>
    <row r="342" spans="1:7" x14ac:dyDescent="0.25">
      <c r="A342" s="24" t="s">
        <v>131</v>
      </c>
      <c r="B342" s="24" t="s">
        <v>35</v>
      </c>
      <c r="C342" s="24" t="s">
        <v>36</v>
      </c>
      <c r="D342" s="24">
        <v>0.2</v>
      </c>
      <c r="E342" s="24" t="s">
        <v>796</v>
      </c>
      <c r="F342" s="24" t="s">
        <v>817</v>
      </c>
      <c r="G342" s="24">
        <v>170847</v>
      </c>
    </row>
    <row r="343" spans="1:7" x14ac:dyDescent="0.25">
      <c r="A343" s="24" t="s">
        <v>131</v>
      </c>
      <c r="B343" s="24" t="s">
        <v>37</v>
      </c>
      <c r="C343" s="24" t="s">
        <v>38</v>
      </c>
      <c r="D343" s="24">
        <v>0.1</v>
      </c>
      <c r="E343" s="24" t="s">
        <v>796</v>
      </c>
      <c r="F343" s="24" t="s">
        <v>817</v>
      </c>
      <c r="G343" s="24">
        <v>170847</v>
      </c>
    </row>
    <row r="344" spans="1:7" x14ac:dyDescent="0.25">
      <c r="A344" s="24" t="s">
        <v>131</v>
      </c>
      <c r="B344" s="24" t="s">
        <v>39</v>
      </c>
      <c r="C344" s="24" t="s">
        <v>36</v>
      </c>
      <c r="D344" s="24">
        <v>1.2</v>
      </c>
      <c r="E344" s="24" t="s">
        <v>796</v>
      </c>
      <c r="F344" s="24" t="s">
        <v>817</v>
      </c>
      <c r="G344" s="24">
        <v>170847</v>
      </c>
    </row>
    <row r="345" spans="1:7" x14ac:dyDescent="0.25">
      <c r="A345" s="24" t="s">
        <v>131</v>
      </c>
      <c r="B345" s="24" t="s">
        <v>40</v>
      </c>
      <c r="C345" s="24" t="s">
        <v>31</v>
      </c>
      <c r="D345" s="24">
        <v>0</v>
      </c>
      <c r="E345" s="24" t="s">
        <v>796</v>
      </c>
      <c r="F345" s="24" t="s">
        <v>817</v>
      </c>
      <c r="G345" s="24">
        <v>170847</v>
      </c>
    </row>
    <row r="346" spans="1:7" x14ac:dyDescent="0.25">
      <c r="A346" s="24" t="s">
        <v>131</v>
      </c>
      <c r="B346" s="24" t="s">
        <v>41</v>
      </c>
      <c r="C346" s="24" t="s">
        <v>31</v>
      </c>
      <c r="D346" s="24">
        <v>0.2</v>
      </c>
      <c r="E346" s="24" t="s">
        <v>796</v>
      </c>
      <c r="F346" s="24" t="s">
        <v>817</v>
      </c>
      <c r="G346" s="24">
        <v>170847</v>
      </c>
    </row>
    <row r="347" spans="1:7" x14ac:dyDescent="0.25">
      <c r="A347" s="24" t="s">
        <v>131</v>
      </c>
      <c r="B347" s="24" t="s">
        <v>42</v>
      </c>
      <c r="C347" s="24" t="s">
        <v>43</v>
      </c>
      <c r="D347" s="24">
        <v>0.1</v>
      </c>
      <c r="E347" s="24" t="s">
        <v>796</v>
      </c>
      <c r="F347" s="24" t="s">
        <v>817</v>
      </c>
      <c r="G347" s="24">
        <v>170847</v>
      </c>
    </row>
    <row r="348" spans="1:7" x14ac:dyDescent="0.25">
      <c r="A348" s="24" t="s">
        <v>131</v>
      </c>
      <c r="B348" s="24" t="s">
        <v>44</v>
      </c>
      <c r="C348" s="24" t="s">
        <v>31</v>
      </c>
      <c r="D348" s="24">
        <v>0.1</v>
      </c>
      <c r="E348" s="24" t="s">
        <v>796</v>
      </c>
      <c r="F348" s="24" t="s">
        <v>817</v>
      </c>
      <c r="G348" s="24">
        <v>170847</v>
      </c>
    </row>
    <row r="349" spans="1:7" x14ac:dyDescent="0.25">
      <c r="A349" s="24" t="s">
        <v>131</v>
      </c>
      <c r="B349" s="24" t="s">
        <v>45</v>
      </c>
      <c r="C349" s="24" t="s">
        <v>31</v>
      </c>
      <c r="D349" s="24">
        <v>0.1</v>
      </c>
      <c r="E349" s="24" t="s">
        <v>796</v>
      </c>
      <c r="F349" s="24" t="s">
        <v>817</v>
      </c>
      <c r="G349" s="24">
        <v>170847</v>
      </c>
    </row>
    <row r="350" spans="1:7" x14ac:dyDescent="0.25">
      <c r="A350" s="24" t="s">
        <v>131</v>
      </c>
      <c r="B350" s="24" t="s">
        <v>46</v>
      </c>
      <c r="C350" s="24" t="s">
        <v>36</v>
      </c>
      <c r="D350" s="24">
        <v>0.6</v>
      </c>
      <c r="E350" s="24" t="s">
        <v>796</v>
      </c>
      <c r="F350" s="24" t="s">
        <v>817</v>
      </c>
      <c r="G350" s="24">
        <v>170847</v>
      </c>
    </row>
    <row r="351" spans="1:7" x14ac:dyDescent="0.25">
      <c r="A351" s="24" t="s">
        <v>131</v>
      </c>
      <c r="B351" s="24" t="s">
        <v>47</v>
      </c>
      <c r="C351" s="24" t="s">
        <v>48</v>
      </c>
      <c r="D351" s="24">
        <v>6.5</v>
      </c>
      <c r="E351" s="24" t="s">
        <v>796</v>
      </c>
      <c r="F351" s="24" t="s">
        <v>817</v>
      </c>
      <c r="G351" s="24">
        <v>170847</v>
      </c>
    </row>
    <row r="352" spans="1:7" x14ac:dyDescent="0.25">
      <c r="A352" s="24" t="s">
        <v>131</v>
      </c>
      <c r="B352" s="24" t="s">
        <v>50</v>
      </c>
      <c r="C352" s="24" t="s">
        <v>31</v>
      </c>
      <c r="D352" s="24">
        <v>60.9</v>
      </c>
      <c r="E352" s="24" t="s">
        <v>796</v>
      </c>
      <c r="F352" s="24" t="s">
        <v>817</v>
      </c>
      <c r="G352" s="24">
        <v>170847</v>
      </c>
    </row>
    <row r="353" spans="1:7" x14ac:dyDescent="0.25">
      <c r="A353" s="24" t="s">
        <v>131</v>
      </c>
      <c r="B353" s="24" t="s">
        <v>51</v>
      </c>
      <c r="C353" s="24" t="s">
        <v>31</v>
      </c>
      <c r="D353" s="24">
        <v>566.79999999999995</v>
      </c>
      <c r="E353" s="24" t="s">
        <v>796</v>
      </c>
      <c r="F353" s="24" t="s">
        <v>817</v>
      </c>
      <c r="G353" s="24">
        <v>170847</v>
      </c>
    </row>
    <row r="354" spans="1:7" x14ac:dyDescent="0.25">
      <c r="A354" s="24" t="s">
        <v>131</v>
      </c>
      <c r="B354" s="24" t="s">
        <v>52</v>
      </c>
      <c r="C354" s="24" t="s">
        <v>31</v>
      </c>
      <c r="D354" s="24">
        <v>335.6</v>
      </c>
      <c r="E354" s="24" t="s">
        <v>796</v>
      </c>
      <c r="F354" s="24" t="s">
        <v>817</v>
      </c>
      <c r="G354" s="24">
        <v>170847</v>
      </c>
    </row>
    <row r="355" spans="1:7" x14ac:dyDescent="0.25">
      <c r="A355" s="24" t="s">
        <v>131</v>
      </c>
      <c r="B355" s="24" t="s">
        <v>53</v>
      </c>
      <c r="C355" s="24" t="s">
        <v>31</v>
      </c>
      <c r="D355" s="24">
        <v>16.7</v>
      </c>
      <c r="E355" s="24" t="s">
        <v>796</v>
      </c>
      <c r="F355" s="24" t="s">
        <v>817</v>
      </c>
      <c r="G355" s="24">
        <v>170847</v>
      </c>
    </row>
    <row r="356" spans="1:7" x14ac:dyDescent="0.25">
      <c r="A356" s="24" t="s">
        <v>131</v>
      </c>
      <c r="B356" s="24" t="s">
        <v>54</v>
      </c>
      <c r="C356" s="24" t="s">
        <v>31</v>
      </c>
      <c r="D356" s="24">
        <v>0.2</v>
      </c>
      <c r="E356" s="24" t="s">
        <v>796</v>
      </c>
      <c r="F356" s="24" t="s">
        <v>817</v>
      </c>
      <c r="G356" s="24">
        <v>170847</v>
      </c>
    </row>
    <row r="357" spans="1:7" x14ac:dyDescent="0.25">
      <c r="A357" s="24" t="s">
        <v>131</v>
      </c>
      <c r="B357" s="24" t="s">
        <v>55</v>
      </c>
      <c r="C357" s="24" t="s">
        <v>31</v>
      </c>
      <c r="D357" s="24">
        <v>2</v>
      </c>
      <c r="E357" s="24" t="s">
        <v>796</v>
      </c>
      <c r="F357" s="24" t="s">
        <v>817</v>
      </c>
      <c r="G357" s="24">
        <v>170847</v>
      </c>
    </row>
    <row r="358" spans="1:7" x14ac:dyDescent="0.25">
      <c r="A358" s="24" t="s">
        <v>131</v>
      </c>
      <c r="B358" s="24" t="s">
        <v>56</v>
      </c>
      <c r="C358" s="24" t="s">
        <v>31</v>
      </c>
      <c r="D358" s="24">
        <v>0</v>
      </c>
      <c r="E358" s="24" t="s">
        <v>796</v>
      </c>
      <c r="F358" s="24" t="s">
        <v>817</v>
      </c>
      <c r="G358" s="24">
        <v>170847</v>
      </c>
    </row>
    <row r="359" spans="1:7" x14ac:dyDescent="0.25">
      <c r="A359" s="24" t="s">
        <v>131</v>
      </c>
      <c r="B359" s="24" t="s">
        <v>57</v>
      </c>
      <c r="C359" s="24" t="s">
        <v>36</v>
      </c>
      <c r="D359" s="24">
        <v>10.4</v>
      </c>
      <c r="E359" s="24" t="s">
        <v>796</v>
      </c>
      <c r="F359" s="24" t="s">
        <v>817</v>
      </c>
      <c r="G359" s="24">
        <v>170847</v>
      </c>
    </row>
    <row r="360" spans="1:7" x14ac:dyDescent="0.25">
      <c r="A360" s="24" t="s">
        <v>131</v>
      </c>
      <c r="B360" s="24" t="s">
        <v>58</v>
      </c>
      <c r="C360" s="24" t="s">
        <v>5</v>
      </c>
      <c r="D360" s="24">
        <v>0</v>
      </c>
      <c r="E360" s="24" t="s">
        <v>795</v>
      </c>
      <c r="F360" s="24"/>
      <c r="G360" s="24"/>
    </row>
    <row r="361" spans="1:7" x14ac:dyDescent="0.25">
      <c r="A361" s="24" t="s">
        <v>132</v>
      </c>
      <c r="B361" s="24" t="s">
        <v>58</v>
      </c>
      <c r="C361" s="24" t="s">
        <v>5</v>
      </c>
      <c r="D361" s="24">
        <v>0</v>
      </c>
      <c r="E361" s="24" t="s">
        <v>795</v>
      </c>
      <c r="F361" s="24"/>
      <c r="G361" s="24"/>
    </row>
    <row r="362" spans="1:7" x14ac:dyDescent="0.25">
      <c r="A362" s="24" t="s">
        <v>133</v>
      </c>
      <c r="B362" s="24" t="s">
        <v>30</v>
      </c>
      <c r="C362" s="24" t="s">
        <v>31</v>
      </c>
      <c r="D362" s="24">
        <v>114</v>
      </c>
      <c r="E362" s="24" t="s">
        <v>801</v>
      </c>
      <c r="F362" s="24" t="s">
        <v>813</v>
      </c>
      <c r="G362" s="24">
        <v>171241</v>
      </c>
    </row>
    <row r="363" spans="1:7" x14ac:dyDescent="0.25">
      <c r="A363" s="24" t="s">
        <v>133</v>
      </c>
      <c r="B363" s="24" t="s">
        <v>32</v>
      </c>
      <c r="C363" s="24" t="s">
        <v>33</v>
      </c>
      <c r="D363" s="24">
        <v>161.5</v>
      </c>
      <c r="E363" s="24" t="s">
        <v>796</v>
      </c>
      <c r="F363" s="24" t="s">
        <v>813</v>
      </c>
      <c r="G363" s="24">
        <v>171241</v>
      </c>
    </row>
    <row r="364" spans="1:7" x14ac:dyDescent="0.25">
      <c r="A364" s="24" t="s">
        <v>133</v>
      </c>
      <c r="B364" s="24" t="s">
        <v>34</v>
      </c>
      <c r="C364" s="24" t="s">
        <v>31</v>
      </c>
      <c r="D364" s="24">
        <v>0</v>
      </c>
      <c r="E364" s="24" t="s">
        <v>796</v>
      </c>
      <c r="F364" s="24" t="s">
        <v>813</v>
      </c>
      <c r="G364" s="24">
        <v>171241</v>
      </c>
    </row>
    <row r="365" spans="1:7" x14ac:dyDescent="0.25">
      <c r="A365" s="24" t="s">
        <v>133</v>
      </c>
      <c r="B365" s="24" t="s">
        <v>35</v>
      </c>
      <c r="C365" s="24" t="s">
        <v>36</v>
      </c>
      <c r="D365" s="24">
        <v>0.5</v>
      </c>
      <c r="E365" s="24" t="s">
        <v>796</v>
      </c>
      <c r="F365" s="24" t="s">
        <v>813</v>
      </c>
      <c r="G365" s="24">
        <v>171241</v>
      </c>
    </row>
    <row r="366" spans="1:7" x14ac:dyDescent="0.25">
      <c r="A366" s="24" t="s">
        <v>133</v>
      </c>
      <c r="B366" s="24" t="s">
        <v>37</v>
      </c>
      <c r="C366" s="24" t="s">
        <v>38</v>
      </c>
      <c r="D366" s="24">
        <v>0.2</v>
      </c>
      <c r="E366" s="24" t="s">
        <v>796</v>
      </c>
      <c r="F366" s="24" t="s">
        <v>813</v>
      </c>
      <c r="G366" s="24">
        <v>171241</v>
      </c>
    </row>
    <row r="367" spans="1:7" x14ac:dyDescent="0.25">
      <c r="A367" s="24" t="s">
        <v>133</v>
      </c>
      <c r="B367" s="24" t="s">
        <v>39</v>
      </c>
      <c r="C367" s="24" t="s">
        <v>36</v>
      </c>
      <c r="D367" s="24">
        <v>2.2999999999999998</v>
      </c>
      <c r="E367" s="24" t="s">
        <v>796</v>
      </c>
      <c r="F367" s="24" t="s">
        <v>813</v>
      </c>
      <c r="G367" s="24">
        <v>171241</v>
      </c>
    </row>
    <row r="368" spans="1:7" x14ac:dyDescent="0.25">
      <c r="A368" s="24" t="s">
        <v>133</v>
      </c>
      <c r="B368" s="24" t="s">
        <v>40</v>
      </c>
      <c r="C368" s="24" t="s">
        <v>31</v>
      </c>
      <c r="D368" s="24">
        <v>0</v>
      </c>
      <c r="E368" s="24" t="s">
        <v>796</v>
      </c>
      <c r="F368" s="24" t="s">
        <v>813</v>
      </c>
      <c r="G368" s="24">
        <v>171241</v>
      </c>
    </row>
    <row r="369" spans="1:7" x14ac:dyDescent="0.25">
      <c r="A369" s="24" t="s">
        <v>133</v>
      </c>
      <c r="B369" s="24" t="s">
        <v>41</v>
      </c>
      <c r="C369" s="24" t="s">
        <v>31</v>
      </c>
      <c r="D369" s="24">
        <v>0.3</v>
      </c>
      <c r="E369" s="24" t="s">
        <v>796</v>
      </c>
      <c r="F369" s="24" t="s">
        <v>813</v>
      </c>
      <c r="G369" s="24">
        <v>171241</v>
      </c>
    </row>
    <row r="370" spans="1:7" x14ac:dyDescent="0.25">
      <c r="A370" s="24" t="s">
        <v>133</v>
      </c>
      <c r="B370" s="24" t="s">
        <v>42</v>
      </c>
      <c r="C370" s="24" t="s">
        <v>43</v>
      </c>
      <c r="D370" s="24">
        <v>0.1</v>
      </c>
      <c r="E370" s="24" t="s">
        <v>796</v>
      </c>
      <c r="F370" s="24" t="s">
        <v>813</v>
      </c>
      <c r="G370" s="24">
        <v>171241</v>
      </c>
    </row>
    <row r="371" spans="1:7" x14ac:dyDescent="0.25">
      <c r="A371" s="24" t="s">
        <v>133</v>
      </c>
      <c r="B371" s="24" t="s">
        <v>44</v>
      </c>
      <c r="C371" s="24" t="s">
        <v>31</v>
      </c>
      <c r="D371" s="24">
        <v>0.1</v>
      </c>
      <c r="E371" s="24" t="s">
        <v>796</v>
      </c>
      <c r="F371" s="24" t="s">
        <v>813</v>
      </c>
      <c r="G371" s="24">
        <v>171241</v>
      </c>
    </row>
    <row r="372" spans="1:7" x14ac:dyDescent="0.25">
      <c r="A372" s="24" t="s">
        <v>133</v>
      </c>
      <c r="B372" s="24" t="s">
        <v>45</v>
      </c>
      <c r="C372" s="24" t="s">
        <v>31</v>
      </c>
      <c r="D372" s="24">
        <v>0.3</v>
      </c>
      <c r="E372" s="24" t="s">
        <v>796</v>
      </c>
      <c r="F372" s="24" t="s">
        <v>813</v>
      </c>
      <c r="G372" s="24">
        <v>171241</v>
      </c>
    </row>
    <row r="373" spans="1:7" x14ac:dyDescent="0.25">
      <c r="A373" s="24" t="s">
        <v>133</v>
      </c>
      <c r="B373" s="24" t="s">
        <v>46</v>
      </c>
      <c r="C373" s="24" t="s">
        <v>36</v>
      </c>
      <c r="D373" s="24">
        <v>1.5</v>
      </c>
      <c r="E373" s="24" t="s">
        <v>796</v>
      </c>
      <c r="F373" s="24" t="s">
        <v>813</v>
      </c>
      <c r="G373" s="24">
        <v>171241</v>
      </c>
    </row>
    <row r="374" spans="1:7" x14ac:dyDescent="0.25">
      <c r="A374" s="24" t="s">
        <v>133</v>
      </c>
      <c r="B374" s="24" t="s">
        <v>47</v>
      </c>
      <c r="C374" s="24" t="s">
        <v>48</v>
      </c>
      <c r="D374" s="24">
        <v>20.6</v>
      </c>
      <c r="E374" s="24" t="s">
        <v>796</v>
      </c>
      <c r="F374" s="24" t="s">
        <v>813</v>
      </c>
      <c r="G374" s="24">
        <v>171241</v>
      </c>
    </row>
    <row r="375" spans="1:7" x14ac:dyDescent="0.25">
      <c r="A375" s="24" t="s">
        <v>133</v>
      </c>
      <c r="B375" s="24" t="s">
        <v>50</v>
      </c>
      <c r="C375" s="24" t="s">
        <v>31</v>
      </c>
      <c r="D375" s="24">
        <v>118.4</v>
      </c>
      <c r="E375" s="24" t="s">
        <v>796</v>
      </c>
      <c r="F375" s="24" t="s">
        <v>813</v>
      </c>
      <c r="G375" s="24">
        <v>171241</v>
      </c>
    </row>
    <row r="376" spans="1:7" x14ac:dyDescent="0.25">
      <c r="A376" s="24" t="s">
        <v>133</v>
      </c>
      <c r="B376" s="24" t="s">
        <v>52</v>
      </c>
      <c r="C376" s="24" t="s">
        <v>31</v>
      </c>
      <c r="D376" s="24">
        <v>534.4</v>
      </c>
      <c r="E376" s="24" t="s">
        <v>796</v>
      </c>
      <c r="F376" s="24" t="s">
        <v>813</v>
      </c>
      <c r="G376" s="24">
        <v>171241</v>
      </c>
    </row>
    <row r="377" spans="1:7" x14ac:dyDescent="0.25">
      <c r="A377" s="24" t="s">
        <v>133</v>
      </c>
      <c r="B377" s="24" t="s">
        <v>53</v>
      </c>
      <c r="C377" s="24" t="s">
        <v>31</v>
      </c>
      <c r="D377" s="24">
        <v>28.4</v>
      </c>
      <c r="E377" s="24" t="s">
        <v>796</v>
      </c>
      <c r="F377" s="24" t="s">
        <v>813</v>
      </c>
      <c r="G377" s="24">
        <v>171241</v>
      </c>
    </row>
    <row r="378" spans="1:7" x14ac:dyDescent="0.25">
      <c r="A378" s="24" t="s">
        <v>133</v>
      </c>
      <c r="B378" s="24" t="s">
        <v>54</v>
      </c>
      <c r="C378" s="24" t="s">
        <v>31</v>
      </c>
      <c r="D378" s="24">
        <v>0.2</v>
      </c>
      <c r="E378" s="24" t="s">
        <v>796</v>
      </c>
      <c r="F378" s="24" t="s">
        <v>813</v>
      </c>
      <c r="G378" s="24">
        <v>171241</v>
      </c>
    </row>
    <row r="379" spans="1:7" x14ac:dyDescent="0.25">
      <c r="A379" s="24" t="s">
        <v>133</v>
      </c>
      <c r="B379" s="24" t="s">
        <v>55</v>
      </c>
      <c r="C379" s="24" t="s">
        <v>31</v>
      </c>
      <c r="D379" s="24">
        <v>3.8</v>
      </c>
      <c r="E379" s="24" t="s">
        <v>796</v>
      </c>
      <c r="F379" s="24" t="s">
        <v>813</v>
      </c>
      <c r="G379" s="24">
        <v>171241</v>
      </c>
    </row>
    <row r="380" spans="1:7" x14ac:dyDescent="0.25">
      <c r="A380" s="24" t="s">
        <v>133</v>
      </c>
      <c r="B380" s="24" t="s">
        <v>56</v>
      </c>
      <c r="C380" s="24" t="s">
        <v>31</v>
      </c>
      <c r="D380" s="24">
        <v>0</v>
      </c>
      <c r="E380" s="24" t="s">
        <v>796</v>
      </c>
      <c r="F380" s="24" t="s">
        <v>813</v>
      </c>
      <c r="G380" s="24">
        <v>171241</v>
      </c>
    </row>
    <row r="381" spans="1:7" x14ac:dyDescent="0.25">
      <c r="A381" s="24" t="s">
        <v>133</v>
      </c>
      <c r="B381" s="24" t="s">
        <v>57</v>
      </c>
      <c r="C381" s="24" t="s">
        <v>36</v>
      </c>
      <c r="D381" s="24">
        <v>14.2</v>
      </c>
      <c r="E381" s="24" t="s">
        <v>796</v>
      </c>
      <c r="F381" s="24" t="s">
        <v>813</v>
      </c>
      <c r="G381" s="24">
        <v>171241</v>
      </c>
    </row>
    <row r="382" spans="1:7" x14ac:dyDescent="0.25">
      <c r="A382" s="24" t="s">
        <v>133</v>
      </c>
      <c r="B382" s="24" t="s">
        <v>58</v>
      </c>
      <c r="C382" s="24" t="s">
        <v>5</v>
      </c>
      <c r="D382" s="24">
        <v>0</v>
      </c>
      <c r="E382" s="24" t="s">
        <v>795</v>
      </c>
      <c r="F382" s="24"/>
      <c r="G382" s="24"/>
    </row>
    <row r="383" spans="1:7" x14ac:dyDescent="0.25">
      <c r="A383" s="24" t="s">
        <v>134</v>
      </c>
      <c r="B383" s="24" t="s">
        <v>32</v>
      </c>
      <c r="C383" s="24" t="s">
        <v>33</v>
      </c>
      <c r="D383" s="24">
        <v>331.6</v>
      </c>
      <c r="E383" s="24" t="s">
        <v>796</v>
      </c>
      <c r="F383" s="24" t="s">
        <v>818</v>
      </c>
      <c r="G383" s="24">
        <v>171245</v>
      </c>
    </row>
    <row r="384" spans="1:7" x14ac:dyDescent="0.25">
      <c r="A384" s="24" t="s">
        <v>134</v>
      </c>
      <c r="B384" s="24" t="s">
        <v>34</v>
      </c>
      <c r="C384" s="24" t="s">
        <v>31</v>
      </c>
      <c r="D384" s="24">
        <v>0</v>
      </c>
      <c r="E384" s="24" t="s">
        <v>796</v>
      </c>
      <c r="F384" s="24" t="s">
        <v>818</v>
      </c>
      <c r="G384" s="24">
        <v>171245</v>
      </c>
    </row>
    <row r="385" spans="1:7" x14ac:dyDescent="0.25">
      <c r="A385" s="24" t="s">
        <v>134</v>
      </c>
      <c r="B385" s="24" t="s">
        <v>35</v>
      </c>
      <c r="C385" s="24" t="s">
        <v>36</v>
      </c>
      <c r="D385" s="24">
        <v>0.7</v>
      </c>
      <c r="E385" s="24" t="s">
        <v>796</v>
      </c>
      <c r="F385" s="24" t="s">
        <v>818</v>
      </c>
      <c r="G385" s="24">
        <v>171245</v>
      </c>
    </row>
    <row r="386" spans="1:7" x14ac:dyDescent="0.25">
      <c r="A386" s="24" t="s">
        <v>134</v>
      </c>
      <c r="B386" s="24" t="s">
        <v>37</v>
      </c>
      <c r="C386" s="24" t="s">
        <v>38</v>
      </c>
      <c r="D386" s="24">
        <v>0.3</v>
      </c>
      <c r="E386" s="24" t="s">
        <v>796</v>
      </c>
      <c r="F386" s="24" t="s">
        <v>818</v>
      </c>
      <c r="G386" s="24">
        <v>171245</v>
      </c>
    </row>
    <row r="387" spans="1:7" x14ac:dyDescent="0.25">
      <c r="A387" s="24" t="s">
        <v>134</v>
      </c>
      <c r="B387" s="24" t="s">
        <v>39</v>
      </c>
      <c r="C387" s="24" t="s">
        <v>36</v>
      </c>
      <c r="D387" s="24">
        <v>2.8</v>
      </c>
      <c r="E387" s="24" t="s">
        <v>796</v>
      </c>
      <c r="F387" s="24" t="s">
        <v>818</v>
      </c>
      <c r="G387" s="24">
        <v>171245</v>
      </c>
    </row>
    <row r="388" spans="1:7" x14ac:dyDescent="0.25">
      <c r="A388" s="24" t="s">
        <v>134</v>
      </c>
      <c r="B388" s="24" t="s">
        <v>40</v>
      </c>
      <c r="C388" s="24" t="s">
        <v>31</v>
      </c>
      <c r="D388" s="24">
        <v>0</v>
      </c>
      <c r="E388" s="24" t="s">
        <v>796</v>
      </c>
      <c r="F388" s="24" t="s">
        <v>818</v>
      </c>
      <c r="G388" s="24">
        <v>171245</v>
      </c>
    </row>
    <row r="389" spans="1:7" x14ac:dyDescent="0.25">
      <c r="A389" s="24" t="s">
        <v>134</v>
      </c>
      <c r="B389" s="24" t="s">
        <v>41</v>
      </c>
      <c r="C389" s="24" t="s">
        <v>31</v>
      </c>
      <c r="D389" s="24">
        <v>0.4</v>
      </c>
      <c r="E389" s="24" t="s">
        <v>796</v>
      </c>
      <c r="F389" s="24" t="s">
        <v>818</v>
      </c>
      <c r="G389" s="24">
        <v>171245</v>
      </c>
    </row>
    <row r="390" spans="1:7" x14ac:dyDescent="0.25">
      <c r="A390" s="24" t="s">
        <v>134</v>
      </c>
      <c r="B390" s="24" t="s">
        <v>42</v>
      </c>
      <c r="C390" s="24" t="s">
        <v>43</v>
      </c>
      <c r="D390" s="24">
        <v>0.1</v>
      </c>
      <c r="E390" s="24" t="s">
        <v>796</v>
      </c>
      <c r="F390" s="24" t="s">
        <v>818</v>
      </c>
      <c r="G390" s="24">
        <v>171245</v>
      </c>
    </row>
    <row r="391" spans="1:7" x14ac:dyDescent="0.25">
      <c r="A391" s="24" t="s">
        <v>134</v>
      </c>
      <c r="B391" s="24" t="s">
        <v>44</v>
      </c>
      <c r="C391" s="24" t="s">
        <v>31</v>
      </c>
      <c r="D391" s="24">
        <v>0.1</v>
      </c>
      <c r="E391" s="24" t="s">
        <v>796</v>
      </c>
      <c r="F391" s="24" t="s">
        <v>818</v>
      </c>
      <c r="G391" s="24">
        <v>171245</v>
      </c>
    </row>
    <row r="392" spans="1:7" x14ac:dyDescent="0.25">
      <c r="A392" s="24" t="s">
        <v>134</v>
      </c>
      <c r="B392" s="24" t="s">
        <v>45</v>
      </c>
      <c r="C392" s="24" t="s">
        <v>31</v>
      </c>
      <c r="D392" s="24">
        <v>0.2</v>
      </c>
      <c r="E392" s="24" t="s">
        <v>796</v>
      </c>
      <c r="F392" s="24" t="s">
        <v>818</v>
      </c>
      <c r="G392" s="24">
        <v>171245</v>
      </c>
    </row>
    <row r="393" spans="1:7" x14ac:dyDescent="0.25">
      <c r="A393" s="24" t="s">
        <v>134</v>
      </c>
      <c r="B393" s="24" t="s">
        <v>46</v>
      </c>
      <c r="C393" s="24" t="s">
        <v>36</v>
      </c>
      <c r="D393" s="24">
        <v>1.6</v>
      </c>
      <c r="E393" s="24" t="s">
        <v>796</v>
      </c>
      <c r="F393" s="24" t="s">
        <v>818</v>
      </c>
      <c r="G393" s="24">
        <v>171245</v>
      </c>
    </row>
    <row r="394" spans="1:7" x14ac:dyDescent="0.25">
      <c r="A394" s="24" t="s">
        <v>134</v>
      </c>
      <c r="B394" s="24" t="s">
        <v>47</v>
      </c>
      <c r="C394" s="24" t="s">
        <v>48</v>
      </c>
      <c r="D394" s="24">
        <v>13.4</v>
      </c>
      <c r="E394" s="24" t="s">
        <v>796</v>
      </c>
      <c r="F394" s="24" t="s">
        <v>818</v>
      </c>
      <c r="G394" s="24">
        <v>171245</v>
      </c>
    </row>
    <row r="395" spans="1:7" x14ac:dyDescent="0.25">
      <c r="A395" s="24" t="s">
        <v>134</v>
      </c>
      <c r="B395" s="24" t="s">
        <v>50</v>
      </c>
      <c r="C395" s="24" t="s">
        <v>31</v>
      </c>
      <c r="D395" s="24">
        <v>149.1</v>
      </c>
      <c r="E395" s="24" t="s">
        <v>796</v>
      </c>
      <c r="F395" s="24" t="s">
        <v>818</v>
      </c>
      <c r="G395" s="24">
        <v>171245</v>
      </c>
    </row>
    <row r="396" spans="1:7" x14ac:dyDescent="0.25">
      <c r="A396" s="24" t="s">
        <v>134</v>
      </c>
      <c r="B396" s="24" t="s">
        <v>51</v>
      </c>
      <c r="C396" s="24" t="s">
        <v>31</v>
      </c>
      <c r="D396" s="24">
        <v>797.9</v>
      </c>
      <c r="E396" s="24" t="s">
        <v>796</v>
      </c>
      <c r="F396" s="24" t="s">
        <v>818</v>
      </c>
      <c r="G396" s="24">
        <v>171245</v>
      </c>
    </row>
    <row r="397" spans="1:7" x14ac:dyDescent="0.25">
      <c r="A397" s="24" t="s">
        <v>134</v>
      </c>
      <c r="B397" s="24" t="s">
        <v>52</v>
      </c>
      <c r="C397" s="24" t="s">
        <v>31</v>
      </c>
      <c r="D397" s="24">
        <v>520.79999999999995</v>
      </c>
      <c r="E397" s="24" t="s">
        <v>796</v>
      </c>
      <c r="F397" s="24" t="s">
        <v>818</v>
      </c>
      <c r="G397" s="24">
        <v>171245</v>
      </c>
    </row>
    <row r="398" spans="1:7" x14ac:dyDescent="0.25">
      <c r="A398" s="24" t="s">
        <v>134</v>
      </c>
      <c r="B398" s="24" t="s">
        <v>53</v>
      </c>
      <c r="C398" s="24" t="s">
        <v>31</v>
      </c>
      <c r="D398" s="24">
        <v>30</v>
      </c>
      <c r="E398" s="24" t="s">
        <v>796</v>
      </c>
      <c r="F398" s="24" t="s">
        <v>818</v>
      </c>
      <c r="G398" s="24">
        <v>171245</v>
      </c>
    </row>
    <row r="399" spans="1:7" x14ac:dyDescent="0.25">
      <c r="A399" s="24" t="s">
        <v>134</v>
      </c>
      <c r="B399" s="24" t="s">
        <v>54</v>
      </c>
      <c r="C399" s="24" t="s">
        <v>31</v>
      </c>
      <c r="D399" s="24">
        <v>0.5</v>
      </c>
      <c r="E399" s="24" t="s">
        <v>796</v>
      </c>
      <c r="F399" s="24" t="s">
        <v>818</v>
      </c>
      <c r="G399" s="24">
        <v>171245</v>
      </c>
    </row>
    <row r="400" spans="1:7" x14ac:dyDescent="0.25">
      <c r="A400" s="24" t="s">
        <v>134</v>
      </c>
      <c r="B400" s="24" t="s">
        <v>55</v>
      </c>
      <c r="C400" s="24" t="s">
        <v>31</v>
      </c>
      <c r="D400" s="24">
        <v>3.1</v>
      </c>
      <c r="E400" s="24" t="s">
        <v>796</v>
      </c>
      <c r="F400" s="24" t="s">
        <v>818</v>
      </c>
      <c r="G400" s="24">
        <v>171245</v>
      </c>
    </row>
    <row r="401" spans="1:7" x14ac:dyDescent="0.25">
      <c r="A401" s="24" t="s">
        <v>134</v>
      </c>
      <c r="B401" s="24" t="s">
        <v>56</v>
      </c>
      <c r="C401" s="24" t="s">
        <v>31</v>
      </c>
      <c r="D401" s="24">
        <v>0</v>
      </c>
      <c r="E401" s="24" t="s">
        <v>796</v>
      </c>
      <c r="F401" s="24" t="s">
        <v>818</v>
      </c>
      <c r="G401" s="24">
        <v>171245</v>
      </c>
    </row>
    <row r="402" spans="1:7" x14ac:dyDescent="0.25">
      <c r="A402" s="24" t="s">
        <v>134</v>
      </c>
      <c r="B402" s="24" t="s">
        <v>57</v>
      </c>
      <c r="C402" s="24" t="s">
        <v>36</v>
      </c>
      <c r="D402" s="24">
        <v>16.100000000000001</v>
      </c>
      <c r="E402" s="24" t="s">
        <v>796</v>
      </c>
      <c r="F402" s="24" t="s">
        <v>818</v>
      </c>
      <c r="G402" s="24">
        <v>171245</v>
      </c>
    </row>
    <row r="403" spans="1:7" x14ac:dyDescent="0.25">
      <c r="A403" s="24" t="s">
        <v>134</v>
      </c>
      <c r="B403" s="24" t="s">
        <v>58</v>
      </c>
      <c r="C403" s="24" t="s">
        <v>5</v>
      </c>
      <c r="D403" s="24">
        <v>0</v>
      </c>
      <c r="E403" s="24" t="s">
        <v>795</v>
      </c>
      <c r="F403" s="24"/>
      <c r="G403" s="24"/>
    </row>
    <row r="404" spans="1:7" x14ac:dyDescent="0.25">
      <c r="A404" s="24" t="s">
        <v>135</v>
      </c>
      <c r="B404" s="24" t="s">
        <v>32</v>
      </c>
      <c r="C404" s="24" t="s">
        <v>33</v>
      </c>
      <c r="D404" s="24">
        <v>119.2</v>
      </c>
      <c r="E404" s="24" t="s">
        <v>796</v>
      </c>
      <c r="F404" s="24" t="s">
        <v>819</v>
      </c>
      <c r="G404" s="24">
        <v>170845</v>
      </c>
    </row>
    <row r="405" spans="1:7" x14ac:dyDescent="0.25">
      <c r="A405" s="24" t="s">
        <v>135</v>
      </c>
      <c r="B405" s="24" t="s">
        <v>34</v>
      </c>
      <c r="C405" s="24" t="s">
        <v>31</v>
      </c>
      <c r="D405" s="24">
        <v>0</v>
      </c>
      <c r="E405" s="24" t="s">
        <v>796</v>
      </c>
      <c r="F405" s="24" t="s">
        <v>819</v>
      </c>
      <c r="G405" s="24">
        <v>170845</v>
      </c>
    </row>
    <row r="406" spans="1:7" x14ac:dyDescent="0.25">
      <c r="A406" s="24" t="s">
        <v>135</v>
      </c>
      <c r="B406" s="24" t="s">
        <v>35</v>
      </c>
      <c r="C406" s="24" t="s">
        <v>36</v>
      </c>
      <c r="D406" s="24">
        <v>0.3</v>
      </c>
      <c r="E406" s="24" t="s">
        <v>796</v>
      </c>
      <c r="F406" s="24" t="s">
        <v>819</v>
      </c>
      <c r="G406" s="24">
        <v>170845</v>
      </c>
    </row>
    <row r="407" spans="1:7" x14ac:dyDescent="0.25">
      <c r="A407" s="24" t="s">
        <v>135</v>
      </c>
      <c r="B407" s="24" t="s">
        <v>37</v>
      </c>
      <c r="C407" s="24" t="s">
        <v>38</v>
      </c>
      <c r="D407" s="24">
        <v>0.1</v>
      </c>
      <c r="E407" s="24" t="s">
        <v>796</v>
      </c>
      <c r="F407" s="24" t="s">
        <v>819</v>
      </c>
      <c r="G407" s="24">
        <v>170845</v>
      </c>
    </row>
    <row r="408" spans="1:7" x14ac:dyDescent="0.25">
      <c r="A408" s="24" t="s">
        <v>135</v>
      </c>
      <c r="B408" s="24" t="s">
        <v>39</v>
      </c>
      <c r="C408" s="24" t="s">
        <v>36</v>
      </c>
      <c r="D408" s="24">
        <v>1.5</v>
      </c>
      <c r="E408" s="24" t="s">
        <v>796</v>
      </c>
      <c r="F408" s="24" t="s">
        <v>819</v>
      </c>
      <c r="G408" s="24">
        <v>170845</v>
      </c>
    </row>
    <row r="409" spans="1:7" x14ac:dyDescent="0.25">
      <c r="A409" s="24" t="s">
        <v>135</v>
      </c>
      <c r="B409" s="24" t="s">
        <v>40</v>
      </c>
      <c r="C409" s="24" t="s">
        <v>31</v>
      </c>
      <c r="D409" s="24">
        <v>0</v>
      </c>
      <c r="E409" s="24" t="s">
        <v>796</v>
      </c>
      <c r="F409" s="24" t="s">
        <v>819</v>
      </c>
      <c r="G409" s="24">
        <v>170845</v>
      </c>
    </row>
    <row r="410" spans="1:7" x14ac:dyDescent="0.25">
      <c r="A410" s="24" t="s">
        <v>135</v>
      </c>
      <c r="B410" s="24" t="s">
        <v>41</v>
      </c>
      <c r="C410" s="24" t="s">
        <v>31</v>
      </c>
      <c r="D410" s="24">
        <v>0.2</v>
      </c>
      <c r="E410" s="24" t="s">
        <v>796</v>
      </c>
      <c r="F410" s="24" t="s">
        <v>819</v>
      </c>
      <c r="G410" s="24">
        <v>170845</v>
      </c>
    </row>
    <row r="411" spans="1:7" x14ac:dyDescent="0.25">
      <c r="A411" s="24" t="s">
        <v>135</v>
      </c>
      <c r="B411" s="24" t="s">
        <v>42</v>
      </c>
      <c r="C411" s="24" t="s">
        <v>43</v>
      </c>
      <c r="D411" s="24">
        <v>0.1</v>
      </c>
      <c r="E411" s="24" t="s">
        <v>796</v>
      </c>
      <c r="F411" s="24" t="s">
        <v>819</v>
      </c>
      <c r="G411" s="24">
        <v>170845</v>
      </c>
    </row>
    <row r="412" spans="1:7" x14ac:dyDescent="0.25">
      <c r="A412" s="24" t="s">
        <v>135</v>
      </c>
      <c r="B412" s="24" t="s">
        <v>44</v>
      </c>
      <c r="C412" s="24" t="s">
        <v>31</v>
      </c>
      <c r="D412" s="24">
        <v>0</v>
      </c>
      <c r="E412" s="24" t="s">
        <v>796</v>
      </c>
      <c r="F412" s="24" t="s">
        <v>819</v>
      </c>
      <c r="G412" s="24">
        <v>170845</v>
      </c>
    </row>
    <row r="413" spans="1:7" x14ac:dyDescent="0.25">
      <c r="A413" s="24" t="s">
        <v>135</v>
      </c>
      <c r="B413" s="24" t="s">
        <v>45</v>
      </c>
      <c r="C413" s="24" t="s">
        <v>31</v>
      </c>
      <c r="D413" s="24">
        <v>0.1</v>
      </c>
      <c r="E413" s="24" t="s">
        <v>796</v>
      </c>
      <c r="F413" s="24" t="s">
        <v>819</v>
      </c>
      <c r="G413" s="24">
        <v>170845</v>
      </c>
    </row>
    <row r="414" spans="1:7" x14ac:dyDescent="0.25">
      <c r="A414" s="24" t="s">
        <v>135</v>
      </c>
      <c r="B414" s="24" t="s">
        <v>46</v>
      </c>
      <c r="C414" s="24" t="s">
        <v>36</v>
      </c>
      <c r="D414" s="24">
        <v>1.5</v>
      </c>
      <c r="E414" s="24" t="s">
        <v>796</v>
      </c>
      <c r="F414" s="24" t="s">
        <v>819</v>
      </c>
      <c r="G414" s="24">
        <v>170845</v>
      </c>
    </row>
    <row r="415" spans="1:7" x14ac:dyDescent="0.25">
      <c r="A415" s="24" t="s">
        <v>135</v>
      </c>
      <c r="B415" s="24" t="s">
        <v>47</v>
      </c>
      <c r="C415" s="24" t="s">
        <v>48</v>
      </c>
      <c r="D415" s="24">
        <v>4.7</v>
      </c>
      <c r="E415" s="24" t="s">
        <v>796</v>
      </c>
      <c r="F415" s="24" t="s">
        <v>819</v>
      </c>
      <c r="G415" s="24">
        <v>170845</v>
      </c>
    </row>
    <row r="416" spans="1:7" x14ac:dyDescent="0.25">
      <c r="A416" s="24" t="s">
        <v>135</v>
      </c>
      <c r="B416" s="24" t="s">
        <v>50</v>
      </c>
      <c r="C416" s="24" t="s">
        <v>31</v>
      </c>
      <c r="D416" s="24">
        <v>50.6</v>
      </c>
      <c r="E416" s="24" t="s">
        <v>796</v>
      </c>
      <c r="F416" s="24" t="s">
        <v>819</v>
      </c>
      <c r="G416" s="24">
        <v>170845</v>
      </c>
    </row>
    <row r="417" spans="1:7" x14ac:dyDescent="0.25">
      <c r="A417" s="24" t="s">
        <v>135</v>
      </c>
      <c r="B417" s="24" t="s">
        <v>51</v>
      </c>
      <c r="C417" s="24" t="s">
        <v>31</v>
      </c>
      <c r="D417" s="24">
        <v>336.4</v>
      </c>
      <c r="E417" s="24" t="s">
        <v>796</v>
      </c>
      <c r="F417" s="24" t="s">
        <v>819</v>
      </c>
      <c r="G417" s="24">
        <v>170845</v>
      </c>
    </row>
    <row r="418" spans="1:7" x14ac:dyDescent="0.25">
      <c r="A418" s="24" t="s">
        <v>135</v>
      </c>
      <c r="B418" s="24" t="s">
        <v>52</v>
      </c>
      <c r="C418" s="24" t="s">
        <v>31</v>
      </c>
      <c r="D418" s="24">
        <v>235.8</v>
      </c>
      <c r="E418" s="24" t="s">
        <v>796</v>
      </c>
      <c r="F418" s="24" t="s">
        <v>819</v>
      </c>
      <c r="G418" s="24">
        <v>170845</v>
      </c>
    </row>
    <row r="419" spans="1:7" x14ac:dyDescent="0.25">
      <c r="A419" s="24" t="s">
        <v>135</v>
      </c>
      <c r="B419" s="24" t="s">
        <v>53</v>
      </c>
      <c r="C419" s="24" t="s">
        <v>31</v>
      </c>
      <c r="D419" s="24">
        <v>13.3</v>
      </c>
      <c r="E419" s="24" t="s">
        <v>796</v>
      </c>
      <c r="F419" s="24" t="s">
        <v>819</v>
      </c>
      <c r="G419" s="24">
        <v>170845</v>
      </c>
    </row>
    <row r="420" spans="1:7" x14ac:dyDescent="0.25">
      <c r="A420" s="24" t="s">
        <v>135</v>
      </c>
      <c r="B420" s="24" t="s">
        <v>54</v>
      </c>
      <c r="C420" s="24" t="s">
        <v>31</v>
      </c>
      <c r="D420" s="24">
        <v>0.3</v>
      </c>
      <c r="E420" s="24" t="s">
        <v>796</v>
      </c>
      <c r="F420" s="24" t="s">
        <v>819</v>
      </c>
      <c r="G420" s="24">
        <v>170845</v>
      </c>
    </row>
    <row r="421" spans="1:7" x14ac:dyDescent="0.25">
      <c r="A421" s="24" t="s">
        <v>135</v>
      </c>
      <c r="B421" s="24" t="s">
        <v>55</v>
      </c>
      <c r="C421" s="24" t="s">
        <v>31</v>
      </c>
      <c r="D421" s="24">
        <v>1.9</v>
      </c>
      <c r="E421" s="24" t="s">
        <v>796</v>
      </c>
      <c r="F421" s="24" t="s">
        <v>819</v>
      </c>
      <c r="G421" s="24">
        <v>170845</v>
      </c>
    </row>
    <row r="422" spans="1:7" x14ac:dyDescent="0.25">
      <c r="A422" s="24" t="s">
        <v>135</v>
      </c>
      <c r="B422" s="24" t="s">
        <v>56</v>
      </c>
      <c r="C422" s="24" t="s">
        <v>31</v>
      </c>
      <c r="D422" s="24">
        <v>0</v>
      </c>
      <c r="E422" s="24" t="s">
        <v>796</v>
      </c>
      <c r="F422" s="24" t="s">
        <v>819</v>
      </c>
      <c r="G422" s="24">
        <v>170845</v>
      </c>
    </row>
    <row r="423" spans="1:7" x14ac:dyDescent="0.25">
      <c r="A423" s="24" t="s">
        <v>135</v>
      </c>
      <c r="B423" s="24" t="s">
        <v>57</v>
      </c>
      <c r="C423" s="24" t="s">
        <v>36</v>
      </c>
      <c r="D423" s="24">
        <v>11.3</v>
      </c>
      <c r="E423" s="24" t="s">
        <v>796</v>
      </c>
      <c r="F423" s="24" t="s">
        <v>819</v>
      </c>
      <c r="G423" s="24">
        <v>170845</v>
      </c>
    </row>
    <row r="424" spans="1:7" x14ac:dyDescent="0.25">
      <c r="A424" s="24" t="s">
        <v>135</v>
      </c>
      <c r="B424" s="24" t="s">
        <v>58</v>
      </c>
      <c r="C424" s="24" t="s">
        <v>5</v>
      </c>
      <c r="D424" s="24">
        <v>0</v>
      </c>
      <c r="E424" s="24" t="s">
        <v>795</v>
      </c>
      <c r="F424" s="24"/>
      <c r="G424" s="24"/>
    </row>
    <row r="425" spans="1:7" x14ac:dyDescent="0.25">
      <c r="A425" s="24" t="s">
        <v>136</v>
      </c>
      <c r="B425" s="24" t="s">
        <v>23</v>
      </c>
      <c r="C425" s="24" t="s">
        <v>5</v>
      </c>
      <c r="D425" s="24">
        <v>0.1</v>
      </c>
      <c r="E425" s="24" t="s">
        <v>796</v>
      </c>
      <c r="F425" s="24" t="s">
        <v>820</v>
      </c>
      <c r="G425" s="24">
        <v>170848</v>
      </c>
    </row>
    <row r="426" spans="1:7" x14ac:dyDescent="0.25">
      <c r="A426" s="24" t="s">
        <v>136</v>
      </c>
      <c r="B426" s="24" t="s">
        <v>26</v>
      </c>
      <c r="C426" s="24" t="s">
        <v>5</v>
      </c>
      <c r="D426" s="24">
        <v>17.52</v>
      </c>
      <c r="E426" s="24" t="s">
        <v>799</v>
      </c>
      <c r="F426" s="24" t="s">
        <v>820</v>
      </c>
      <c r="G426" s="24">
        <v>170848</v>
      </c>
    </row>
    <row r="427" spans="1:7" x14ac:dyDescent="0.25">
      <c r="A427" s="24" t="s">
        <v>136</v>
      </c>
      <c r="B427" s="24" t="s">
        <v>27</v>
      </c>
      <c r="C427" s="24" t="s">
        <v>5</v>
      </c>
      <c r="D427" s="24">
        <v>8.8699999999999992</v>
      </c>
      <c r="E427" s="24" t="s">
        <v>799</v>
      </c>
      <c r="F427" s="24" t="s">
        <v>820</v>
      </c>
      <c r="G427" s="24">
        <v>170848</v>
      </c>
    </row>
    <row r="428" spans="1:7" x14ac:dyDescent="0.25">
      <c r="A428" s="24" t="s">
        <v>136</v>
      </c>
      <c r="B428" s="24" t="s">
        <v>28</v>
      </c>
      <c r="C428" s="24" t="s">
        <v>5</v>
      </c>
      <c r="D428" s="24">
        <v>0.67</v>
      </c>
      <c r="E428" s="24" t="s">
        <v>799</v>
      </c>
      <c r="F428" s="24" t="s">
        <v>820</v>
      </c>
      <c r="G428" s="24">
        <v>170848</v>
      </c>
    </row>
    <row r="429" spans="1:7" x14ac:dyDescent="0.25">
      <c r="A429" s="24" t="s">
        <v>136</v>
      </c>
      <c r="B429" s="24" t="s">
        <v>30</v>
      </c>
      <c r="C429" s="24" t="s">
        <v>31</v>
      </c>
      <c r="D429" s="24">
        <v>68</v>
      </c>
      <c r="E429" s="24" t="s">
        <v>801</v>
      </c>
      <c r="F429" s="24" t="s">
        <v>820</v>
      </c>
      <c r="G429" s="24">
        <v>170848</v>
      </c>
    </row>
    <row r="430" spans="1:7" x14ac:dyDescent="0.25">
      <c r="A430" s="24" t="s">
        <v>136</v>
      </c>
      <c r="B430" s="24" t="s">
        <v>34</v>
      </c>
      <c r="C430" s="24" t="s">
        <v>31</v>
      </c>
      <c r="D430" s="24">
        <v>0</v>
      </c>
      <c r="E430" s="24" t="s">
        <v>796</v>
      </c>
      <c r="F430" s="24" t="s">
        <v>820</v>
      </c>
      <c r="G430" s="24">
        <v>170848</v>
      </c>
    </row>
    <row r="431" spans="1:7" x14ac:dyDescent="0.25">
      <c r="A431" s="24" t="s">
        <v>136</v>
      </c>
      <c r="B431" s="24" t="s">
        <v>35</v>
      </c>
      <c r="C431" s="24" t="s">
        <v>36</v>
      </c>
      <c r="D431" s="24">
        <v>0.6</v>
      </c>
      <c r="E431" s="24" t="s">
        <v>796</v>
      </c>
      <c r="F431" s="24" t="s">
        <v>820</v>
      </c>
      <c r="G431" s="24">
        <v>170848</v>
      </c>
    </row>
    <row r="432" spans="1:7" x14ac:dyDescent="0.25">
      <c r="A432" s="24" t="s">
        <v>136</v>
      </c>
      <c r="B432" s="24" t="s">
        <v>37</v>
      </c>
      <c r="C432" s="24" t="s">
        <v>38</v>
      </c>
      <c r="D432" s="24">
        <v>0.3</v>
      </c>
      <c r="E432" s="24" t="s">
        <v>796</v>
      </c>
      <c r="F432" s="24" t="s">
        <v>820</v>
      </c>
      <c r="G432" s="24">
        <v>170848</v>
      </c>
    </row>
    <row r="433" spans="1:7" x14ac:dyDescent="0.25">
      <c r="A433" s="24" t="s">
        <v>136</v>
      </c>
      <c r="B433" s="24" t="s">
        <v>39</v>
      </c>
      <c r="C433" s="24" t="s">
        <v>36</v>
      </c>
      <c r="D433" s="24">
        <v>2.2000000000000002</v>
      </c>
      <c r="E433" s="24" t="s">
        <v>796</v>
      </c>
      <c r="F433" s="24" t="s">
        <v>820</v>
      </c>
      <c r="G433" s="24">
        <v>170848</v>
      </c>
    </row>
    <row r="434" spans="1:7" x14ac:dyDescent="0.25">
      <c r="A434" s="24" t="s">
        <v>136</v>
      </c>
      <c r="B434" s="24" t="s">
        <v>40</v>
      </c>
      <c r="C434" s="24" t="s">
        <v>31</v>
      </c>
      <c r="D434" s="24">
        <v>0</v>
      </c>
      <c r="E434" s="24" t="s">
        <v>796</v>
      </c>
      <c r="F434" s="24" t="s">
        <v>820</v>
      </c>
      <c r="G434" s="24">
        <v>170848</v>
      </c>
    </row>
    <row r="435" spans="1:7" x14ac:dyDescent="0.25">
      <c r="A435" s="24" t="s">
        <v>136</v>
      </c>
      <c r="B435" s="24" t="s">
        <v>41</v>
      </c>
      <c r="C435" s="24" t="s">
        <v>31</v>
      </c>
      <c r="D435" s="24">
        <v>0.4</v>
      </c>
      <c r="E435" s="24" t="s">
        <v>796</v>
      </c>
      <c r="F435" s="24" t="s">
        <v>820</v>
      </c>
      <c r="G435" s="24">
        <v>170848</v>
      </c>
    </row>
    <row r="436" spans="1:7" x14ac:dyDescent="0.25">
      <c r="A436" s="24" t="s">
        <v>136</v>
      </c>
      <c r="B436" s="24" t="s">
        <v>42</v>
      </c>
      <c r="C436" s="24" t="s">
        <v>43</v>
      </c>
      <c r="D436" s="24">
        <v>0.3</v>
      </c>
      <c r="E436" s="24" t="s">
        <v>796</v>
      </c>
      <c r="F436" s="24" t="s">
        <v>820</v>
      </c>
      <c r="G436" s="24">
        <v>170848</v>
      </c>
    </row>
    <row r="437" spans="1:7" x14ac:dyDescent="0.25">
      <c r="A437" s="24" t="s">
        <v>136</v>
      </c>
      <c r="B437" s="24" t="s">
        <v>44</v>
      </c>
      <c r="C437" s="24" t="s">
        <v>31</v>
      </c>
      <c r="D437" s="24">
        <v>0.1</v>
      </c>
      <c r="E437" s="24" t="s">
        <v>796</v>
      </c>
      <c r="F437" s="24" t="s">
        <v>820</v>
      </c>
      <c r="G437" s="24">
        <v>170848</v>
      </c>
    </row>
    <row r="438" spans="1:7" x14ac:dyDescent="0.25">
      <c r="A438" s="24" t="s">
        <v>136</v>
      </c>
      <c r="B438" s="24" t="s">
        <v>45</v>
      </c>
      <c r="C438" s="24" t="s">
        <v>31</v>
      </c>
      <c r="D438" s="24">
        <v>0.6</v>
      </c>
      <c r="E438" s="24" t="s">
        <v>796</v>
      </c>
      <c r="F438" s="24" t="s">
        <v>820</v>
      </c>
      <c r="G438" s="24">
        <v>170848</v>
      </c>
    </row>
    <row r="439" spans="1:7" x14ac:dyDescent="0.25">
      <c r="A439" s="24" t="s">
        <v>136</v>
      </c>
      <c r="B439" s="24" t="s">
        <v>46</v>
      </c>
      <c r="C439" s="24" t="s">
        <v>36</v>
      </c>
      <c r="D439" s="24">
        <v>1.5</v>
      </c>
      <c r="E439" s="24" t="s">
        <v>796</v>
      </c>
      <c r="F439" s="24" t="s">
        <v>820</v>
      </c>
      <c r="G439" s="24">
        <v>170848</v>
      </c>
    </row>
    <row r="440" spans="1:7" x14ac:dyDescent="0.25">
      <c r="A440" s="24" t="s">
        <v>136</v>
      </c>
      <c r="B440" s="24" t="s">
        <v>47</v>
      </c>
      <c r="C440" s="24" t="s">
        <v>48</v>
      </c>
      <c r="D440" s="24">
        <v>9</v>
      </c>
      <c r="E440" s="24" t="s">
        <v>796</v>
      </c>
      <c r="F440" s="24" t="s">
        <v>820</v>
      </c>
      <c r="G440" s="24">
        <v>170848</v>
      </c>
    </row>
    <row r="441" spans="1:7" x14ac:dyDescent="0.25">
      <c r="A441" s="24" t="s">
        <v>136</v>
      </c>
      <c r="B441" s="24" t="s">
        <v>50</v>
      </c>
      <c r="C441" s="24" t="s">
        <v>31</v>
      </c>
      <c r="D441" s="24">
        <v>117.9</v>
      </c>
      <c r="E441" s="24" t="s">
        <v>796</v>
      </c>
      <c r="F441" s="24" t="s">
        <v>820</v>
      </c>
      <c r="G441" s="24">
        <v>170848</v>
      </c>
    </row>
    <row r="442" spans="1:7" x14ac:dyDescent="0.25">
      <c r="A442" s="24" t="s">
        <v>136</v>
      </c>
      <c r="B442" s="24" t="s">
        <v>52</v>
      </c>
      <c r="C442" s="24" t="s">
        <v>31</v>
      </c>
      <c r="D442" s="24">
        <v>889.3</v>
      </c>
      <c r="E442" s="24" t="s">
        <v>796</v>
      </c>
      <c r="F442" s="24" t="s">
        <v>820</v>
      </c>
      <c r="G442" s="24">
        <v>170848</v>
      </c>
    </row>
    <row r="443" spans="1:7" x14ac:dyDescent="0.25">
      <c r="A443" s="24" t="s">
        <v>136</v>
      </c>
      <c r="B443" s="24" t="s">
        <v>53</v>
      </c>
      <c r="C443" s="24" t="s">
        <v>31</v>
      </c>
      <c r="D443" s="24">
        <v>56.4</v>
      </c>
      <c r="E443" s="24" t="s">
        <v>796</v>
      </c>
      <c r="F443" s="24" t="s">
        <v>820</v>
      </c>
      <c r="G443" s="24">
        <v>170848</v>
      </c>
    </row>
    <row r="444" spans="1:7" x14ac:dyDescent="0.25">
      <c r="A444" s="24" t="s">
        <v>136</v>
      </c>
      <c r="B444" s="24" t="s">
        <v>54</v>
      </c>
      <c r="C444" s="24" t="s">
        <v>31</v>
      </c>
      <c r="D444" s="24">
        <v>1.1000000000000001</v>
      </c>
      <c r="E444" s="24" t="s">
        <v>796</v>
      </c>
      <c r="F444" s="24" t="s">
        <v>820</v>
      </c>
      <c r="G444" s="24">
        <v>170848</v>
      </c>
    </row>
    <row r="445" spans="1:7" x14ac:dyDescent="0.25">
      <c r="A445" s="24" t="s">
        <v>136</v>
      </c>
      <c r="B445" s="24" t="s">
        <v>55</v>
      </c>
      <c r="C445" s="24" t="s">
        <v>31</v>
      </c>
      <c r="D445" s="24">
        <v>3.5</v>
      </c>
      <c r="E445" s="24" t="s">
        <v>796</v>
      </c>
      <c r="F445" s="24" t="s">
        <v>820</v>
      </c>
      <c r="G445" s="24">
        <v>170848</v>
      </c>
    </row>
    <row r="446" spans="1:7" x14ac:dyDescent="0.25">
      <c r="A446" s="24" t="s">
        <v>136</v>
      </c>
      <c r="B446" s="24" t="s">
        <v>56</v>
      </c>
      <c r="C446" s="24" t="s">
        <v>31</v>
      </c>
      <c r="D446" s="24">
        <v>0</v>
      </c>
      <c r="E446" s="24" t="s">
        <v>796</v>
      </c>
      <c r="F446" s="24" t="s">
        <v>820</v>
      </c>
      <c r="G446" s="24">
        <v>170848</v>
      </c>
    </row>
    <row r="447" spans="1:7" x14ac:dyDescent="0.25">
      <c r="A447" s="24" t="s">
        <v>136</v>
      </c>
      <c r="B447" s="24" t="s">
        <v>57</v>
      </c>
      <c r="C447" s="24" t="s">
        <v>36</v>
      </c>
      <c r="D447" s="24">
        <v>28.8</v>
      </c>
      <c r="E447" s="24" t="s">
        <v>796</v>
      </c>
      <c r="F447" s="24" t="s">
        <v>820</v>
      </c>
      <c r="G447" s="24">
        <v>170848</v>
      </c>
    </row>
    <row r="448" spans="1:7" x14ac:dyDescent="0.25">
      <c r="A448" s="24" t="s">
        <v>136</v>
      </c>
      <c r="B448" s="24" t="s">
        <v>58</v>
      </c>
      <c r="C448" s="24" t="s">
        <v>5</v>
      </c>
      <c r="D448" s="24">
        <v>0</v>
      </c>
      <c r="E448" s="24" t="s">
        <v>795</v>
      </c>
      <c r="F448" s="24"/>
      <c r="G448" s="24"/>
    </row>
    <row r="449" spans="1:7" x14ac:dyDescent="0.25">
      <c r="A449" s="24" t="s">
        <v>137</v>
      </c>
      <c r="B449" s="24" t="s">
        <v>58</v>
      </c>
      <c r="C449" s="24" t="s">
        <v>5</v>
      </c>
      <c r="D449" s="24">
        <v>0</v>
      </c>
      <c r="E449" s="24" t="s">
        <v>795</v>
      </c>
      <c r="F449" s="24"/>
      <c r="G449" s="24"/>
    </row>
    <row r="450" spans="1:7" x14ac:dyDescent="0.25">
      <c r="A450" s="24" t="s">
        <v>138</v>
      </c>
      <c r="B450" s="24" t="s">
        <v>23</v>
      </c>
      <c r="C450" s="24" t="s">
        <v>5</v>
      </c>
      <c r="D450" s="24">
        <v>0</v>
      </c>
      <c r="E450" s="24" t="s">
        <v>796</v>
      </c>
      <c r="F450" s="24" t="s">
        <v>821</v>
      </c>
      <c r="G450" s="24">
        <v>173419</v>
      </c>
    </row>
    <row r="451" spans="1:7" x14ac:dyDescent="0.25">
      <c r="A451" s="24" t="s">
        <v>138</v>
      </c>
      <c r="B451" s="24" t="s">
        <v>32</v>
      </c>
      <c r="C451" s="24" t="s">
        <v>33</v>
      </c>
      <c r="D451" s="24">
        <v>259.5</v>
      </c>
      <c r="E451" s="24" t="s">
        <v>796</v>
      </c>
      <c r="F451" s="24" t="s">
        <v>821</v>
      </c>
      <c r="G451" s="24">
        <v>173419</v>
      </c>
    </row>
    <row r="452" spans="1:7" x14ac:dyDescent="0.25">
      <c r="A452" s="24" t="s">
        <v>138</v>
      </c>
      <c r="B452" s="24" t="s">
        <v>34</v>
      </c>
      <c r="C452" s="24" t="s">
        <v>31</v>
      </c>
      <c r="D452" s="24">
        <v>0</v>
      </c>
      <c r="E452" s="24" t="s">
        <v>796</v>
      </c>
      <c r="F452" s="24" t="s">
        <v>821</v>
      </c>
      <c r="G452" s="24">
        <v>173419</v>
      </c>
    </row>
    <row r="453" spans="1:7" x14ac:dyDescent="0.25">
      <c r="A453" s="24" t="s">
        <v>138</v>
      </c>
      <c r="B453" s="24" t="s">
        <v>35</v>
      </c>
      <c r="C453" s="24" t="s">
        <v>36</v>
      </c>
      <c r="D453" s="24">
        <v>0.5</v>
      </c>
      <c r="E453" s="24" t="s">
        <v>796</v>
      </c>
      <c r="F453" s="24" t="s">
        <v>821</v>
      </c>
      <c r="G453" s="24">
        <v>173419</v>
      </c>
    </row>
    <row r="454" spans="1:7" x14ac:dyDescent="0.25">
      <c r="A454" s="24" t="s">
        <v>138</v>
      </c>
      <c r="B454" s="24" t="s">
        <v>37</v>
      </c>
      <c r="C454" s="24" t="s">
        <v>38</v>
      </c>
      <c r="D454" s="24">
        <v>0.3</v>
      </c>
      <c r="E454" s="24" t="s">
        <v>796</v>
      </c>
      <c r="F454" s="24" t="s">
        <v>821</v>
      </c>
      <c r="G454" s="24">
        <v>173419</v>
      </c>
    </row>
    <row r="455" spans="1:7" x14ac:dyDescent="0.25">
      <c r="A455" s="24" t="s">
        <v>138</v>
      </c>
      <c r="B455" s="24" t="s">
        <v>39</v>
      </c>
      <c r="C455" s="24" t="s">
        <v>36</v>
      </c>
      <c r="D455" s="24">
        <v>2.5</v>
      </c>
      <c r="E455" s="24" t="s">
        <v>796</v>
      </c>
      <c r="F455" s="24" t="s">
        <v>821</v>
      </c>
      <c r="G455" s="24">
        <v>173419</v>
      </c>
    </row>
    <row r="456" spans="1:7" x14ac:dyDescent="0.25">
      <c r="A456" s="24" t="s">
        <v>138</v>
      </c>
      <c r="B456" s="24" t="s">
        <v>44</v>
      </c>
      <c r="C456" s="24" t="s">
        <v>31</v>
      </c>
      <c r="D456" s="24">
        <v>0.1</v>
      </c>
      <c r="E456" s="24" t="s">
        <v>796</v>
      </c>
      <c r="F456" s="24" t="s">
        <v>821</v>
      </c>
      <c r="G456" s="24">
        <v>173419</v>
      </c>
    </row>
    <row r="457" spans="1:7" x14ac:dyDescent="0.25">
      <c r="A457" s="24" t="s">
        <v>138</v>
      </c>
      <c r="B457" s="24" t="s">
        <v>45</v>
      </c>
      <c r="C457" s="24" t="s">
        <v>31</v>
      </c>
      <c r="D457" s="24">
        <v>0.3</v>
      </c>
      <c r="E457" s="24" t="s">
        <v>796</v>
      </c>
      <c r="F457" s="24" t="s">
        <v>821</v>
      </c>
      <c r="G457" s="24">
        <v>173419</v>
      </c>
    </row>
    <row r="458" spans="1:7" x14ac:dyDescent="0.25">
      <c r="A458" s="24" t="s">
        <v>138</v>
      </c>
      <c r="B458" s="24" t="s">
        <v>46</v>
      </c>
      <c r="C458" s="24" t="s">
        <v>36</v>
      </c>
      <c r="D458" s="24">
        <v>1.6</v>
      </c>
      <c r="E458" s="24" t="s">
        <v>796</v>
      </c>
      <c r="F458" s="24" t="s">
        <v>821</v>
      </c>
      <c r="G458" s="24">
        <v>173419</v>
      </c>
    </row>
    <row r="459" spans="1:7" x14ac:dyDescent="0.25">
      <c r="A459" s="24" t="s">
        <v>138</v>
      </c>
      <c r="B459" s="24" t="s">
        <v>47</v>
      </c>
      <c r="C459" s="24" t="s">
        <v>48</v>
      </c>
      <c r="D459" s="24">
        <v>17.100000000000001</v>
      </c>
      <c r="E459" s="24" t="s">
        <v>796</v>
      </c>
      <c r="F459" s="24" t="s">
        <v>821</v>
      </c>
      <c r="G459" s="24">
        <v>173419</v>
      </c>
    </row>
    <row r="460" spans="1:7" x14ac:dyDescent="0.25">
      <c r="A460" s="24" t="s">
        <v>138</v>
      </c>
      <c r="B460" s="24" t="s">
        <v>57</v>
      </c>
      <c r="C460" s="24" t="s">
        <v>36</v>
      </c>
      <c r="D460" s="24">
        <v>15.5</v>
      </c>
      <c r="E460" s="24" t="s">
        <v>796</v>
      </c>
      <c r="F460" s="24" t="s">
        <v>821</v>
      </c>
      <c r="G460" s="24">
        <v>173419</v>
      </c>
    </row>
    <row r="461" spans="1:7" x14ac:dyDescent="0.25">
      <c r="A461" s="24" t="s">
        <v>138</v>
      </c>
      <c r="B461" s="24" t="s">
        <v>58</v>
      </c>
      <c r="C461" s="24" t="s">
        <v>5</v>
      </c>
      <c r="D461" s="24">
        <v>0</v>
      </c>
      <c r="E461" s="24" t="s">
        <v>795</v>
      </c>
      <c r="F461" s="24"/>
      <c r="G461" s="24"/>
    </row>
    <row r="462" spans="1:7" x14ac:dyDescent="0.25">
      <c r="A462" s="24" t="s">
        <v>139</v>
      </c>
      <c r="B462" s="24" t="s">
        <v>23</v>
      </c>
      <c r="C462" s="24" t="s">
        <v>5</v>
      </c>
      <c r="D462" s="24">
        <v>0.1</v>
      </c>
      <c r="E462" s="24" t="s">
        <v>796</v>
      </c>
      <c r="F462" s="24" t="s">
        <v>820</v>
      </c>
      <c r="G462" s="24">
        <v>170848</v>
      </c>
    </row>
    <row r="463" spans="1:7" x14ac:dyDescent="0.25">
      <c r="A463" s="24" t="s">
        <v>139</v>
      </c>
      <c r="B463" s="24" t="s">
        <v>26</v>
      </c>
      <c r="C463" s="24" t="s">
        <v>5</v>
      </c>
      <c r="D463" s="24">
        <v>12.06</v>
      </c>
      <c r="E463" s="24" t="s">
        <v>799</v>
      </c>
      <c r="F463" s="24" t="s">
        <v>820</v>
      </c>
      <c r="G463" s="24">
        <v>170848</v>
      </c>
    </row>
    <row r="464" spans="1:7" x14ac:dyDescent="0.25">
      <c r="A464" s="24" t="s">
        <v>139</v>
      </c>
      <c r="B464" s="24" t="s">
        <v>27</v>
      </c>
      <c r="C464" s="24" t="s">
        <v>5</v>
      </c>
      <c r="D464" s="24">
        <v>6.1</v>
      </c>
      <c r="E464" s="24" t="s">
        <v>799</v>
      </c>
      <c r="F464" s="24" t="s">
        <v>820</v>
      </c>
      <c r="G464" s="24">
        <v>170848</v>
      </c>
    </row>
    <row r="465" spans="1:7" x14ac:dyDescent="0.25">
      <c r="A465" s="24" t="s">
        <v>139</v>
      </c>
      <c r="B465" s="24" t="s">
        <v>28</v>
      </c>
      <c r="C465" s="24" t="s">
        <v>5</v>
      </c>
      <c r="D465" s="24">
        <v>0.46</v>
      </c>
      <c r="E465" s="24" t="s">
        <v>799</v>
      </c>
      <c r="F465" s="24" t="s">
        <v>820</v>
      </c>
      <c r="G465" s="24">
        <v>170848</v>
      </c>
    </row>
    <row r="466" spans="1:7" x14ac:dyDescent="0.25">
      <c r="A466" s="24" t="s">
        <v>139</v>
      </c>
      <c r="B466" s="24" t="s">
        <v>30</v>
      </c>
      <c r="C466" s="24" t="s">
        <v>31</v>
      </c>
      <c r="D466" s="24">
        <v>68</v>
      </c>
      <c r="E466" s="24" t="s">
        <v>801</v>
      </c>
      <c r="F466" s="24" t="s">
        <v>820</v>
      </c>
      <c r="G466" s="24">
        <v>170848</v>
      </c>
    </row>
    <row r="467" spans="1:7" x14ac:dyDescent="0.25">
      <c r="A467" s="24" t="s">
        <v>139</v>
      </c>
      <c r="B467" s="24" t="s">
        <v>34</v>
      </c>
      <c r="C467" s="24" t="s">
        <v>31</v>
      </c>
      <c r="D467" s="24">
        <v>0</v>
      </c>
      <c r="E467" s="24" t="s">
        <v>796</v>
      </c>
      <c r="F467" s="24" t="s">
        <v>820</v>
      </c>
      <c r="G467" s="24">
        <v>170848</v>
      </c>
    </row>
    <row r="468" spans="1:7" x14ac:dyDescent="0.25">
      <c r="A468" s="24" t="s">
        <v>139</v>
      </c>
      <c r="B468" s="24" t="s">
        <v>35</v>
      </c>
      <c r="C468" s="24" t="s">
        <v>36</v>
      </c>
      <c r="D468" s="24">
        <v>0.5</v>
      </c>
      <c r="E468" s="24" t="s">
        <v>796</v>
      </c>
      <c r="F468" s="24" t="s">
        <v>820</v>
      </c>
      <c r="G468" s="24">
        <v>170848</v>
      </c>
    </row>
    <row r="469" spans="1:7" x14ac:dyDescent="0.25">
      <c r="A469" s="24" t="s">
        <v>139</v>
      </c>
      <c r="B469" s="24" t="s">
        <v>37</v>
      </c>
      <c r="C469" s="24" t="s">
        <v>38</v>
      </c>
      <c r="D469" s="24">
        <v>0.2</v>
      </c>
      <c r="E469" s="24" t="s">
        <v>796</v>
      </c>
      <c r="F469" s="24" t="s">
        <v>820</v>
      </c>
      <c r="G469" s="24">
        <v>170848</v>
      </c>
    </row>
    <row r="470" spans="1:7" x14ac:dyDescent="0.25">
      <c r="A470" s="24" t="s">
        <v>139</v>
      </c>
      <c r="B470" s="24" t="s">
        <v>39</v>
      </c>
      <c r="C470" s="24" t="s">
        <v>36</v>
      </c>
      <c r="D470" s="24">
        <v>1.6</v>
      </c>
      <c r="E470" s="24" t="s">
        <v>796</v>
      </c>
      <c r="F470" s="24" t="s">
        <v>820</v>
      </c>
      <c r="G470" s="24">
        <v>170848</v>
      </c>
    </row>
    <row r="471" spans="1:7" x14ac:dyDescent="0.25">
      <c r="A471" s="24" t="s">
        <v>139</v>
      </c>
      <c r="B471" s="24" t="s">
        <v>40</v>
      </c>
      <c r="C471" s="24" t="s">
        <v>31</v>
      </c>
      <c r="D471" s="24">
        <v>0</v>
      </c>
      <c r="E471" s="24" t="s">
        <v>796</v>
      </c>
      <c r="F471" s="24" t="s">
        <v>820</v>
      </c>
      <c r="G471" s="24">
        <v>170848</v>
      </c>
    </row>
    <row r="472" spans="1:7" x14ac:dyDescent="0.25">
      <c r="A472" s="24" t="s">
        <v>139</v>
      </c>
      <c r="B472" s="24" t="s">
        <v>41</v>
      </c>
      <c r="C472" s="24" t="s">
        <v>31</v>
      </c>
      <c r="D472" s="24">
        <v>0.3</v>
      </c>
      <c r="E472" s="24" t="s">
        <v>796</v>
      </c>
      <c r="F472" s="24" t="s">
        <v>820</v>
      </c>
      <c r="G472" s="24">
        <v>170848</v>
      </c>
    </row>
    <row r="473" spans="1:7" x14ac:dyDescent="0.25">
      <c r="A473" s="24" t="s">
        <v>139</v>
      </c>
      <c r="B473" s="24" t="s">
        <v>42</v>
      </c>
      <c r="C473" s="24" t="s">
        <v>43</v>
      </c>
      <c r="D473" s="24">
        <v>0.2</v>
      </c>
      <c r="E473" s="24" t="s">
        <v>796</v>
      </c>
      <c r="F473" s="24" t="s">
        <v>820</v>
      </c>
      <c r="G473" s="24">
        <v>170848</v>
      </c>
    </row>
    <row r="474" spans="1:7" x14ac:dyDescent="0.25">
      <c r="A474" s="24" t="s">
        <v>139</v>
      </c>
      <c r="B474" s="24" t="s">
        <v>44</v>
      </c>
      <c r="C474" s="24" t="s">
        <v>31</v>
      </c>
      <c r="D474" s="24">
        <v>0.1</v>
      </c>
      <c r="E474" s="24" t="s">
        <v>796</v>
      </c>
      <c r="F474" s="24" t="s">
        <v>820</v>
      </c>
      <c r="G474" s="24">
        <v>170848</v>
      </c>
    </row>
    <row r="475" spans="1:7" x14ac:dyDescent="0.25">
      <c r="A475" s="24" t="s">
        <v>139</v>
      </c>
      <c r="B475" s="24" t="s">
        <v>45</v>
      </c>
      <c r="C475" s="24" t="s">
        <v>31</v>
      </c>
      <c r="D475" s="24">
        <v>0.4</v>
      </c>
      <c r="E475" s="24" t="s">
        <v>796</v>
      </c>
      <c r="F475" s="24" t="s">
        <v>820</v>
      </c>
      <c r="G475" s="24">
        <v>170848</v>
      </c>
    </row>
    <row r="476" spans="1:7" x14ac:dyDescent="0.25">
      <c r="A476" s="24" t="s">
        <v>139</v>
      </c>
      <c r="B476" s="24" t="s">
        <v>46</v>
      </c>
      <c r="C476" s="24" t="s">
        <v>36</v>
      </c>
      <c r="D476" s="24">
        <v>1.1000000000000001</v>
      </c>
      <c r="E476" s="24" t="s">
        <v>796</v>
      </c>
      <c r="F476" s="24" t="s">
        <v>820</v>
      </c>
      <c r="G476" s="24">
        <v>170848</v>
      </c>
    </row>
    <row r="477" spans="1:7" x14ac:dyDescent="0.25">
      <c r="A477" s="24" t="s">
        <v>139</v>
      </c>
      <c r="B477" s="24" t="s">
        <v>47</v>
      </c>
      <c r="C477" s="24" t="s">
        <v>48</v>
      </c>
      <c r="D477" s="24">
        <v>6.4</v>
      </c>
      <c r="E477" s="24" t="s">
        <v>796</v>
      </c>
      <c r="F477" s="24" t="s">
        <v>820</v>
      </c>
      <c r="G477" s="24">
        <v>170848</v>
      </c>
    </row>
    <row r="478" spans="1:7" x14ac:dyDescent="0.25">
      <c r="A478" s="24" t="s">
        <v>139</v>
      </c>
      <c r="B478" s="24" t="s">
        <v>50</v>
      </c>
      <c r="C478" s="24" t="s">
        <v>31</v>
      </c>
      <c r="D478" s="24">
        <v>84.2</v>
      </c>
      <c r="E478" s="24" t="s">
        <v>796</v>
      </c>
      <c r="F478" s="24" t="s">
        <v>820</v>
      </c>
      <c r="G478" s="24">
        <v>170848</v>
      </c>
    </row>
    <row r="479" spans="1:7" x14ac:dyDescent="0.25">
      <c r="A479" s="24" t="s">
        <v>139</v>
      </c>
      <c r="B479" s="24" t="s">
        <v>52</v>
      </c>
      <c r="C479" s="24" t="s">
        <v>31</v>
      </c>
      <c r="D479" s="24">
        <v>635.5</v>
      </c>
      <c r="E479" s="24" t="s">
        <v>796</v>
      </c>
      <c r="F479" s="24" t="s">
        <v>820</v>
      </c>
      <c r="G479" s="24">
        <v>170848</v>
      </c>
    </row>
    <row r="480" spans="1:7" x14ac:dyDescent="0.25">
      <c r="A480" s="24" t="s">
        <v>139</v>
      </c>
      <c r="B480" s="24" t="s">
        <v>53</v>
      </c>
      <c r="C480" s="24" t="s">
        <v>31</v>
      </c>
      <c r="D480" s="24">
        <v>40.299999999999997</v>
      </c>
      <c r="E480" s="24" t="s">
        <v>796</v>
      </c>
      <c r="F480" s="24" t="s">
        <v>820</v>
      </c>
      <c r="G480" s="24">
        <v>170848</v>
      </c>
    </row>
    <row r="481" spans="1:7" x14ac:dyDescent="0.25">
      <c r="A481" s="24" t="s">
        <v>139</v>
      </c>
      <c r="B481" s="24" t="s">
        <v>54</v>
      </c>
      <c r="C481" s="24" t="s">
        <v>31</v>
      </c>
      <c r="D481" s="24">
        <v>0.8</v>
      </c>
      <c r="E481" s="24" t="s">
        <v>796</v>
      </c>
      <c r="F481" s="24" t="s">
        <v>820</v>
      </c>
      <c r="G481" s="24">
        <v>170848</v>
      </c>
    </row>
    <row r="482" spans="1:7" x14ac:dyDescent="0.25">
      <c r="A482" s="24" t="s">
        <v>139</v>
      </c>
      <c r="B482" s="24" t="s">
        <v>55</v>
      </c>
      <c r="C482" s="24" t="s">
        <v>31</v>
      </c>
      <c r="D482" s="24">
        <v>2.5</v>
      </c>
      <c r="E482" s="24" t="s">
        <v>796</v>
      </c>
      <c r="F482" s="24" t="s">
        <v>820</v>
      </c>
      <c r="G482" s="24">
        <v>170848</v>
      </c>
    </row>
    <row r="483" spans="1:7" x14ac:dyDescent="0.25">
      <c r="A483" s="24" t="s">
        <v>139</v>
      </c>
      <c r="B483" s="24" t="s">
        <v>56</v>
      </c>
      <c r="C483" s="24" t="s">
        <v>31</v>
      </c>
      <c r="D483" s="24">
        <v>0</v>
      </c>
      <c r="E483" s="24" t="s">
        <v>796</v>
      </c>
      <c r="F483" s="24" t="s">
        <v>820</v>
      </c>
      <c r="G483" s="24">
        <v>170848</v>
      </c>
    </row>
    <row r="484" spans="1:7" x14ac:dyDescent="0.25">
      <c r="A484" s="24" t="s">
        <v>139</v>
      </c>
      <c r="B484" s="24" t="s">
        <v>57</v>
      </c>
      <c r="C484" s="24" t="s">
        <v>36</v>
      </c>
      <c r="D484" s="24">
        <v>20.6</v>
      </c>
      <c r="E484" s="24" t="s">
        <v>796</v>
      </c>
      <c r="F484" s="24" t="s">
        <v>820</v>
      </c>
      <c r="G484" s="24">
        <v>170848</v>
      </c>
    </row>
    <row r="485" spans="1:7" x14ac:dyDescent="0.25">
      <c r="A485" s="24" t="s">
        <v>139</v>
      </c>
      <c r="B485" s="24" t="s">
        <v>58</v>
      </c>
      <c r="C485" s="24" t="s">
        <v>5</v>
      </c>
      <c r="D485" s="24">
        <v>0</v>
      </c>
      <c r="E485" s="24" t="s">
        <v>795</v>
      </c>
      <c r="F485" s="24"/>
      <c r="G485" s="24"/>
    </row>
    <row r="486" spans="1:7" x14ac:dyDescent="0.25">
      <c r="A486" s="24" t="s">
        <v>140</v>
      </c>
      <c r="B486" s="24" t="s">
        <v>29</v>
      </c>
      <c r="C486" s="24" t="s">
        <v>5</v>
      </c>
      <c r="D486" s="24">
        <v>0.99</v>
      </c>
      <c r="E486" s="24" t="s">
        <v>799</v>
      </c>
      <c r="F486" s="24" t="s">
        <v>822</v>
      </c>
      <c r="G486" s="24">
        <v>171251</v>
      </c>
    </row>
    <row r="487" spans="1:7" x14ac:dyDescent="0.25">
      <c r="A487" s="24" t="s">
        <v>140</v>
      </c>
      <c r="B487" s="24" t="s">
        <v>58</v>
      </c>
      <c r="C487" s="24" t="s">
        <v>5</v>
      </c>
      <c r="D487" s="24">
        <v>0</v>
      </c>
      <c r="E487" s="24" t="s">
        <v>795</v>
      </c>
      <c r="F487" s="24"/>
      <c r="G487" s="24"/>
    </row>
    <row r="488" spans="1:7" x14ac:dyDescent="0.25">
      <c r="A488" s="24" t="s">
        <v>141</v>
      </c>
      <c r="B488" s="24" t="s">
        <v>23</v>
      </c>
      <c r="C488" s="24" t="s">
        <v>5</v>
      </c>
      <c r="D488" s="24">
        <v>3.3</v>
      </c>
      <c r="E488" s="24" t="s">
        <v>796</v>
      </c>
      <c r="F488" s="24" t="s">
        <v>823</v>
      </c>
      <c r="G488" s="24">
        <v>171254</v>
      </c>
    </row>
    <row r="489" spans="1:7" x14ac:dyDescent="0.25">
      <c r="A489" s="24" t="s">
        <v>141</v>
      </c>
      <c r="B489" s="24" t="s">
        <v>32</v>
      </c>
      <c r="C489" s="24" t="s">
        <v>33</v>
      </c>
      <c r="D489" s="24">
        <v>165.2</v>
      </c>
      <c r="E489" s="24" t="s">
        <v>796</v>
      </c>
      <c r="F489" s="24" t="s">
        <v>823</v>
      </c>
      <c r="G489" s="24">
        <v>171254</v>
      </c>
    </row>
    <row r="490" spans="1:7" x14ac:dyDescent="0.25">
      <c r="A490" s="24" t="s">
        <v>141</v>
      </c>
      <c r="B490" s="24" t="s">
        <v>34</v>
      </c>
      <c r="C490" s="24" t="s">
        <v>31</v>
      </c>
      <c r="D490" s="24">
        <v>0</v>
      </c>
      <c r="E490" s="24" t="s">
        <v>796</v>
      </c>
      <c r="F490" s="24" t="s">
        <v>823</v>
      </c>
      <c r="G490" s="24">
        <v>171254</v>
      </c>
    </row>
    <row r="491" spans="1:7" x14ac:dyDescent="0.25">
      <c r="A491" s="24" t="s">
        <v>141</v>
      </c>
      <c r="B491" s="24" t="s">
        <v>35</v>
      </c>
      <c r="C491" s="24" t="s">
        <v>36</v>
      </c>
      <c r="D491" s="24">
        <v>0.4</v>
      </c>
      <c r="E491" s="24" t="s">
        <v>796</v>
      </c>
      <c r="F491" s="24" t="s">
        <v>823</v>
      </c>
      <c r="G491" s="24">
        <v>171254</v>
      </c>
    </row>
    <row r="492" spans="1:7" x14ac:dyDescent="0.25">
      <c r="A492" s="24" t="s">
        <v>141</v>
      </c>
      <c r="B492" s="24" t="s">
        <v>37</v>
      </c>
      <c r="C492" s="24" t="s">
        <v>38</v>
      </c>
      <c r="D492" s="24">
        <v>0.2</v>
      </c>
      <c r="E492" s="24" t="s">
        <v>796</v>
      </c>
      <c r="F492" s="24" t="s">
        <v>823</v>
      </c>
      <c r="G492" s="24">
        <v>171254</v>
      </c>
    </row>
    <row r="493" spans="1:7" x14ac:dyDescent="0.25">
      <c r="A493" s="24" t="s">
        <v>141</v>
      </c>
      <c r="B493" s="24" t="s">
        <v>39</v>
      </c>
      <c r="C493" s="24" t="s">
        <v>36</v>
      </c>
      <c r="D493" s="24">
        <v>1.7</v>
      </c>
      <c r="E493" s="24" t="s">
        <v>796</v>
      </c>
      <c r="F493" s="24" t="s">
        <v>823</v>
      </c>
      <c r="G493" s="24">
        <v>171254</v>
      </c>
    </row>
    <row r="494" spans="1:7" x14ac:dyDescent="0.25">
      <c r="A494" s="24" t="s">
        <v>141</v>
      </c>
      <c r="B494" s="24" t="s">
        <v>40</v>
      </c>
      <c r="C494" s="24" t="s">
        <v>31</v>
      </c>
      <c r="D494" s="24">
        <v>0</v>
      </c>
      <c r="E494" s="24" t="s">
        <v>796</v>
      </c>
      <c r="F494" s="24" t="s">
        <v>823</v>
      </c>
      <c r="G494" s="24">
        <v>171254</v>
      </c>
    </row>
    <row r="495" spans="1:7" x14ac:dyDescent="0.25">
      <c r="A495" s="24" t="s">
        <v>141</v>
      </c>
      <c r="B495" s="24" t="s">
        <v>41</v>
      </c>
      <c r="C495" s="24" t="s">
        <v>31</v>
      </c>
      <c r="D495" s="24">
        <v>0.4</v>
      </c>
      <c r="E495" s="24" t="s">
        <v>796</v>
      </c>
      <c r="F495" s="24" t="s">
        <v>823</v>
      </c>
      <c r="G495" s="24">
        <v>171254</v>
      </c>
    </row>
    <row r="496" spans="1:7" x14ac:dyDescent="0.25">
      <c r="A496" s="24" t="s">
        <v>141</v>
      </c>
      <c r="B496" s="24" t="s">
        <v>42</v>
      </c>
      <c r="C496" s="24" t="s">
        <v>43</v>
      </c>
      <c r="D496" s="24">
        <v>0.1</v>
      </c>
      <c r="E496" s="24" t="s">
        <v>796</v>
      </c>
      <c r="F496" s="24" t="s">
        <v>823</v>
      </c>
      <c r="G496" s="24">
        <v>171254</v>
      </c>
    </row>
    <row r="497" spans="1:7" x14ac:dyDescent="0.25">
      <c r="A497" s="24" t="s">
        <v>141</v>
      </c>
      <c r="B497" s="24" t="s">
        <v>44</v>
      </c>
      <c r="C497" s="24" t="s">
        <v>31</v>
      </c>
      <c r="D497" s="24">
        <v>0.1</v>
      </c>
      <c r="E497" s="24" t="s">
        <v>796</v>
      </c>
      <c r="F497" s="24" t="s">
        <v>823</v>
      </c>
      <c r="G497" s="24">
        <v>171254</v>
      </c>
    </row>
    <row r="498" spans="1:7" x14ac:dyDescent="0.25">
      <c r="A498" s="24" t="s">
        <v>141</v>
      </c>
      <c r="B498" s="24" t="s">
        <v>45</v>
      </c>
      <c r="C498" s="24" t="s">
        <v>31</v>
      </c>
      <c r="D498" s="24">
        <v>0.7</v>
      </c>
      <c r="E498" s="24" t="s">
        <v>796</v>
      </c>
      <c r="F498" s="24" t="s">
        <v>823</v>
      </c>
      <c r="G498" s="24">
        <v>171254</v>
      </c>
    </row>
    <row r="499" spans="1:7" x14ac:dyDescent="0.25">
      <c r="A499" s="24" t="s">
        <v>141</v>
      </c>
      <c r="B499" s="24" t="s">
        <v>46</v>
      </c>
      <c r="C499" s="24" t="s">
        <v>36</v>
      </c>
      <c r="D499" s="24">
        <v>0.4</v>
      </c>
      <c r="E499" s="24" t="s">
        <v>796</v>
      </c>
      <c r="F499" s="24" t="s">
        <v>823</v>
      </c>
      <c r="G499" s="24">
        <v>171254</v>
      </c>
    </row>
    <row r="500" spans="1:7" x14ac:dyDescent="0.25">
      <c r="A500" s="24" t="s">
        <v>141</v>
      </c>
      <c r="B500" s="24" t="s">
        <v>47</v>
      </c>
      <c r="C500" s="24" t="s">
        <v>48</v>
      </c>
      <c r="D500" s="24">
        <v>6.7</v>
      </c>
      <c r="E500" s="24" t="s">
        <v>796</v>
      </c>
      <c r="F500" s="24" t="s">
        <v>823</v>
      </c>
      <c r="G500" s="24">
        <v>171254</v>
      </c>
    </row>
    <row r="501" spans="1:7" x14ac:dyDescent="0.25">
      <c r="A501" s="24" t="s">
        <v>141</v>
      </c>
      <c r="B501" s="24" t="s">
        <v>49</v>
      </c>
      <c r="C501" s="24" t="s">
        <v>31</v>
      </c>
      <c r="D501" s="24">
        <v>1552.1</v>
      </c>
      <c r="E501" s="24" t="s">
        <v>796</v>
      </c>
      <c r="F501" s="24" t="s">
        <v>823</v>
      </c>
      <c r="G501" s="24">
        <v>171254</v>
      </c>
    </row>
    <row r="502" spans="1:7" x14ac:dyDescent="0.25">
      <c r="A502" s="24" t="s">
        <v>141</v>
      </c>
      <c r="B502" s="24" t="s">
        <v>50</v>
      </c>
      <c r="C502" s="24" t="s">
        <v>31</v>
      </c>
      <c r="D502" s="24">
        <v>231.1</v>
      </c>
      <c r="E502" s="24" t="s">
        <v>796</v>
      </c>
      <c r="F502" s="24" t="s">
        <v>823</v>
      </c>
      <c r="G502" s="24">
        <v>171254</v>
      </c>
    </row>
    <row r="503" spans="1:7" x14ac:dyDescent="0.25">
      <c r="A503" s="24" t="s">
        <v>141</v>
      </c>
      <c r="B503" s="24" t="s">
        <v>51</v>
      </c>
      <c r="C503" s="24" t="s">
        <v>31</v>
      </c>
      <c r="D503" s="24">
        <v>536.79999999999995</v>
      </c>
      <c r="E503" s="24" t="s">
        <v>796</v>
      </c>
      <c r="F503" s="24" t="s">
        <v>823</v>
      </c>
      <c r="G503" s="24">
        <v>171254</v>
      </c>
    </row>
    <row r="504" spans="1:7" x14ac:dyDescent="0.25">
      <c r="A504" s="24" t="s">
        <v>141</v>
      </c>
      <c r="B504" s="24" t="s">
        <v>52</v>
      </c>
      <c r="C504" s="24" t="s">
        <v>31</v>
      </c>
      <c r="D504" s="24">
        <v>835.7</v>
      </c>
      <c r="E504" s="24" t="s">
        <v>796</v>
      </c>
      <c r="F504" s="24" t="s">
        <v>823</v>
      </c>
      <c r="G504" s="24">
        <v>171254</v>
      </c>
    </row>
    <row r="505" spans="1:7" x14ac:dyDescent="0.25">
      <c r="A505" s="24" t="s">
        <v>141</v>
      </c>
      <c r="B505" s="24" t="s">
        <v>53</v>
      </c>
      <c r="C505" s="24" t="s">
        <v>31</v>
      </c>
      <c r="D505" s="24">
        <v>27.7</v>
      </c>
      <c r="E505" s="24" t="s">
        <v>796</v>
      </c>
      <c r="F505" s="24" t="s">
        <v>823</v>
      </c>
      <c r="G505" s="24">
        <v>171254</v>
      </c>
    </row>
    <row r="506" spans="1:7" x14ac:dyDescent="0.25">
      <c r="A506" s="24" t="s">
        <v>141</v>
      </c>
      <c r="B506" s="24" t="s">
        <v>54</v>
      </c>
      <c r="C506" s="24" t="s">
        <v>31</v>
      </c>
      <c r="D506" s="24">
        <v>0.3</v>
      </c>
      <c r="E506" s="24" t="s">
        <v>796</v>
      </c>
      <c r="F506" s="24" t="s">
        <v>823</v>
      </c>
      <c r="G506" s="24">
        <v>171254</v>
      </c>
    </row>
    <row r="507" spans="1:7" x14ac:dyDescent="0.25">
      <c r="A507" s="24" t="s">
        <v>141</v>
      </c>
      <c r="B507" s="24" t="s">
        <v>55</v>
      </c>
      <c r="C507" s="24" t="s">
        <v>31</v>
      </c>
      <c r="D507" s="24">
        <v>2.5</v>
      </c>
      <c r="E507" s="24" t="s">
        <v>796</v>
      </c>
      <c r="F507" s="24" t="s">
        <v>823</v>
      </c>
      <c r="G507" s="24">
        <v>171254</v>
      </c>
    </row>
    <row r="508" spans="1:7" x14ac:dyDescent="0.25">
      <c r="A508" s="24" t="s">
        <v>141</v>
      </c>
      <c r="B508" s="24" t="s">
        <v>56</v>
      </c>
      <c r="C508" s="24" t="s">
        <v>31</v>
      </c>
      <c r="D508" s="24">
        <v>0</v>
      </c>
      <c r="E508" s="24" t="s">
        <v>796</v>
      </c>
      <c r="F508" s="24" t="s">
        <v>823</v>
      </c>
      <c r="G508" s="24">
        <v>171254</v>
      </c>
    </row>
    <row r="509" spans="1:7" x14ac:dyDescent="0.25">
      <c r="A509" s="24" t="s">
        <v>141</v>
      </c>
      <c r="B509" s="24" t="s">
        <v>57</v>
      </c>
      <c r="C509" s="24" t="s">
        <v>36</v>
      </c>
      <c r="D509" s="24">
        <v>10.8</v>
      </c>
      <c r="E509" s="24" t="s">
        <v>796</v>
      </c>
      <c r="F509" s="24" t="s">
        <v>823</v>
      </c>
      <c r="G509" s="24">
        <v>171254</v>
      </c>
    </row>
    <row r="510" spans="1:7" x14ac:dyDescent="0.25">
      <c r="A510" s="24" t="s">
        <v>141</v>
      </c>
      <c r="B510" s="24" t="s">
        <v>58</v>
      </c>
      <c r="C510" s="24" t="s">
        <v>5</v>
      </c>
      <c r="D510" s="24">
        <v>0</v>
      </c>
      <c r="E510" s="24" t="s">
        <v>795</v>
      </c>
      <c r="F510" s="24"/>
      <c r="G510" s="24"/>
    </row>
    <row r="511" spans="1:7" x14ac:dyDescent="0.25">
      <c r="A511" s="24" t="s">
        <v>142</v>
      </c>
      <c r="B511" s="24" t="s">
        <v>29</v>
      </c>
      <c r="C511" s="24" t="s">
        <v>5</v>
      </c>
      <c r="D511" s="24">
        <v>0.43</v>
      </c>
      <c r="E511" s="24" t="s">
        <v>799</v>
      </c>
      <c r="F511" s="24" t="s">
        <v>824</v>
      </c>
      <c r="G511" s="24">
        <v>170851</v>
      </c>
    </row>
    <row r="512" spans="1:7" x14ac:dyDescent="0.25">
      <c r="A512" s="24" t="s">
        <v>142</v>
      </c>
      <c r="B512" s="24" t="s">
        <v>58</v>
      </c>
      <c r="C512" s="24" t="s">
        <v>5</v>
      </c>
      <c r="D512" s="24">
        <v>0</v>
      </c>
      <c r="E512" s="24" t="s">
        <v>795</v>
      </c>
      <c r="F512" s="24"/>
      <c r="G512" s="24"/>
    </row>
    <row r="513" spans="1:7" x14ac:dyDescent="0.25">
      <c r="A513" s="24" t="s">
        <v>143</v>
      </c>
      <c r="B513" s="24" t="s">
        <v>58</v>
      </c>
      <c r="C513" s="24" t="s">
        <v>5</v>
      </c>
      <c r="D513" s="24">
        <v>0</v>
      </c>
      <c r="E513" s="24" t="s">
        <v>795</v>
      </c>
      <c r="F513" s="24"/>
      <c r="G513" s="24"/>
    </row>
    <row r="514" spans="1:7" x14ac:dyDescent="0.25">
      <c r="A514" s="24" t="s">
        <v>144</v>
      </c>
      <c r="B514" s="24" t="s">
        <v>23</v>
      </c>
      <c r="C514" s="24" t="s">
        <v>5</v>
      </c>
      <c r="D514" s="24">
        <v>14.9</v>
      </c>
      <c r="E514" s="24" t="s">
        <v>796</v>
      </c>
      <c r="F514" s="24" t="s">
        <v>825</v>
      </c>
      <c r="G514" s="24">
        <v>173456</v>
      </c>
    </row>
    <row r="515" spans="1:7" x14ac:dyDescent="0.25">
      <c r="A515" s="24" t="s">
        <v>144</v>
      </c>
      <c r="B515" s="24" t="s">
        <v>32</v>
      </c>
      <c r="C515" s="24" t="s">
        <v>33</v>
      </c>
      <c r="D515" s="24">
        <v>10.199999999999999</v>
      </c>
      <c r="E515" s="24" t="s">
        <v>796</v>
      </c>
      <c r="F515" s="24" t="s">
        <v>825</v>
      </c>
      <c r="G515" s="24">
        <v>173456</v>
      </c>
    </row>
    <row r="516" spans="1:7" x14ac:dyDescent="0.25">
      <c r="A516" s="24" t="s">
        <v>144</v>
      </c>
      <c r="B516" s="24" t="s">
        <v>35</v>
      </c>
      <c r="C516" s="24" t="s">
        <v>36</v>
      </c>
      <c r="D516" s="24">
        <v>1.2</v>
      </c>
      <c r="E516" s="24" t="s">
        <v>796</v>
      </c>
      <c r="F516" s="24" t="s">
        <v>825</v>
      </c>
      <c r="G516" s="24">
        <v>173456</v>
      </c>
    </row>
    <row r="517" spans="1:7" x14ac:dyDescent="0.25">
      <c r="A517" s="24" t="s">
        <v>144</v>
      </c>
      <c r="B517" s="24" t="s">
        <v>37</v>
      </c>
      <c r="C517" s="24" t="s">
        <v>38</v>
      </c>
      <c r="D517" s="24">
        <v>0</v>
      </c>
      <c r="E517" s="24" t="s">
        <v>796</v>
      </c>
      <c r="F517" s="24" t="s">
        <v>825</v>
      </c>
      <c r="G517" s="24">
        <v>173456</v>
      </c>
    </row>
    <row r="518" spans="1:7" x14ac:dyDescent="0.25">
      <c r="A518" s="24" t="s">
        <v>144</v>
      </c>
      <c r="B518" s="24" t="s">
        <v>39</v>
      </c>
      <c r="C518" s="24" t="s">
        <v>36</v>
      </c>
      <c r="D518" s="24">
        <v>0.1</v>
      </c>
      <c r="E518" s="24" t="s">
        <v>796</v>
      </c>
      <c r="F518" s="24" t="s">
        <v>825</v>
      </c>
      <c r="G518" s="24">
        <v>173456</v>
      </c>
    </row>
    <row r="519" spans="1:7" x14ac:dyDescent="0.25">
      <c r="A519" s="24" t="s">
        <v>144</v>
      </c>
      <c r="B519" s="24" t="s">
        <v>57</v>
      </c>
      <c r="C519" s="24" t="s">
        <v>36</v>
      </c>
      <c r="D519" s="24">
        <v>2.6</v>
      </c>
      <c r="E519" s="24" t="s">
        <v>796</v>
      </c>
      <c r="F519" s="24" t="s">
        <v>825</v>
      </c>
      <c r="G519" s="24">
        <v>173456</v>
      </c>
    </row>
    <row r="520" spans="1:7" x14ac:dyDescent="0.25">
      <c r="A520" s="24" t="s">
        <v>144</v>
      </c>
      <c r="B520" s="24" t="s">
        <v>58</v>
      </c>
      <c r="C520" s="24" t="s">
        <v>5</v>
      </c>
      <c r="D520" s="24">
        <v>0</v>
      </c>
      <c r="E520" s="24" t="s">
        <v>795</v>
      </c>
      <c r="F520" s="24"/>
      <c r="G520" s="24"/>
    </row>
    <row r="521" spans="1:7" x14ac:dyDescent="0.25">
      <c r="A521" s="24" t="s">
        <v>145</v>
      </c>
      <c r="B521" s="24" t="s">
        <v>58</v>
      </c>
      <c r="C521" s="24" t="s">
        <v>5</v>
      </c>
      <c r="D521" s="24">
        <v>0</v>
      </c>
      <c r="E521" s="24" t="s">
        <v>795</v>
      </c>
      <c r="F521" s="24"/>
      <c r="G521" s="24"/>
    </row>
    <row r="522" spans="1:7" x14ac:dyDescent="0.25">
      <c r="A522" s="24" t="s">
        <v>146</v>
      </c>
      <c r="B522" s="24" t="s">
        <v>32</v>
      </c>
      <c r="C522" s="24" t="s">
        <v>33</v>
      </c>
      <c r="D522" s="24">
        <v>1.8</v>
      </c>
      <c r="E522" s="24" t="s">
        <v>796</v>
      </c>
      <c r="F522" s="24" t="s">
        <v>826</v>
      </c>
      <c r="G522" s="24">
        <v>170887</v>
      </c>
    </row>
    <row r="523" spans="1:7" x14ac:dyDescent="0.25">
      <c r="A523" s="24" t="s">
        <v>146</v>
      </c>
      <c r="B523" s="24" t="s">
        <v>34</v>
      </c>
      <c r="C523" s="24" t="s">
        <v>31</v>
      </c>
      <c r="D523" s="24">
        <v>0.8</v>
      </c>
      <c r="E523" s="24" t="s">
        <v>796</v>
      </c>
      <c r="F523" s="24" t="s">
        <v>826</v>
      </c>
      <c r="G523" s="24">
        <v>170887</v>
      </c>
    </row>
    <row r="524" spans="1:7" x14ac:dyDescent="0.25">
      <c r="A524" s="24" t="s">
        <v>146</v>
      </c>
      <c r="B524" s="24" t="s">
        <v>35</v>
      </c>
      <c r="C524" s="24" t="s">
        <v>36</v>
      </c>
      <c r="D524" s="24">
        <v>0</v>
      </c>
      <c r="E524" s="24" t="s">
        <v>796</v>
      </c>
      <c r="F524" s="24" t="s">
        <v>826</v>
      </c>
      <c r="G524" s="24">
        <v>170887</v>
      </c>
    </row>
    <row r="525" spans="1:7" x14ac:dyDescent="0.25">
      <c r="A525" s="24" t="s">
        <v>146</v>
      </c>
      <c r="B525" s="24" t="s">
        <v>37</v>
      </c>
      <c r="C525" s="24" t="s">
        <v>38</v>
      </c>
      <c r="D525" s="24">
        <v>0</v>
      </c>
      <c r="E525" s="24" t="s">
        <v>796</v>
      </c>
      <c r="F525" s="24" t="s">
        <v>826</v>
      </c>
      <c r="G525" s="24">
        <v>170887</v>
      </c>
    </row>
    <row r="526" spans="1:7" x14ac:dyDescent="0.25">
      <c r="A526" s="24" t="s">
        <v>146</v>
      </c>
      <c r="B526" s="24" t="s">
        <v>39</v>
      </c>
      <c r="C526" s="24" t="s">
        <v>36</v>
      </c>
      <c r="D526" s="24">
        <v>0.2</v>
      </c>
      <c r="E526" s="24" t="s">
        <v>796</v>
      </c>
      <c r="F526" s="24" t="s">
        <v>826</v>
      </c>
      <c r="G526" s="24">
        <v>170887</v>
      </c>
    </row>
    <row r="527" spans="1:7" x14ac:dyDescent="0.25">
      <c r="A527" s="24" t="s">
        <v>146</v>
      </c>
      <c r="B527" s="24" t="s">
        <v>40</v>
      </c>
      <c r="C527" s="24" t="s">
        <v>31</v>
      </c>
      <c r="D527" s="24">
        <v>0</v>
      </c>
      <c r="E527" s="24" t="s">
        <v>796</v>
      </c>
      <c r="F527" s="24" t="s">
        <v>826</v>
      </c>
      <c r="G527" s="24">
        <v>170887</v>
      </c>
    </row>
    <row r="528" spans="1:7" x14ac:dyDescent="0.25">
      <c r="A528" s="24" t="s">
        <v>146</v>
      </c>
      <c r="B528" s="24" t="s">
        <v>41</v>
      </c>
      <c r="C528" s="24" t="s">
        <v>31</v>
      </c>
      <c r="D528" s="24">
        <v>0.2</v>
      </c>
      <c r="E528" s="24" t="s">
        <v>796</v>
      </c>
      <c r="F528" s="24" t="s">
        <v>826</v>
      </c>
      <c r="G528" s="24">
        <v>170887</v>
      </c>
    </row>
    <row r="529" spans="1:7" x14ac:dyDescent="0.25">
      <c r="A529" s="24" t="s">
        <v>146</v>
      </c>
      <c r="B529" s="24" t="s">
        <v>42</v>
      </c>
      <c r="C529" s="24" t="s">
        <v>43</v>
      </c>
      <c r="D529" s="24">
        <v>0.1</v>
      </c>
      <c r="E529" s="24" t="s">
        <v>796</v>
      </c>
      <c r="F529" s="24" t="s">
        <v>826</v>
      </c>
      <c r="G529" s="24">
        <v>170887</v>
      </c>
    </row>
    <row r="530" spans="1:7" x14ac:dyDescent="0.25">
      <c r="A530" s="24" t="s">
        <v>146</v>
      </c>
      <c r="B530" s="24" t="s">
        <v>44</v>
      </c>
      <c r="C530" s="24" t="s">
        <v>31</v>
      </c>
      <c r="D530" s="24">
        <v>0</v>
      </c>
      <c r="E530" s="24" t="s">
        <v>796</v>
      </c>
      <c r="F530" s="24" t="s">
        <v>826</v>
      </c>
      <c r="G530" s="24">
        <v>170887</v>
      </c>
    </row>
    <row r="531" spans="1:7" x14ac:dyDescent="0.25">
      <c r="A531" s="24" t="s">
        <v>146</v>
      </c>
      <c r="B531" s="24" t="s">
        <v>45</v>
      </c>
      <c r="C531" s="24" t="s">
        <v>31</v>
      </c>
      <c r="D531" s="24">
        <v>0.6</v>
      </c>
      <c r="E531" s="24" t="s">
        <v>796</v>
      </c>
      <c r="F531" s="24" t="s">
        <v>826</v>
      </c>
      <c r="G531" s="24">
        <v>170887</v>
      </c>
    </row>
    <row r="532" spans="1:7" x14ac:dyDescent="0.25">
      <c r="A532" s="24" t="s">
        <v>146</v>
      </c>
      <c r="B532" s="24" t="s">
        <v>46</v>
      </c>
      <c r="C532" s="24" t="s">
        <v>36</v>
      </c>
      <c r="D532" s="24">
        <v>0.5</v>
      </c>
      <c r="E532" s="24" t="s">
        <v>796</v>
      </c>
      <c r="F532" s="24" t="s">
        <v>826</v>
      </c>
      <c r="G532" s="24">
        <v>170887</v>
      </c>
    </row>
    <row r="533" spans="1:7" x14ac:dyDescent="0.25">
      <c r="A533" s="24" t="s">
        <v>146</v>
      </c>
      <c r="B533" s="24" t="s">
        <v>47</v>
      </c>
      <c r="C533" s="24" t="s">
        <v>48</v>
      </c>
      <c r="D533" s="24">
        <v>10.8</v>
      </c>
      <c r="E533" s="24" t="s">
        <v>796</v>
      </c>
      <c r="F533" s="24" t="s">
        <v>826</v>
      </c>
      <c r="G533" s="24">
        <v>170887</v>
      </c>
    </row>
    <row r="534" spans="1:7" x14ac:dyDescent="0.25">
      <c r="A534" s="24" t="s">
        <v>146</v>
      </c>
      <c r="B534" s="24" t="s">
        <v>50</v>
      </c>
      <c r="C534" s="24" t="s">
        <v>31</v>
      </c>
      <c r="D534" s="24">
        <v>229.6</v>
      </c>
      <c r="E534" s="24" t="s">
        <v>796</v>
      </c>
      <c r="F534" s="24" t="s">
        <v>826</v>
      </c>
      <c r="G534" s="24">
        <v>170887</v>
      </c>
    </row>
    <row r="535" spans="1:7" x14ac:dyDescent="0.25">
      <c r="A535" s="24" t="s">
        <v>146</v>
      </c>
      <c r="B535" s="24" t="s">
        <v>51</v>
      </c>
      <c r="C535" s="24" t="s">
        <v>31</v>
      </c>
      <c r="D535" s="24">
        <v>179.2</v>
      </c>
      <c r="E535" s="24" t="s">
        <v>796</v>
      </c>
      <c r="F535" s="24" t="s">
        <v>826</v>
      </c>
      <c r="G535" s="24">
        <v>170887</v>
      </c>
    </row>
    <row r="536" spans="1:7" x14ac:dyDescent="0.25">
      <c r="A536" s="24" t="s">
        <v>146</v>
      </c>
      <c r="B536" s="24" t="s">
        <v>52</v>
      </c>
      <c r="C536" s="24" t="s">
        <v>31</v>
      </c>
      <c r="D536" s="24">
        <v>141.4</v>
      </c>
      <c r="E536" s="24" t="s">
        <v>796</v>
      </c>
      <c r="F536" s="24" t="s">
        <v>826</v>
      </c>
      <c r="G536" s="24">
        <v>170887</v>
      </c>
    </row>
    <row r="537" spans="1:7" x14ac:dyDescent="0.25">
      <c r="A537" s="24" t="s">
        <v>146</v>
      </c>
      <c r="B537" s="24" t="s">
        <v>53</v>
      </c>
      <c r="C537" s="24" t="s">
        <v>31</v>
      </c>
      <c r="D537" s="24">
        <v>17.100000000000001</v>
      </c>
      <c r="E537" s="24" t="s">
        <v>796</v>
      </c>
      <c r="F537" s="24" t="s">
        <v>826</v>
      </c>
      <c r="G537" s="24">
        <v>170887</v>
      </c>
    </row>
    <row r="538" spans="1:7" x14ac:dyDescent="0.25">
      <c r="A538" s="24" t="s">
        <v>146</v>
      </c>
      <c r="B538" s="24" t="s">
        <v>54</v>
      </c>
      <c r="C538" s="24" t="s">
        <v>31</v>
      </c>
      <c r="D538" s="24">
        <v>0.1</v>
      </c>
      <c r="E538" s="24" t="s">
        <v>796</v>
      </c>
      <c r="F538" s="24" t="s">
        <v>826</v>
      </c>
      <c r="G538" s="24">
        <v>170887</v>
      </c>
    </row>
    <row r="539" spans="1:7" x14ac:dyDescent="0.25">
      <c r="A539" s="24" t="s">
        <v>146</v>
      </c>
      <c r="B539" s="24" t="s">
        <v>55</v>
      </c>
      <c r="C539" s="24" t="s">
        <v>31</v>
      </c>
      <c r="D539" s="24">
        <v>0.9</v>
      </c>
      <c r="E539" s="24" t="s">
        <v>796</v>
      </c>
      <c r="F539" s="24" t="s">
        <v>826</v>
      </c>
      <c r="G539" s="24">
        <v>170887</v>
      </c>
    </row>
    <row r="540" spans="1:7" x14ac:dyDescent="0.25">
      <c r="A540" s="24" t="s">
        <v>146</v>
      </c>
      <c r="B540" s="24" t="s">
        <v>56</v>
      </c>
      <c r="C540" s="24" t="s">
        <v>31</v>
      </c>
      <c r="D540" s="24">
        <v>0</v>
      </c>
      <c r="E540" s="24" t="s">
        <v>796</v>
      </c>
      <c r="F540" s="24" t="s">
        <v>826</v>
      </c>
      <c r="G540" s="24">
        <v>170887</v>
      </c>
    </row>
    <row r="541" spans="1:7" x14ac:dyDescent="0.25">
      <c r="A541" s="24" t="s">
        <v>146</v>
      </c>
      <c r="B541" s="24" t="s">
        <v>57</v>
      </c>
      <c r="C541" s="24" t="s">
        <v>36</v>
      </c>
      <c r="D541" s="24">
        <v>3.2</v>
      </c>
      <c r="E541" s="24" t="s">
        <v>796</v>
      </c>
      <c r="F541" s="24" t="s">
        <v>826</v>
      </c>
      <c r="G541" s="24">
        <v>170887</v>
      </c>
    </row>
    <row r="542" spans="1:7" x14ac:dyDescent="0.25">
      <c r="A542" s="24" t="s">
        <v>146</v>
      </c>
      <c r="B542" s="24" t="s">
        <v>58</v>
      </c>
      <c r="C542" s="24" t="s">
        <v>5</v>
      </c>
      <c r="D542" s="24">
        <v>0</v>
      </c>
      <c r="E542" s="24" t="s">
        <v>795</v>
      </c>
      <c r="F542" s="24"/>
      <c r="G542" s="24"/>
    </row>
    <row r="543" spans="1:7" x14ac:dyDescent="0.25">
      <c r="A543" s="24" t="s">
        <v>147</v>
      </c>
      <c r="B543" s="24" t="s">
        <v>23</v>
      </c>
      <c r="C543" s="24" t="s">
        <v>5</v>
      </c>
      <c r="D543" s="24">
        <v>18.2</v>
      </c>
      <c r="E543" s="24" t="s">
        <v>796</v>
      </c>
      <c r="F543" s="24" t="s">
        <v>825</v>
      </c>
      <c r="G543" s="24">
        <v>173456</v>
      </c>
    </row>
    <row r="544" spans="1:7" x14ac:dyDescent="0.25">
      <c r="A544" s="24" t="s">
        <v>147</v>
      </c>
      <c r="B544" s="24" t="s">
        <v>35</v>
      </c>
      <c r="C544" s="24" t="s">
        <v>36</v>
      </c>
      <c r="D544" s="24">
        <v>1.4</v>
      </c>
      <c r="E544" s="24" t="s">
        <v>796</v>
      </c>
      <c r="F544" s="24" t="s">
        <v>825</v>
      </c>
      <c r="G544" s="24">
        <v>173456</v>
      </c>
    </row>
    <row r="545" spans="1:7" x14ac:dyDescent="0.25">
      <c r="A545" s="24" t="s">
        <v>147</v>
      </c>
      <c r="B545" s="24" t="s">
        <v>37</v>
      </c>
      <c r="C545" s="24" t="s">
        <v>38</v>
      </c>
      <c r="D545" s="24">
        <v>0</v>
      </c>
      <c r="E545" s="24" t="s">
        <v>796</v>
      </c>
      <c r="F545" s="24" t="s">
        <v>825</v>
      </c>
      <c r="G545" s="24">
        <v>173456</v>
      </c>
    </row>
    <row r="546" spans="1:7" x14ac:dyDescent="0.25">
      <c r="A546" s="24" t="s">
        <v>147</v>
      </c>
      <c r="B546" s="24" t="s">
        <v>39</v>
      </c>
      <c r="C546" s="24" t="s">
        <v>36</v>
      </c>
      <c r="D546" s="24">
        <v>0.1</v>
      </c>
      <c r="E546" s="24" t="s">
        <v>796</v>
      </c>
      <c r="F546" s="24" t="s">
        <v>825</v>
      </c>
      <c r="G546" s="24">
        <v>173456</v>
      </c>
    </row>
    <row r="547" spans="1:7" x14ac:dyDescent="0.25">
      <c r="A547" s="24" t="s">
        <v>147</v>
      </c>
      <c r="B547" s="24" t="s">
        <v>57</v>
      </c>
      <c r="C547" s="24" t="s">
        <v>36</v>
      </c>
      <c r="D547" s="24">
        <v>3</v>
      </c>
      <c r="E547" s="24" t="s">
        <v>796</v>
      </c>
      <c r="F547" s="24" t="s">
        <v>825</v>
      </c>
      <c r="G547" s="24">
        <v>173456</v>
      </c>
    </row>
    <row r="548" spans="1:7" x14ac:dyDescent="0.25">
      <c r="A548" s="24" t="s">
        <v>147</v>
      </c>
      <c r="B548" s="24" t="s">
        <v>58</v>
      </c>
      <c r="C548" s="24" t="s">
        <v>5</v>
      </c>
      <c r="D548" s="24">
        <v>0</v>
      </c>
      <c r="E548" s="24" t="s">
        <v>795</v>
      </c>
      <c r="F548" s="24"/>
      <c r="G548" s="24"/>
    </row>
    <row r="549" spans="1:7" x14ac:dyDescent="0.25">
      <c r="A549" s="24" t="s">
        <v>148</v>
      </c>
      <c r="B549" s="24" t="s">
        <v>23</v>
      </c>
      <c r="C549" s="24" t="s">
        <v>5</v>
      </c>
      <c r="D549" s="24">
        <v>18.600000000000001</v>
      </c>
      <c r="E549" s="24" t="s">
        <v>796</v>
      </c>
      <c r="F549" s="24" t="s">
        <v>827</v>
      </c>
      <c r="G549" s="24">
        <v>171285</v>
      </c>
    </row>
    <row r="550" spans="1:7" x14ac:dyDescent="0.25">
      <c r="A550" s="24" t="s">
        <v>148</v>
      </c>
      <c r="B550" s="24" t="s">
        <v>32</v>
      </c>
      <c r="C550" s="24" t="s">
        <v>33</v>
      </c>
      <c r="D550" s="24">
        <v>10.1</v>
      </c>
      <c r="E550" s="24" t="s">
        <v>796</v>
      </c>
      <c r="F550" s="24" t="s">
        <v>827</v>
      </c>
      <c r="G550" s="24">
        <v>171285</v>
      </c>
    </row>
    <row r="551" spans="1:7" x14ac:dyDescent="0.25">
      <c r="A551" s="24" t="s">
        <v>148</v>
      </c>
      <c r="B551" s="24" t="s">
        <v>35</v>
      </c>
      <c r="C551" s="24" t="s">
        <v>36</v>
      </c>
      <c r="D551" s="24">
        <v>0</v>
      </c>
      <c r="E551" s="24" t="s">
        <v>796</v>
      </c>
      <c r="F551" s="24" t="s">
        <v>827</v>
      </c>
      <c r="G551" s="24">
        <v>171285</v>
      </c>
    </row>
    <row r="552" spans="1:7" x14ac:dyDescent="0.25">
      <c r="A552" s="24" t="s">
        <v>148</v>
      </c>
      <c r="B552" s="24" t="s">
        <v>37</v>
      </c>
      <c r="C552" s="24" t="s">
        <v>38</v>
      </c>
      <c r="D552" s="24">
        <v>0</v>
      </c>
      <c r="E552" s="24" t="s">
        <v>796</v>
      </c>
      <c r="F552" s="24" t="s">
        <v>827</v>
      </c>
      <c r="G552" s="24">
        <v>171285</v>
      </c>
    </row>
    <row r="553" spans="1:7" x14ac:dyDescent="0.25">
      <c r="A553" s="24" t="s">
        <v>148</v>
      </c>
      <c r="B553" s="24" t="s">
        <v>39</v>
      </c>
      <c r="C553" s="24" t="s">
        <v>36</v>
      </c>
      <c r="D553" s="24">
        <v>0.1</v>
      </c>
      <c r="E553" s="24" t="s">
        <v>796</v>
      </c>
      <c r="F553" s="24" t="s">
        <v>827</v>
      </c>
      <c r="G553" s="24">
        <v>171285</v>
      </c>
    </row>
    <row r="554" spans="1:7" x14ac:dyDescent="0.25">
      <c r="A554" s="24" t="s">
        <v>148</v>
      </c>
      <c r="B554" s="24" t="s">
        <v>58</v>
      </c>
      <c r="C554" s="24" t="s">
        <v>5</v>
      </c>
      <c r="D554" s="24">
        <v>0</v>
      </c>
      <c r="E554" s="24" t="s">
        <v>795</v>
      </c>
      <c r="F554" s="24"/>
      <c r="G554" s="24"/>
    </row>
    <row r="555" spans="1:7" x14ac:dyDescent="0.25">
      <c r="A555" s="24" t="s">
        <v>149</v>
      </c>
      <c r="B555" s="24" t="s">
        <v>23</v>
      </c>
      <c r="C555" s="24" t="s">
        <v>5</v>
      </c>
      <c r="D555" s="24">
        <v>10.1</v>
      </c>
      <c r="E555" s="24" t="s">
        <v>796</v>
      </c>
      <c r="F555" s="24" t="s">
        <v>825</v>
      </c>
      <c r="G555" s="24">
        <v>173456</v>
      </c>
    </row>
    <row r="556" spans="1:7" x14ac:dyDescent="0.25">
      <c r="A556" s="24" t="s">
        <v>149</v>
      </c>
      <c r="B556" s="24" t="s">
        <v>32</v>
      </c>
      <c r="C556" s="24" t="s">
        <v>33</v>
      </c>
      <c r="D556" s="24">
        <v>6.2</v>
      </c>
      <c r="E556" s="24" t="s">
        <v>796</v>
      </c>
      <c r="F556" s="24" t="s">
        <v>825</v>
      </c>
      <c r="G556" s="24">
        <v>173456</v>
      </c>
    </row>
    <row r="557" spans="1:7" x14ac:dyDescent="0.25">
      <c r="A557" s="24" t="s">
        <v>149</v>
      </c>
      <c r="B557" s="24" t="s">
        <v>34</v>
      </c>
      <c r="C557" s="24" t="s">
        <v>31</v>
      </c>
      <c r="D557" s="24">
        <v>0.3</v>
      </c>
      <c r="E557" s="24" t="s">
        <v>796</v>
      </c>
      <c r="F557" s="24" t="s">
        <v>825</v>
      </c>
      <c r="G557" s="24">
        <v>173456</v>
      </c>
    </row>
    <row r="558" spans="1:7" x14ac:dyDescent="0.25">
      <c r="A558" s="24" t="s">
        <v>149</v>
      </c>
      <c r="B558" s="24" t="s">
        <v>35</v>
      </c>
      <c r="C558" s="24" t="s">
        <v>36</v>
      </c>
      <c r="D558" s="24">
        <v>0.7</v>
      </c>
      <c r="E558" s="24" t="s">
        <v>796</v>
      </c>
      <c r="F558" s="24" t="s">
        <v>825</v>
      </c>
      <c r="G558" s="24">
        <v>173456</v>
      </c>
    </row>
    <row r="559" spans="1:7" x14ac:dyDescent="0.25">
      <c r="A559" s="24" t="s">
        <v>149</v>
      </c>
      <c r="B559" s="24" t="s">
        <v>37</v>
      </c>
      <c r="C559" s="24" t="s">
        <v>38</v>
      </c>
      <c r="D559" s="24">
        <v>0</v>
      </c>
      <c r="E559" s="24" t="s">
        <v>796</v>
      </c>
      <c r="F559" s="24" t="s">
        <v>825</v>
      </c>
      <c r="G559" s="24">
        <v>173456</v>
      </c>
    </row>
    <row r="560" spans="1:7" x14ac:dyDescent="0.25">
      <c r="A560" s="24" t="s">
        <v>149</v>
      </c>
      <c r="B560" s="24" t="s">
        <v>39</v>
      </c>
      <c r="C560" s="24" t="s">
        <v>36</v>
      </c>
      <c r="D560" s="24">
        <v>0.1</v>
      </c>
      <c r="E560" s="24" t="s">
        <v>796</v>
      </c>
      <c r="F560" s="24" t="s">
        <v>825</v>
      </c>
      <c r="G560" s="24">
        <v>173456</v>
      </c>
    </row>
    <row r="561" spans="1:7" x14ac:dyDescent="0.25">
      <c r="A561" s="24" t="s">
        <v>149</v>
      </c>
      <c r="B561" s="24" t="s">
        <v>40</v>
      </c>
      <c r="C561" s="24" t="s">
        <v>31</v>
      </c>
      <c r="D561" s="24">
        <v>0</v>
      </c>
      <c r="E561" s="24" t="s">
        <v>796</v>
      </c>
      <c r="F561" s="24" t="s">
        <v>825</v>
      </c>
      <c r="G561" s="24">
        <v>173456</v>
      </c>
    </row>
    <row r="562" spans="1:7" x14ac:dyDescent="0.25">
      <c r="A562" s="24" t="s">
        <v>149</v>
      </c>
      <c r="B562" s="24" t="s">
        <v>41</v>
      </c>
      <c r="C562" s="24" t="s">
        <v>31</v>
      </c>
      <c r="D562" s="24">
        <v>0.1</v>
      </c>
      <c r="E562" s="24" t="s">
        <v>796</v>
      </c>
      <c r="F562" s="24" t="s">
        <v>825</v>
      </c>
      <c r="G562" s="24">
        <v>173456</v>
      </c>
    </row>
    <row r="563" spans="1:7" x14ac:dyDescent="0.25">
      <c r="A563" s="24" t="s">
        <v>149</v>
      </c>
      <c r="B563" s="24" t="s">
        <v>42</v>
      </c>
      <c r="C563" s="24" t="s">
        <v>43</v>
      </c>
      <c r="D563" s="24">
        <v>0</v>
      </c>
      <c r="E563" s="24" t="s">
        <v>796</v>
      </c>
      <c r="F563" s="24" t="s">
        <v>825</v>
      </c>
      <c r="G563" s="24">
        <v>173456</v>
      </c>
    </row>
    <row r="564" spans="1:7" x14ac:dyDescent="0.25">
      <c r="A564" s="24" t="s">
        <v>149</v>
      </c>
      <c r="B564" s="24" t="s">
        <v>44</v>
      </c>
      <c r="C564" s="24" t="s">
        <v>31</v>
      </c>
      <c r="D564" s="24">
        <v>0</v>
      </c>
      <c r="E564" s="24" t="s">
        <v>796</v>
      </c>
      <c r="F564" s="24" t="s">
        <v>825</v>
      </c>
      <c r="G564" s="24">
        <v>173456</v>
      </c>
    </row>
    <row r="565" spans="1:7" x14ac:dyDescent="0.25">
      <c r="A565" s="24" t="s">
        <v>149</v>
      </c>
      <c r="B565" s="24" t="s">
        <v>45</v>
      </c>
      <c r="C565" s="24" t="s">
        <v>31</v>
      </c>
      <c r="D565" s="24">
        <v>0.3</v>
      </c>
      <c r="E565" s="24" t="s">
        <v>796</v>
      </c>
      <c r="F565" s="24" t="s">
        <v>825</v>
      </c>
      <c r="G565" s="24">
        <v>173456</v>
      </c>
    </row>
    <row r="566" spans="1:7" x14ac:dyDescent="0.25">
      <c r="A566" s="24" t="s">
        <v>149</v>
      </c>
      <c r="B566" s="24" t="s">
        <v>46</v>
      </c>
      <c r="C566" s="24" t="s">
        <v>36</v>
      </c>
      <c r="D566" s="24">
        <v>0.2</v>
      </c>
      <c r="E566" s="24" t="s">
        <v>796</v>
      </c>
      <c r="F566" s="24" t="s">
        <v>825</v>
      </c>
      <c r="G566" s="24">
        <v>173456</v>
      </c>
    </row>
    <row r="567" spans="1:7" x14ac:dyDescent="0.25">
      <c r="A567" s="24" t="s">
        <v>149</v>
      </c>
      <c r="B567" s="24" t="s">
        <v>47</v>
      </c>
      <c r="C567" s="24" t="s">
        <v>48</v>
      </c>
      <c r="D567" s="24">
        <v>5.0999999999999996</v>
      </c>
      <c r="E567" s="24" t="s">
        <v>796</v>
      </c>
      <c r="F567" s="24" t="s">
        <v>825</v>
      </c>
      <c r="G567" s="24">
        <v>173456</v>
      </c>
    </row>
    <row r="568" spans="1:7" x14ac:dyDescent="0.25">
      <c r="A568" s="24" t="s">
        <v>149</v>
      </c>
      <c r="B568" s="24" t="s">
        <v>50</v>
      </c>
      <c r="C568" s="24" t="s">
        <v>31</v>
      </c>
      <c r="D568" s="24">
        <v>100.3</v>
      </c>
      <c r="E568" s="24" t="s">
        <v>796</v>
      </c>
      <c r="F568" s="24" t="s">
        <v>825</v>
      </c>
      <c r="G568" s="24">
        <v>173456</v>
      </c>
    </row>
    <row r="569" spans="1:7" x14ac:dyDescent="0.25">
      <c r="A569" s="24" t="s">
        <v>149</v>
      </c>
      <c r="B569" s="24" t="s">
        <v>51</v>
      </c>
      <c r="C569" s="24" t="s">
        <v>31</v>
      </c>
      <c r="D569" s="24">
        <v>78.2</v>
      </c>
      <c r="E569" s="24" t="s">
        <v>796</v>
      </c>
      <c r="F569" s="24" t="s">
        <v>825</v>
      </c>
      <c r="G569" s="24">
        <v>173456</v>
      </c>
    </row>
    <row r="570" spans="1:7" x14ac:dyDescent="0.25">
      <c r="A570" s="24" t="s">
        <v>149</v>
      </c>
      <c r="B570" s="24" t="s">
        <v>52</v>
      </c>
      <c r="C570" s="24" t="s">
        <v>31</v>
      </c>
      <c r="D570" s="24">
        <v>61.8</v>
      </c>
      <c r="E570" s="24" t="s">
        <v>796</v>
      </c>
      <c r="F570" s="24" t="s">
        <v>825</v>
      </c>
      <c r="G570" s="24">
        <v>173456</v>
      </c>
    </row>
    <row r="571" spans="1:7" x14ac:dyDescent="0.25">
      <c r="A571" s="24" t="s">
        <v>149</v>
      </c>
      <c r="B571" s="24" t="s">
        <v>53</v>
      </c>
      <c r="C571" s="24" t="s">
        <v>31</v>
      </c>
      <c r="D571" s="24">
        <v>7.4</v>
      </c>
      <c r="E571" s="24" t="s">
        <v>796</v>
      </c>
      <c r="F571" s="24" t="s">
        <v>825</v>
      </c>
      <c r="G571" s="24">
        <v>173456</v>
      </c>
    </row>
    <row r="572" spans="1:7" x14ac:dyDescent="0.25">
      <c r="A572" s="24" t="s">
        <v>149</v>
      </c>
      <c r="B572" s="24" t="s">
        <v>54</v>
      </c>
      <c r="C572" s="24" t="s">
        <v>31</v>
      </c>
      <c r="D572" s="24">
        <v>0</v>
      </c>
      <c r="E572" s="24" t="s">
        <v>796</v>
      </c>
      <c r="F572" s="24" t="s">
        <v>825</v>
      </c>
      <c r="G572" s="24">
        <v>173456</v>
      </c>
    </row>
    <row r="573" spans="1:7" x14ac:dyDescent="0.25">
      <c r="A573" s="24" t="s">
        <v>149</v>
      </c>
      <c r="B573" s="24" t="s">
        <v>55</v>
      </c>
      <c r="C573" s="24" t="s">
        <v>31</v>
      </c>
      <c r="D573" s="24">
        <v>0.4</v>
      </c>
      <c r="E573" s="24" t="s">
        <v>796</v>
      </c>
      <c r="F573" s="24" t="s">
        <v>825</v>
      </c>
      <c r="G573" s="24">
        <v>173456</v>
      </c>
    </row>
    <row r="574" spans="1:7" x14ac:dyDescent="0.25">
      <c r="A574" s="24" t="s">
        <v>149</v>
      </c>
      <c r="B574" s="24" t="s">
        <v>56</v>
      </c>
      <c r="C574" s="24" t="s">
        <v>31</v>
      </c>
      <c r="D574" s="24">
        <v>0</v>
      </c>
      <c r="E574" s="24" t="s">
        <v>796</v>
      </c>
      <c r="F574" s="24" t="s">
        <v>825</v>
      </c>
      <c r="G574" s="24">
        <v>173456</v>
      </c>
    </row>
    <row r="575" spans="1:7" x14ac:dyDescent="0.25">
      <c r="A575" s="24" t="s">
        <v>149</v>
      </c>
      <c r="B575" s="24" t="s">
        <v>57</v>
      </c>
      <c r="C575" s="24" t="s">
        <v>36</v>
      </c>
      <c r="D575" s="24">
        <v>1.6</v>
      </c>
      <c r="E575" s="24" t="s">
        <v>796</v>
      </c>
      <c r="F575" s="24" t="s">
        <v>825</v>
      </c>
      <c r="G575" s="24">
        <v>173456</v>
      </c>
    </row>
    <row r="576" spans="1:7" x14ac:dyDescent="0.25">
      <c r="A576" s="24" t="s">
        <v>149</v>
      </c>
      <c r="B576" s="24" t="s">
        <v>58</v>
      </c>
      <c r="C576" s="24" t="s">
        <v>5</v>
      </c>
      <c r="D576" s="24">
        <v>0</v>
      </c>
      <c r="E576" s="24" t="s">
        <v>795</v>
      </c>
      <c r="F576" s="24"/>
      <c r="G576" s="24"/>
    </row>
    <row r="577" spans="1:7" x14ac:dyDescent="0.25">
      <c r="A577" s="24" t="s">
        <v>150</v>
      </c>
      <c r="B577" s="24" t="s">
        <v>29</v>
      </c>
      <c r="C577" s="24" t="s">
        <v>5</v>
      </c>
      <c r="D577" s="24">
        <v>0</v>
      </c>
      <c r="E577" s="24" t="s">
        <v>799</v>
      </c>
      <c r="F577" s="24" t="s">
        <v>828</v>
      </c>
      <c r="G577" s="24">
        <v>172476</v>
      </c>
    </row>
    <row r="578" spans="1:7" x14ac:dyDescent="0.25">
      <c r="A578" s="24" t="s">
        <v>150</v>
      </c>
      <c r="B578" s="24" t="s">
        <v>58</v>
      </c>
      <c r="C578" s="24" t="s">
        <v>5</v>
      </c>
      <c r="D578" s="24">
        <v>0</v>
      </c>
      <c r="E578" s="24" t="s">
        <v>795</v>
      </c>
      <c r="F578" s="24"/>
      <c r="G578" s="24"/>
    </row>
    <row r="579" spans="1:7" x14ac:dyDescent="0.25">
      <c r="A579" s="24" t="s">
        <v>151</v>
      </c>
      <c r="B579" s="24" t="s">
        <v>26</v>
      </c>
      <c r="C579" s="24" t="s">
        <v>5</v>
      </c>
      <c r="D579" s="24">
        <v>0.35</v>
      </c>
      <c r="E579" s="24" t="s">
        <v>799</v>
      </c>
      <c r="F579" s="24" t="s">
        <v>828</v>
      </c>
      <c r="G579" s="24">
        <v>172476</v>
      </c>
    </row>
    <row r="580" spans="1:7" x14ac:dyDescent="0.25">
      <c r="A580" s="24" t="s">
        <v>151</v>
      </c>
      <c r="B580" s="24" t="s">
        <v>27</v>
      </c>
      <c r="C580" s="24" t="s">
        <v>5</v>
      </c>
      <c r="D580" s="24">
        <v>0.53</v>
      </c>
      <c r="E580" s="24" t="s">
        <v>799</v>
      </c>
      <c r="F580" s="24" t="s">
        <v>828</v>
      </c>
      <c r="G580" s="24">
        <v>172476</v>
      </c>
    </row>
    <row r="581" spans="1:7" x14ac:dyDescent="0.25">
      <c r="A581" s="24" t="s">
        <v>151</v>
      </c>
      <c r="B581" s="24" t="s">
        <v>28</v>
      </c>
      <c r="C581" s="24" t="s">
        <v>5</v>
      </c>
      <c r="D581" s="24">
        <v>1.36</v>
      </c>
      <c r="E581" s="24" t="s">
        <v>799</v>
      </c>
      <c r="F581" s="24" t="s">
        <v>828</v>
      </c>
      <c r="G581" s="24">
        <v>172476</v>
      </c>
    </row>
    <row r="582" spans="1:7" x14ac:dyDescent="0.25">
      <c r="A582" s="24" t="s">
        <v>151</v>
      </c>
      <c r="B582" s="24" t="s">
        <v>29</v>
      </c>
      <c r="C582" s="24" t="s">
        <v>5</v>
      </c>
      <c r="D582" s="24">
        <v>0</v>
      </c>
      <c r="E582" s="24" t="s">
        <v>799</v>
      </c>
      <c r="F582" s="24" t="s">
        <v>828</v>
      </c>
      <c r="G582" s="24">
        <v>172476</v>
      </c>
    </row>
    <row r="583" spans="1:7" x14ac:dyDescent="0.25">
      <c r="A583" s="24" t="s">
        <v>151</v>
      </c>
      <c r="B583" s="24" t="s">
        <v>30</v>
      </c>
      <c r="C583" s="24" t="s">
        <v>31</v>
      </c>
      <c r="D583" s="24">
        <v>0</v>
      </c>
      <c r="E583" s="24" t="s">
        <v>801</v>
      </c>
      <c r="F583" s="24" t="s">
        <v>828</v>
      </c>
      <c r="G583" s="24">
        <v>172476</v>
      </c>
    </row>
    <row r="584" spans="1:7" x14ac:dyDescent="0.25">
      <c r="A584" s="24" t="s">
        <v>151</v>
      </c>
      <c r="B584" s="24" t="s">
        <v>34</v>
      </c>
      <c r="C584" s="24" t="s">
        <v>31</v>
      </c>
      <c r="D584" s="24">
        <v>0.1</v>
      </c>
      <c r="E584" s="24" t="s">
        <v>796</v>
      </c>
      <c r="F584" s="24" t="s">
        <v>828</v>
      </c>
      <c r="G584" s="24">
        <v>172476</v>
      </c>
    </row>
    <row r="585" spans="1:7" x14ac:dyDescent="0.25">
      <c r="A585" s="24" t="s">
        <v>151</v>
      </c>
      <c r="B585" s="24" t="s">
        <v>35</v>
      </c>
      <c r="C585" s="24" t="s">
        <v>36</v>
      </c>
      <c r="D585" s="24">
        <v>0</v>
      </c>
      <c r="E585" s="24" t="s">
        <v>796</v>
      </c>
      <c r="F585" s="24" t="s">
        <v>828</v>
      </c>
      <c r="G585" s="24">
        <v>172476</v>
      </c>
    </row>
    <row r="586" spans="1:7" x14ac:dyDescent="0.25">
      <c r="A586" s="24" t="s">
        <v>151</v>
      </c>
      <c r="B586" s="24" t="s">
        <v>37</v>
      </c>
      <c r="C586" s="24" t="s">
        <v>38</v>
      </c>
      <c r="D586" s="24">
        <v>0</v>
      </c>
      <c r="E586" s="24" t="s">
        <v>796</v>
      </c>
      <c r="F586" s="24" t="s">
        <v>828</v>
      </c>
      <c r="G586" s="24">
        <v>172476</v>
      </c>
    </row>
    <row r="587" spans="1:7" x14ac:dyDescent="0.25">
      <c r="A587" s="24" t="s">
        <v>151</v>
      </c>
      <c r="B587" s="24" t="s">
        <v>39</v>
      </c>
      <c r="C587" s="24" t="s">
        <v>36</v>
      </c>
      <c r="D587" s="24">
        <v>3.4</v>
      </c>
      <c r="E587" s="24" t="s">
        <v>796</v>
      </c>
      <c r="F587" s="24" t="s">
        <v>828</v>
      </c>
      <c r="G587" s="24">
        <v>172476</v>
      </c>
    </row>
    <row r="588" spans="1:7" x14ac:dyDescent="0.25">
      <c r="A588" s="24" t="s">
        <v>151</v>
      </c>
      <c r="B588" s="24" t="s">
        <v>40</v>
      </c>
      <c r="C588" s="24" t="s">
        <v>31</v>
      </c>
      <c r="D588" s="24">
        <v>0.1</v>
      </c>
      <c r="E588" s="24" t="s">
        <v>796</v>
      </c>
      <c r="F588" s="24" t="s">
        <v>828</v>
      </c>
      <c r="G588" s="24">
        <v>172476</v>
      </c>
    </row>
    <row r="589" spans="1:7" x14ac:dyDescent="0.25">
      <c r="A589" s="24" t="s">
        <v>151</v>
      </c>
      <c r="B589" s="24" t="s">
        <v>41</v>
      </c>
      <c r="C589" s="24" t="s">
        <v>31</v>
      </c>
      <c r="D589" s="24">
        <v>0.1</v>
      </c>
      <c r="E589" s="24" t="s">
        <v>796</v>
      </c>
      <c r="F589" s="24" t="s">
        <v>828</v>
      </c>
      <c r="G589" s="24">
        <v>172476</v>
      </c>
    </row>
    <row r="590" spans="1:7" x14ac:dyDescent="0.25">
      <c r="A590" s="24" t="s">
        <v>151</v>
      </c>
      <c r="B590" s="24" t="s">
        <v>42</v>
      </c>
      <c r="C590" s="24" t="s">
        <v>43</v>
      </c>
      <c r="D590" s="24">
        <v>0.3</v>
      </c>
      <c r="E590" s="24" t="s">
        <v>796</v>
      </c>
      <c r="F590" s="24" t="s">
        <v>828</v>
      </c>
      <c r="G590" s="24">
        <v>172476</v>
      </c>
    </row>
    <row r="591" spans="1:7" x14ac:dyDescent="0.25">
      <c r="A591" s="24" t="s">
        <v>151</v>
      </c>
      <c r="B591" s="24" t="s">
        <v>44</v>
      </c>
      <c r="C591" s="24" t="s">
        <v>31</v>
      </c>
      <c r="D591" s="24">
        <v>0.1</v>
      </c>
      <c r="E591" s="24" t="s">
        <v>796</v>
      </c>
      <c r="F591" s="24" t="s">
        <v>828</v>
      </c>
      <c r="G591" s="24">
        <v>172476</v>
      </c>
    </row>
    <row r="592" spans="1:7" x14ac:dyDescent="0.25">
      <c r="A592" s="24" t="s">
        <v>151</v>
      </c>
      <c r="B592" s="24" t="s">
        <v>45</v>
      </c>
      <c r="C592" s="24" t="s">
        <v>31</v>
      </c>
      <c r="D592" s="24">
        <v>0.1</v>
      </c>
      <c r="E592" s="24" t="s">
        <v>796</v>
      </c>
      <c r="F592" s="24" t="s">
        <v>828</v>
      </c>
      <c r="G592" s="24">
        <v>172476</v>
      </c>
    </row>
    <row r="593" spans="1:7" x14ac:dyDescent="0.25">
      <c r="A593" s="24" t="s">
        <v>151</v>
      </c>
      <c r="B593" s="24" t="s">
        <v>46</v>
      </c>
      <c r="C593" s="24" t="s">
        <v>36</v>
      </c>
      <c r="D593" s="24">
        <v>0</v>
      </c>
      <c r="E593" s="24" t="s">
        <v>796</v>
      </c>
      <c r="F593" s="24" t="s">
        <v>828</v>
      </c>
      <c r="G593" s="24">
        <v>172476</v>
      </c>
    </row>
    <row r="594" spans="1:7" x14ac:dyDescent="0.25">
      <c r="A594" s="24" t="s">
        <v>151</v>
      </c>
      <c r="B594" s="24" t="s">
        <v>47</v>
      </c>
      <c r="C594" s="24" t="s">
        <v>48</v>
      </c>
      <c r="D594" s="24">
        <v>21</v>
      </c>
      <c r="E594" s="24" t="s">
        <v>796</v>
      </c>
      <c r="F594" s="24" t="s">
        <v>828</v>
      </c>
      <c r="G594" s="24">
        <v>172476</v>
      </c>
    </row>
    <row r="595" spans="1:7" x14ac:dyDescent="0.25">
      <c r="A595" s="24" t="s">
        <v>151</v>
      </c>
      <c r="B595" s="24" t="s">
        <v>50</v>
      </c>
      <c r="C595" s="24" t="s">
        <v>31</v>
      </c>
      <c r="D595" s="24">
        <v>169.2</v>
      </c>
      <c r="E595" s="24" t="s">
        <v>796</v>
      </c>
      <c r="F595" s="24" t="s">
        <v>828</v>
      </c>
      <c r="G595" s="24">
        <v>172476</v>
      </c>
    </row>
    <row r="596" spans="1:7" x14ac:dyDescent="0.25">
      <c r="A596" s="24" t="s">
        <v>151</v>
      </c>
      <c r="B596" s="24" t="s">
        <v>51</v>
      </c>
      <c r="C596" s="24" t="s">
        <v>31</v>
      </c>
      <c r="D596" s="24">
        <v>489.3</v>
      </c>
      <c r="E596" s="24" t="s">
        <v>796</v>
      </c>
      <c r="F596" s="24" t="s">
        <v>828</v>
      </c>
      <c r="G596" s="24">
        <v>172476</v>
      </c>
    </row>
    <row r="597" spans="1:7" x14ac:dyDescent="0.25">
      <c r="A597" s="24" t="s">
        <v>151</v>
      </c>
      <c r="B597" s="24" t="s">
        <v>52</v>
      </c>
      <c r="C597" s="24" t="s">
        <v>31</v>
      </c>
      <c r="D597" s="24">
        <v>135.6</v>
      </c>
      <c r="E597" s="24" t="s">
        <v>796</v>
      </c>
      <c r="F597" s="24" t="s">
        <v>828</v>
      </c>
      <c r="G597" s="24">
        <v>172476</v>
      </c>
    </row>
    <row r="598" spans="1:7" x14ac:dyDescent="0.25">
      <c r="A598" s="24" t="s">
        <v>151</v>
      </c>
      <c r="B598" s="24" t="s">
        <v>53</v>
      </c>
      <c r="C598" s="24" t="s">
        <v>31</v>
      </c>
      <c r="D598" s="24">
        <v>41.9</v>
      </c>
      <c r="E598" s="24" t="s">
        <v>796</v>
      </c>
      <c r="F598" s="24" t="s">
        <v>828</v>
      </c>
      <c r="G598" s="24">
        <v>172476</v>
      </c>
    </row>
    <row r="599" spans="1:7" x14ac:dyDescent="0.25">
      <c r="A599" s="24" t="s">
        <v>151</v>
      </c>
      <c r="B599" s="24" t="s">
        <v>54</v>
      </c>
      <c r="C599" s="24" t="s">
        <v>31</v>
      </c>
      <c r="D599" s="24">
        <v>7.5</v>
      </c>
      <c r="E599" s="24" t="s">
        <v>796</v>
      </c>
      <c r="F599" s="24" t="s">
        <v>828</v>
      </c>
      <c r="G599" s="24">
        <v>172476</v>
      </c>
    </row>
    <row r="600" spans="1:7" x14ac:dyDescent="0.25">
      <c r="A600" s="24" t="s">
        <v>151</v>
      </c>
      <c r="B600" s="24" t="s">
        <v>55</v>
      </c>
      <c r="C600" s="24" t="s">
        <v>31</v>
      </c>
      <c r="D600" s="24">
        <v>1.1000000000000001</v>
      </c>
      <c r="E600" s="24" t="s">
        <v>796</v>
      </c>
      <c r="F600" s="24" t="s">
        <v>828</v>
      </c>
      <c r="G600" s="24">
        <v>172476</v>
      </c>
    </row>
    <row r="601" spans="1:7" x14ac:dyDescent="0.25">
      <c r="A601" s="24" t="s">
        <v>151</v>
      </c>
      <c r="B601" s="24" t="s">
        <v>56</v>
      </c>
      <c r="C601" s="24" t="s">
        <v>31</v>
      </c>
      <c r="D601" s="24">
        <v>0.3</v>
      </c>
      <c r="E601" s="24" t="s">
        <v>796</v>
      </c>
      <c r="F601" s="24" t="s">
        <v>828</v>
      </c>
      <c r="G601" s="24">
        <v>172476</v>
      </c>
    </row>
    <row r="602" spans="1:7" x14ac:dyDescent="0.25">
      <c r="A602" s="24" t="s">
        <v>151</v>
      </c>
      <c r="B602" s="24" t="s">
        <v>57</v>
      </c>
      <c r="C602" s="24" t="s">
        <v>36</v>
      </c>
      <c r="D602" s="24">
        <v>12.4</v>
      </c>
      <c r="E602" s="24" t="s">
        <v>796</v>
      </c>
      <c r="F602" s="24" t="s">
        <v>828</v>
      </c>
      <c r="G602" s="24">
        <v>172476</v>
      </c>
    </row>
    <row r="603" spans="1:7" x14ac:dyDescent="0.25">
      <c r="A603" s="24" t="s">
        <v>151</v>
      </c>
      <c r="B603" s="24" t="s">
        <v>58</v>
      </c>
      <c r="C603" s="24" t="s">
        <v>5</v>
      </c>
      <c r="D603" s="24">
        <v>0</v>
      </c>
      <c r="E603" s="24" t="s">
        <v>795</v>
      </c>
      <c r="F603" s="24"/>
      <c r="G603" s="24"/>
    </row>
    <row r="604" spans="1:7" x14ac:dyDescent="0.25">
      <c r="A604" s="24" t="s">
        <v>153</v>
      </c>
      <c r="B604" s="24" t="s">
        <v>29</v>
      </c>
      <c r="C604" s="24" t="s">
        <v>5</v>
      </c>
      <c r="D604" s="24">
        <v>0.04</v>
      </c>
      <c r="E604" s="24" t="s">
        <v>799</v>
      </c>
      <c r="F604" s="24" t="s">
        <v>829</v>
      </c>
      <c r="G604" s="24">
        <v>171287</v>
      </c>
    </row>
    <row r="605" spans="1:7" x14ac:dyDescent="0.25">
      <c r="A605" s="24" t="s">
        <v>153</v>
      </c>
      <c r="B605" s="24" t="s">
        <v>58</v>
      </c>
      <c r="C605" s="24" t="s">
        <v>5</v>
      </c>
      <c r="D605" s="24">
        <v>0</v>
      </c>
      <c r="E605" s="24" t="s">
        <v>795</v>
      </c>
      <c r="F605" s="24"/>
      <c r="G605" s="24"/>
    </row>
    <row r="606" spans="1:7" x14ac:dyDescent="0.25">
      <c r="A606" s="24" t="s">
        <v>154</v>
      </c>
      <c r="B606" s="24" t="s">
        <v>32</v>
      </c>
      <c r="C606" s="24" t="s">
        <v>33</v>
      </c>
      <c r="D606" s="24">
        <v>164.4</v>
      </c>
      <c r="E606" s="24" t="s">
        <v>796</v>
      </c>
      <c r="F606" s="24" t="s">
        <v>829</v>
      </c>
      <c r="G606" s="24">
        <v>171287</v>
      </c>
    </row>
    <row r="607" spans="1:7" x14ac:dyDescent="0.25">
      <c r="A607" s="24" t="s">
        <v>154</v>
      </c>
      <c r="B607" s="24" t="s">
        <v>34</v>
      </c>
      <c r="C607" s="24" t="s">
        <v>31</v>
      </c>
      <c r="D607" s="24">
        <v>0</v>
      </c>
      <c r="E607" s="24" t="s">
        <v>796</v>
      </c>
      <c r="F607" s="24" t="s">
        <v>829</v>
      </c>
      <c r="G607" s="24">
        <v>171287</v>
      </c>
    </row>
    <row r="608" spans="1:7" x14ac:dyDescent="0.25">
      <c r="A608" s="24" t="s">
        <v>154</v>
      </c>
      <c r="B608" s="24" t="s">
        <v>35</v>
      </c>
      <c r="C608" s="24" t="s">
        <v>36</v>
      </c>
      <c r="D608" s="24">
        <v>2.1</v>
      </c>
      <c r="E608" s="24" t="s">
        <v>796</v>
      </c>
      <c r="F608" s="24" t="s">
        <v>829</v>
      </c>
      <c r="G608" s="24">
        <v>171287</v>
      </c>
    </row>
    <row r="609" spans="1:7" x14ac:dyDescent="0.25">
      <c r="A609" s="24" t="s">
        <v>154</v>
      </c>
      <c r="B609" s="24" t="s">
        <v>37</v>
      </c>
      <c r="C609" s="24" t="s">
        <v>38</v>
      </c>
      <c r="D609" s="24">
        <v>1.1000000000000001</v>
      </c>
      <c r="E609" s="24" t="s">
        <v>796</v>
      </c>
      <c r="F609" s="24" t="s">
        <v>829</v>
      </c>
      <c r="G609" s="24">
        <v>171287</v>
      </c>
    </row>
    <row r="610" spans="1:7" x14ac:dyDescent="0.25">
      <c r="A610" s="24" t="s">
        <v>154</v>
      </c>
      <c r="B610" s="24" t="s">
        <v>39</v>
      </c>
      <c r="C610" s="24" t="s">
        <v>36</v>
      </c>
      <c r="D610" s="24">
        <v>0.3</v>
      </c>
      <c r="E610" s="24" t="s">
        <v>796</v>
      </c>
      <c r="F610" s="24" t="s">
        <v>829</v>
      </c>
      <c r="G610" s="24">
        <v>171287</v>
      </c>
    </row>
    <row r="611" spans="1:7" x14ac:dyDescent="0.25">
      <c r="A611" s="24" t="s">
        <v>154</v>
      </c>
      <c r="B611" s="24" t="s">
        <v>40</v>
      </c>
      <c r="C611" s="24" t="s">
        <v>31</v>
      </c>
      <c r="D611" s="24">
        <v>0</v>
      </c>
      <c r="E611" s="24" t="s">
        <v>796</v>
      </c>
      <c r="F611" s="24" t="s">
        <v>829</v>
      </c>
      <c r="G611" s="24">
        <v>171287</v>
      </c>
    </row>
    <row r="612" spans="1:7" x14ac:dyDescent="0.25">
      <c r="A612" s="24" t="s">
        <v>154</v>
      </c>
      <c r="B612" s="24" t="s">
        <v>41</v>
      </c>
      <c r="C612" s="24" t="s">
        <v>31</v>
      </c>
      <c r="D612" s="24">
        <v>0.5</v>
      </c>
      <c r="E612" s="24" t="s">
        <v>796</v>
      </c>
      <c r="F612" s="24" t="s">
        <v>829</v>
      </c>
      <c r="G612" s="24">
        <v>171287</v>
      </c>
    </row>
    <row r="613" spans="1:7" x14ac:dyDescent="0.25">
      <c r="A613" s="24" t="s">
        <v>154</v>
      </c>
      <c r="B613" s="24" t="s">
        <v>42</v>
      </c>
      <c r="C613" s="24" t="s">
        <v>43</v>
      </c>
      <c r="D613" s="24">
        <v>0.1</v>
      </c>
      <c r="E613" s="24" t="s">
        <v>796</v>
      </c>
      <c r="F613" s="24" t="s">
        <v>829</v>
      </c>
      <c r="G613" s="24">
        <v>171287</v>
      </c>
    </row>
    <row r="614" spans="1:7" x14ac:dyDescent="0.25">
      <c r="A614" s="24" t="s">
        <v>154</v>
      </c>
      <c r="B614" s="24" t="s">
        <v>44</v>
      </c>
      <c r="C614" s="24" t="s">
        <v>31</v>
      </c>
      <c r="D614" s="24">
        <v>0.2</v>
      </c>
      <c r="E614" s="24" t="s">
        <v>796</v>
      </c>
      <c r="F614" s="24" t="s">
        <v>829</v>
      </c>
      <c r="G614" s="24">
        <v>171287</v>
      </c>
    </row>
    <row r="615" spans="1:7" x14ac:dyDescent="0.25">
      <c r="A615" s="24" t="s">
        <v>154</v>
      </c>
      <c r="B615" s="24" t="s">
        <v>45</v>
      </c>
      <c r="C615" s="24" t="s">
        <v>31</v>
      </c>
      <c r="D615" s="24">
        <v>1.6</v>
      </c>
      <c r="E615" s="24" t="s">
        <v>796</v>
      </c>
      <c r="F615" s="24" t="s">
        <v>829</v>
      </c>
      <c r="G615" s="24">
        <v>171287</v>
      </c>
    </row>
    <row r="616" spans="1:7" x14ac:dyDescent="0.25">
      <c r="A616" s="24" t="s">
        <v>154</v>
      </c>
      <c r="B616" s="24" t="s">
        <v>46</v>
      </c>
      <c r="C616" s="24" t="s">
        <v>36</v>
      </c>
      <c r="D616" s="24">
        <v>0.9</v>
      </c>
      <c r="E616" s="24" t="s">
        <v>796</v>
      </c>
      <c r="F616" s="24" t="s">
        <v>829</v>
      </c>
      <c r="G616" s="24">
        <v>171287</v>
      </c>
    </row>
    <row r="617" spans="1:7" x14ac:dyDescent="0.25">
      <c r="A617" s="24" t="s">
        <v>154</v>
      </c>
      <c r="B617" s="24" t="s">
        <v>47</v>
      </c>
      <c r="C617" s="24" t="s">
        <v>48</v>
      </c>
      <c r="D617" s="24">
        <v>48.3</v>
      </c>
      <c r="E617" s="24" t="s">
        <v>796</v>
      </c>
      <c r="F617" s="24" t="s">
        <v>829</v>
      </c>
      <c r="G617" s="24">
        <v>171287</v>
      </c>
    </row>
    <row r="618" spans="1:7" x14ac:dyDescent="0.25">
      <c r="A618" s="24" t="s">
        <v>154</v>
      </c>
      <c r="B618" s="24" t="s">
        <v>50</v>
      </c>
      <c r="C618" s="24" t="s">
        <v>31</v>
      </c>
      <c r="D618" s="24">
        <v>141.80000000000001</v>
      </c>
      <c r="E618" s="24" t="s">
        <v>796</v>
      </c>
      <c r="F618" s="24" t="s">
        <v>829</v>
      </c>
      <c r="G618" s="24">
        <v>171287</v>
      </c>
    </row>
    <row r="619" spans="1:7" x14ac:dyDescent="0.25">
      <c r="A619" s="24" t="s">
        <v>154</v>
      </c>
      <c r="B619" s="24" t="s">
        <v>51</v>
      </c>
      <c r="C619" s="24" t="s">
        <v>31</v>
      </c>
      <c r="D619" s="24">
        <v>57.5</v>
      </c>
      <c r="E619" s="24" t="s">
        <v>796</v>
      </c>
      <c r="F619" s="24" t="s">
        <v>829</v>
      </c>
      <c r="G619" s="24">
        <v>171287</v>
      </c>
    </row>
    <row r="620" spans="1:7" x14ac:dyDescent="0.25">
      <c r="A620" s="24" t="s">
        <v>154</v>
      </c>
      <c r="B620" s="24" t="s">
        <v>52</v>
      </c>
      <c r="C620" s="24" t="s">
        <v>31</v>
      </c>
      <c r="D620" s="24">
        <v>203.4</v>
      </c>
      <c r="E620" s="24" t="s">
        <v>796</v>
      </c>
      <c r="F620" s="24" t="s">
        <v>829</v>
      </c>
      <c r="G620" s="24">
        <v>171287</v>
      </c>
    </row>
    <row r="621" spans="1:7" x14ac:dyDescent="0.25">
      <c r="A621" s="24" t="s">
        <v>154</v>
      </c>
      <c r="B621" s="24" t="s">
        <v>53</v>
      </c>
      <c r="C621" s="24" t="s">
        <v>31</v>
      </c>
      <c r="D621" s="24">
        <v>12.3</v>
      </c>
      <c r="E621" s="24" t="s">
        <v>796</v>
      </c>
      <c r="F621" s="24" t="s">
        <v>829</v>
      </c>
      <c r="G621" s="24">
        <v>171287</v>
      </c>
    </row>
    <row r="622" spans="1:7" x14ac:dyDescent="0.25">
      <c r="A622" s="24" t="s">
        <v>154</v>
      </c>
      <c r="B622" s="24" t="s">
        <v>54</v>
      </c>
      <c r="C622" s="24" t="s">
        <v>31</v>
      </c>
      <c r="D622" s="24">
        <v>1.8</v>
      </c>
      <c r="E622" s="24" t="s">
        <v>796</v>
      </c>
      <c r="F622" s="24" t="s">
        <v>829</v>
      </c>
      <c r="G622" s="24">
        <v>171287</v>
      </c>
    </row>
    <row r="623" spans="1:7" x14ac:dyDescent="0.25">
      <c r="A623" s="24" t="s">
        <v>154</v>
      </c>
      <c r="B623" s="24" t="s">
        <v>55</v>
      </c>
      <c r="C623" s="24" t="s">
        <v>31</v>
      </c>
      <c r="D623" s="24">
        <v>1.3</v>
      </c>
      <c r="E623" s="24" t="s">
        <v>796</v>
      </c>
      <c r="F623" s="24" t="s">
        <v>829</v>
      </c>
      <c r="G623" s="24">
        <v>171287</v>
      </c>
    </row>
    <row r="624" spans="1:7" x14ac:dyDescent="0.25">
      <c r="A624" s="24" t="s">
        <v>154</v>
      </c>
      <c r="B624" s="24" t="s">
        <v>56</v>
      </c>
      <c r="C624" s="24" t="s">
        <v>31</v>
      </c>
      <c r="D624" s="24">
        <v>0.1</v>
      </c>
      <c r="E624" s="24" t="s">
        <v>796</v>
      </c>
      <c r="F624" s="24" t="s">
        <v>829</v>
      </c>
      <c r="G624" s="24">
        <v>171287</v>
      </c>
    </row>
    <row r="625" spans="1:7" x14ac:dyDescent="0.25">
      <c r="A625" s="24" t="s">
        <v>154</v>
      </c>
      <c r="B625" s="24" t="s">
        <v>57</v>
      </c>
      <c r="C625" s="24" t="s">
        <v>36</v>
      </c>
      <c r="D625" s="24">
        <v>31.5</v>
      </c>
      <c r="E625" s="24" t="s">
        <v>796</v>
      </c>
      <c r="F625" s="24" t="s">
        <v>829</v>
      </c>
      <c r="G625" s="24">
        <v>171287</v>
      </c>
    </row>
    <row r="626" spans="1:7" x14ac:dyDescent="0.25">
      <c r="A626" s="24" t="s">
        <v>154</v>
      </c>
      <c r="B626" s="24" t="s">
        <v>58</v>
      </c>
      <c r="C626" s="24" t="s">
        <v>5</v>
      </c>
      <c r="D626" s="24">
        <v>0</v>
      </c>
      <c r="E626" s="24" t="s">
        <v>795</v>
      </c>
      <c r="F626" s="24"/>
      <c r="G626" s="24"/>
    </row>
    <row r="627" spans="1:7" x14ac:dyDescent="0.25">
      <c r="A627" s="24" t="s">
        <v>155</v>
      </c>
      <c r="B627" s="24" t="s">
        <v>58</v>
      </c>
      <c r="C627" s="24" t="s">
        <v>5</v>
      </c>
      <c r="D627" s="24">
        <v>0</v>
      </c>
      <c r="E627" s="24" t="s">
        <v>795</v>
      </c>
      <c r="F627" s="24"/>
      <c r="G627" s="24"/>
    </row>
    <row r="628" spans="1:7" x14ac:dyDescent="0.25">
      <c r="A628" s="24" t="s">
        <v>156</v>
      </c>
      <c r="B628" s="24" t="s">
        <v>58</v>
      </c>
      <c r="C628" s="24" t="s">
        <v>5</v>
      </c>
      <c r="D628" s="24">
        <v>0</v>
      </c>
      <c r="E628" s="24" t="s">
        <v>795</v>
      </c>
      <c r="F628" s="24"/>
      <c r="G628" s="24"/>
    </row>
    <row r="629" spans="1:7" x14ac:dyDescent="0.25">
      <c r="A629" s="24" t="s">
        <v>157</v>
      </c>
      <c r="B629" s="24" t="s">
        <v>58</v>
      </c>
      <c r="C629" s="24" t="s">
        <v>5</v>
      </c>
      <c r="D629" s="24">
        <v>0</v>
      </c>
      <c r="E629" s="24" t="s">
        <v>795</v>
      </c>
      <c r="F629" s="24"/>
      <c r="G629" s="24"/>
    </row>
    <row r="630" spans="1:7" x14ac:dyDescent="0.25">
      <c r="A630" s="24" t="s">
        <v>159</v>
      </c>
      <c r="B630" s="24" t="s">
        <v>23</v>
      </c>
      <c r="C630" s="24" t="s">
        <v>5</v>
      </c>
      <c r="D630" s="24">
        <v>0</v>
      </c>
      <c r="E630" s="24" t="s">
        <v>796</v>
      </c>
      <c r="F630" s="24" t="s">
        <v>830</v>
      </c>
      <c r="G630" s="24">
        <v>171450</v>
      </c>
    </row>
    <row r="631" spans="1:7" x14ac:dyDescent="0.25">
      <c r="A631" s="24" t="s">
        <v>159</v>
      </c>
      <c r="B631" s="24" t="s">
        <v>35</v>
      </c>
      <c r="C631" s="24" t="s">
        <v>36</v>
      </c>
      <c r="D631" s="24">
        <v>0</v>
      </c>
      <c r="E631" s="24" t="s">
        <v>796</v>
      </c>
      <c r="F631" s="24" t="s">
        <v>830</v>
      </c>
      <c r="G631" s="24">
        <v>171450</v>
      </c>
    </row>
    <row r="632" spans="1:7" x14ac:dyDescent="0.25">
      <c r="A632" s="24" t="s">
        <v>159</v>
      </c>
      <c r="B632" s="24" t="s">
        <v>39</v>
      </c>
      <c r="C632" s="24" t="s">
        <v>36</v>
      </c>
      <c r="D632" s="24">
        <v>2.1</v>
      </c>
      <c r="E632" s="24" t="s">
        <v>796</v>
      </c>
      <c r="F632" s="24" t="s">
        <v>830</v>
      </c>
      <c r="G632" s="24">
        <v>171450</v>
      </c>
    </row>
    <row r="633" spans="1:7" x14ac:dyDescent="0.25">
      <c r="A633" s="24" t="s">
        <v>159</v>
      </c>
      <c r="B633" s="24" t="s">
        <v>58</v>
      </c>
      <c r="C633" s="24" t="s">
        <v>5</v>
      </c>
      <c r="D633" s="24">
        <v>0</v>
      </c>
      <c r="E633" s="24" t="s">
        <v>795</v>
      </c>
      <c r="F633" s="24"/>
      <c r="G633" s="24"/>
    </row>
    <row r="634" spans="1:7" x14ac:dyDescent="0.25">
      <c r="A634" s="24" t="s">
        <v>160</v>
      </c>
      <c r="B634" s="24" t="s">
        <v>23</v>
      </c>
      <c r="C634" s="24" t="s">
        <v>5</v>
      </c>
      <c r="D634" s="24">
        <v>0</v>
      </c>
      <c r="E634" s="24" t="s">
        <v>796</v>
      </c>
      <c r="F634" s="24" t="s">
        <v>831</v>
      </c>
      <c r="G634" s="24">
        <v>172378</v>
      </c>
    </row>
    <row r="635" spans="1:7" x14ac:dyDescent="0.25">
      <c r="A635" s="24" t="s">
        <v>160</v>
      </c>
      <c r="B635" s="24" t="s">
        <v>29</v>
      </c>
      <c r="C635" s="24" t="s">
        <v>5</v>
      </c>
      <c r="D635" s="24">
        <v>0.04</v>
      </c>
      <c r="E635" s="24" t="s">
        <v>799</v>
      </c>
      <c r="F635" s="24" t="s">
        <v>831</v>
      </c>
      <c r="G635" s="24">
        <v>172378</v>
      </c>
    </row>
    <row r="636" spans="1:7" x14ac:dyDescent="0.25">
      <c r="A636" s="24" t="s">
        <v>160</v>
      </c>
      <c r="B636" s="24" t="s">
        <v>35</v>
      </c>
      <c r="C636" s="24" t="s">
        <v>36</v>
      </c>
      <c r="D636" s="24">
        <v>0.1</v>
      </c>
      <c r="E636" s="24" t="s">
        <v>796</v>
      </c>
      <c r="F636" s="24" t="s">
        <v>831</v>
      </c>
      <c r="G636" s="24">
        <v>172378</v>
      </c>
    </row>
    <row r="637" spans="1:7" x14ac:dyDescent="0.25">
      <c r="A637" s="24" t="s">
        <v>160</v>
      </c>
      <c r="B637" s="24" t="s">
        <v>37</v>
      </c>
      <c r="C637" s="24" t="s">
        <v>38</v>
      </c>
      <c r="D637" s="24">
        <v>0.2</v>
      </c>
      <c r="E637" s="24" t="s">
        <v>796</v>
      </c>
      <c r="F637" s="24" t="s">
        <v>831</v>
      </c>
      <c r="G637" s="24">
        <v>172378</v>
      </c>
    </row>
    <row r="638" spans="1:7" x14ac:dyDescent="0.25">
      <c r="A638" s="24" t="s">
        <v>160</v>
      </c>
      <c r="B638" s="24" t="s">
        <v>39</v>
      </c>
      <c r="C638" s="24" t="s">
        <v>36</v>
      </c>
      <c r="D638" s="24">
        <v>2.4</v>
      </c>
      <c r="E638" s="24" t="s">
        <v>796</v>
      </c>
      <c r="F638" s="24" t="s">
        <v>831</v>
      </c>
      <c r="G638" s="24">
        <v>172378</v>
      </c>
    </row>
    <row r="639" spans="1:7" x14ac:dyDescent="0.25">
      <c r="A639" s="24" t="s">
        <v>160</v>
      </c>
      <c r="B639" s="24" t="s">
        <v>40</v>
      </c>
      <c r="C639" s="24" t="s">
        <v>31</v>
      </c>
      <c r="D639" s="24">
        <v>0.1</v>
      </c>
      <c r="E639" s="24" t="s">
        <v>796</v>
      </c>
      <c r="F639" s="24" t="s">
        <v>831</v>
      </c>
      <c r="G639" s="24">
        <v>172378</v>
      </c>
    </row>
    <row r="640" spans="1:7" x14ac:dyDescent="0.25">
      <c r="A640" s="24" t="s">
        <v>160</v>
      </c>
      <c r="B640" s="24" t="s">
        <v>41</v>
      </c>
      <c r="C640" s="24" t="s">
        <v>31</v>
      </c>
      <c r="D640" s="24">
        <v>0.2</v>
      </c>
      <c r="E640" s="24" t="s">
        <v>796</v>
      </c>
      <c r="F640" s="24" t="s">
        <v>831</v>
      </c>
      <c r="G640" s="24">
        <v>172378</v>
      </c>
    </row>
    <row r="641" spans="1:7" x14ac:dyDescent="0.25">
      <c r="A641" s="24" t="s">
        <v>160</v>
      </c>
      <c r="B641" s="24" t="s">
        <v>42</v>
      </c>
      <c r="C641" s="24" t="s">
        <v>43</v>
      </c>
      <c r="D641" s="24">
        <v>5</v>
      </c>
      <c r="E641" s="24" t="s">
        <v>796</v>
      </c>
      <c r="F641" s="24" t="s">
        <v>831</v>
      </c>
      <c r="G641" s="24">
        <v>172378</v>
      </c>
    </row>
    <row r="642" spans="1:7" x14ac:dyDescent="0.25">
      <c r="A642" s="24" t="s">
        <v>160</v>
      </c>
      <c r="B642" s="24" t="s">
        <v>44</v>
      </c>
      <c r="C642" s="24" t="s">
        <v>31</v>
      </c>
      <c r="D642" s="24">
        <v>0.3</v>
      </c>
      <c r="E642" s="24" t="s">
        <v>796</v>
      </c>
      <c r="F642" s="24" t="s">
        <v>831</v>
      </c>
      <c r="G642" s="24">
        <v>172378</v>
      </c>
    </row>
    <row r="643" spans="1:7" x14ac:dyDescent="0.25">
      <c r="A643" s="24" t="s">
        <v>160</v>
      </c>
      <c r="B643" s="24" t="s">
        <v>45</v>
      </c>
      <c r="C643" s="24" t="s">
        <v>31</v>
      </c>
      <c r="D643" s="24">
        <v>1.1000000000000001</v>
      </c>
      <c r="E643" s="24" t="s">
        <v>796</v>
      </c>
      <c r="F643" s="24" t="s">
        <v>831</v>
      </c>
      <c r="G643" s="24">
        <v>172378</v>
      </c>
    </row>
    <row r="644" spans="1:7" x14ac:dyDescent="0.25">
      <c r="A644" s="24" t="s">
        <v>160</v>
      </c>
      <c r="B644" s="24" t="s">
        <v>46</v>
      </c>
      <c r="C644" s="24" t="s">
        <v>36</v>
      </c>
      <c r="D644" s="24">
        <v>0.6</v>
      </c>
      <c r="E644" s="24" t="s">
        <v>796</v>
      </c>
      <c r="F644" s="24" t="s">
        <v>831</v>
      </c>
      <c r="G644" s="24">
        <v>172378</v>
      </c>
    </row>
    <row r="645" spans="1:7" x14ac:dyDescent="0.25">
      <c r="A645" s="24" t="s">
        <v>160</v>
      </c>
      <c r="B645" s="24" t="s">
        <v>47</v>
      </c>
      <c r="C645" s="24" t="s">
        <v>48</v>
      </c>
      <c r="D645" s="24">
        <v>4.3</v>
      </c>
      <c r="E645" s="24" t="s">
        <v>796</v>
      </c>
      <c r="F645" s="24" t="s">
        <v>831</v>
      </c>
      <c r="G645" s="24">
        <v>172378</v>
      </c>
    </row>
    <row r="646" spans="1:7" x14ac:dyDescent="0.25">
      <c r="A646" s="24" t="s">
        <v>160</v>
      </c>
      <c r="B646" s="24" t="s">
        <v>53</v>
      </c>
      <c r="C646" s="24" t="s">
        <v>31</v>
      </c>
      <c r="D646" s="24">
        <v>20.2</v>
      </c>
      <c r="E646" s="24" t="s">
        <v>796</v>
      </c>
      <c r="F646" s="24" t="s">
        <v>831</v>
      </c>
      <c r="G646" s="24">
        <v>172378</v>
      </c>
    </row>
    <row r="647" spans="1:7" x14ac:dyDescent="0.25">
      <c r="A647" s="24" t="s">
        <v>160</v>
      </c>
      <c r="B647" s="24" t="s">
        <v>55</v>
      </c>
      <c r="C647" s="24" t="s">
        <v>31</v>
      </c>
      <c r="D647" s="24">
        <v>1.6</v>
      </c>
      <c r="E647" s="24" t="s">
        <v>796</v>
      </c>
      <c r="F647" s="24" t="s">
        <v>831</v>
      </c>
      <c r="G647" s="24">
        <v>172378</v>
      </c>
    </row>
    <row r="648" spans="1:7" x14ac:dyDescent="0.25">
      <c r="A648" s="24" t="s">
        <v>160</v>
      </c>
      <c r="B648" s="24" t="s">
        <v>56</v>
      </c>
      <c r="C648" s="24" t="s">
        <v>31</v>
      </c>
      <c r="D648" s="24">
        <v>0.1</v>
      </c>
      <c r="E648" s="24" t="s">
        <v>796</v>
      </c>
      <c r="F648" s="24" t="s">
        <v>831</v>
      </c>
      <c r="G648" s="24">
        <v>172378</v>
      </c>
    </row>
    <row r="649" spans="1:7" x14ac:dyDescent="0.25">
      <c r="A649" s="24" t="s">
        <v>160</v>
      </c>
      <c r="B649" s="24" t="s">
        <v>57</v>
      </c>
      <c r="C649" s="24" t="s">
        <v>36</v>
      </c>
      <c r="D649" s="24">
        <v>19.2</v>
      </c>
      <c r="E649" s="24" t="s">
        <v>796</v>
      </c>
      <c r="F649" s="24" t="s">
        <v>831</v>
      </c>
      <c r="G649" s="24">
        <v>172378</v>
      </c>
    </row>
    <row r="650" spans="1:7" x14ac:dyDescent="0.25">
      <c r="A650" s="24" t="s">
        <v>160</v>
      </c>
      <c r="B650" s="24" t="s">
        <v>58</v>
      </c>
      <c r="C650" s="24" t="s">
        <v>5</v>
      </c>
      <c r="D650" s="24">
        <v>0</v>
      </c>
      <c r="E650" s="24" t="s">
        <v>795</v>
      </c>
      <c r="F650" s="24"/>
      <c r="G650" s="24"/>
    </row>
    <row r="651" spans="1:7" x14ac:dyDescent="0.25">
      <c r="A651" s="24" t="s">
        <v>161</v>
      </c>
      <c r="B651" s="24" t="s">
        <v>23</v>
      </c>
      <c r="C651" s="24" t="s">
        <v>5</v>
      </c>
      <c r="D651" s="24">
        <v>0</v>
      </c>
      <c r="E651" s="24" t="s">
        <v>796</v>
      </c>
      <c r="F651" s="24" t="s">
        <v>832</v>
      </c>
      <c r="G651" s="24">
        <v>171474</v>
      </c>
    </row>
    <row r="652" spans="1:7" x14ac:dyDescent="0.25">
      <c r="A652" s="24" t="s">
        <v>161</v>
      </c>
      <c r="B652" s="24" t="s">
        <v>29</v>
      </c>
      <c r="C652" s="24" t="s">
        <v>5</v>
      </c>
      <c r="D652" s="24">
        <v>0.04</v>
      </c>
      <c r="E652" s="24" t="s">
        <v>799</v>
      </c>
      <c r="F652" s="24" t="s">
        <v>832</v>
      </c>
      <c r="G652" s="24">
        <v>171474</v>
      </c>
    </row>
    <row r="653" spans="1:7" x14ac:dyDescent="0.25">
      <c r="A653" s="24" t="s">
        <v>161</v>
      </c>
      <c r="B653" s="24" t="s">
        <v>35</v>
      </c>
      <c r="C653" s="24" t="s">
        <v>36</v>
      </c>
      <c r="D653" s="24">
        <v>0.4</v>
      </c>
      <c r="E653" s="24" t="s">
        <v>796</v>
      </c>
      <c r="F653" s="24" t="s">
        <v>832</v>
      </c>
      <c r="G653" s="24">
        <v>171474</v>
      </c>
    </row>
    <row r="654" spans="1:7" x14ac:dyDescent="0.25">
      <c r="A654" s="24" t="s">
        <v>161</v>
      </c>
      <c r="B654" s="24" t="s">
        <v>37</v>
      </c>
      <c r="C654" s="24" t="s">
        <v>38</v>
      </c>
      <c r="D654" s="24">
        <v>0.2</v>
      </c>
      <c r="E654" s="24" t="s">
        <v>796</v>
      </c>
      <c r="F654" s="24" t="s">
        <v>832</v>
      </c>
      <c r="G654" s="24">
        <v>171474</v>
      </c>
    </row>
    <row r="655" spans="1:7" x14ac:dyDescent="0.25">
      <c r="A655" s="24" t="s">
        <v>161</v>
      </c>
      <c r="B655" s="24" t="s">
        <v>39</v>
      </c>
      <c r="C655" s="24" t="s">
        <v>36</v>
      </c>
      <c r="D655" s="24">
        <v>0</v>
      </c>
      <c r="E655" s="24" t="s">
        <v>796</v>
      </c>
      <c r="F655" s="24" t="s">
        <v>832</v>
      </c>
      <c r="G655" s="24">
        <v>171474</v>
      </c>
    </row>
    <row r="656" spans="1:7" x14ac:dyDescent="0.25">
      <c r="A656" s="24" t="s">
        <v>161</v>
      </c>
      <c r="B656" s="24" t="s">
        <v>40</v>
      </c>
      <c r="C656" s="24" t="s">
        <v>31</v>
      </c>
      <c r="D656" s="24">
        <v>0.1</v>
      </c>
      <c r="E656" s="24" t="s">
        <v>796</v>
      </c>
      <c r="F656" s="24" t="s">
        <v>832</v>
      </c>
      <c r="G656" s="24">
        <v>171474</v>
      </c>
    </row>
    <row r="657" spans="1:7" x14ac:dyDescent="0.25">
      <c r="A657" s="24" t="s">
        <v>161</v>
      </c>
      <c r="B657" s="24" t="s">
        <v>41</v>
      </c>
      <c r="C657" s="24" t="s">
        <v>31</v>
      </c>
      <c r="D657" s="24">
        <v>0.1</v>
      </c>
      <c r="E657" s="24" t="s">
        <v>796</v>
      </c>
      <c r="F657" s="24" t="s">
        <v>832</v>
      </c>
      <c r="G657" s="24">
        <v>171474</v>
      </c>
    </row>
    <row r="658" spans="1:7" x14ac:dyDescent="0.25">
      <c r="A658" s="24" t="s">
        <v>161</v>
      </c>
      <c r="B658" s="24" t="s">
        <v>42</v>
      </c>
      <c r="C658" s="24" t="s">
        <v>43</v>
      </c>
      <c r="D658" s="24">
        <v>8.6999999999999993</v>
      </c>
      <c r="E658" s="24" t="s">
        <v>796</v>
      </c>
      <c r="F658" s="24" t="s">
        <v>832</v>
      </c>
      <c r="G658" s="24">
        <v>171474</v>
      </c>
    </row>
    <row r="659" spans="1:7" x14ac:dyDescent="0.25">
      <c r="A659" s="24" t="s">
        <v>161</v>
      </c>
      <c r="B659" s="24" t="s">
        <v>44</v>
      </c>
      <c r="C659" s="24" t="s">
        <v>31</v>
      </c>
      <c r="D659" s="24">
        <v>0.5</v>
      </c>
      <c r="E659" s="24" t="s">
        <v>796</v>
      </c>
      <c r="F659" s="24" t="s">
        <v>832</v>
      </c>
      <c r="G659" s="24">
        <v>171474</v>
      </c>
    </row>
    <row r="660" spans="1:7" x14ac:dyDescent="0.25">
      <c r="A660" s="24" t="s">
        <v>161</v>
      </c>
      <c r="B660" s="24" t="s">
        <v>45</v>
      </c>
      <c r="C660" s="24" t="s">
        <v>31</v>
      </c>
      <c r="D660" s="24">
        <v>0.7</v>
      </c>
      <c r="E660" s="24" t="s">
        <v>796</v>
      </c>
      <c r="F660" s="24" t="s">
        <v>832</v>
      </c>
      <c r="G660" s="24">
        <v>171474</v>
      </c>
    </row>
    <row r="661" spans="1:7" x14ac:dyDescent="0.25">
      <c r="A661" s="24" t="s">
        <v>161</v>
      </c>
      <c r="B661" s="24" t="s">
        <v>46</v>
      </c>
      <c r="C661" s="24" t="s">
        <v>36</v>
      </c>
      <c r="D661" s="24">
        <v>0.3</v>
      </c>
      <c r="E661" s="24" t="s">
        <v>796</v>
      </c>
      <c r="F661" s="24" t="s">
        <v>832</v>
      </c>
      <c r="G661" s="24">
        <v>171474</v>
      </c>
    </row>
    <row r="662" spans="1:7" x14ac:dyDescent="0.25">
      <c r="A662" s="24" t="s">
        <v>161</v>
      </c>
      <c r="B662" s="24" t="s">
        <v>47</v>
      </c>
      <c r="C662" s="24" t="s">
        <v>48</v>
      </c>
      <c r="D662" s="24">
        <v>3.5</v>
      </c>
      <c r="E662" s="24" t="s">
        <v>796</v>
      </c>
      <c r="F662" s="24" t="s">
        <v>832</v>
      </c>
      <c r="G662" s="24">
        <v>171474</v>
      </c>
    </row>
    <row r="663" spans="1:7" x14ac:dyDescent="0.25">
      <c r="A663" s="24" t="s">
        <v>161</v>
      </c>
      <c r="B663" s="24" t="s">
        <v>53</v>
      </c>
      <c r="C663" s="24" t="s">
        <v>31</v>
      </c>
      <c r="D663" s="24">
        <v>21.9</v>
      </c>
      <c r="E663" s="24" t="s">
        <v>796</v>
      </c>
      <c r="F663" s="24" t="s">
        <v>832</v>
      </c>
      <c r="G663" s="24">
        <v>171474</v>
      </c>
    </row>
    <row r="664" spans="1:7" x14ac:dyDescent="0.25">
      <c r="A664" s="24" t="s">
        <v>161</v>
      </c>
      <c r="B664" s="24" t="s">
        <v>55</v>
      </c>
      <c r="C664" s="24" t="s">
        <v>31</v>
      </c>
      <c r="D664" s="24">
        <v>0.7</v>
      </c>
      <c r="E664" s="24" t="s">
        <v>796</v>
      </c>
      <c r="F664" s="24" t="s">
        <v>832</v>
      </c>
      <c r="G664" s="24">
        <v>171474</v>
      </c>
    </row>
    <row r="665" spans="1:7" x14ac:dyDescent="0.25">
      <c r="A665" s="24" t="s">
        <v>161</v>
      </c>
      <c r="B665" s="24" t="s">
        <v>56</v>
      </c>
      <c r="C665" s="24" t="s">
        <v>31</v>
      </c>
      <c r="D665" s="24">
        <v>0</v>
      </c>
      <c r="E665" s="24" t="s">
        <v>796</v>
      </c>
      <c r="F665" s="24" t="s">
        <v>832</v>
      </c>
      <c r="G665" s="24">
        <v>171474</v>
      </c>
    </row>
    <row r="666" spans="1:7" x14ac:dyDescent="0.25">
      <c r="A666" s="24" t="s">
        <v>161</v>
      </c>
      <c r="B666" s="24" t="s">
        <v>57</v>
      </c>
      <c r="C666" s="24" t="s">
        <v>36</v>
      </c>
      <c r="D666" s="24">
        <v>14.6</v>
      </c>
      <c r="E666" s="24" t="s">
        <v>796</v>
      </c>
      <c r="F666" s="24" t="s">
        <v>832</v>
      </c>
      <c r="G666" s="24">
        <v>171474</v>
      </c>
    </row>
    <row r="667" spans="1:7" x14ac:dyDescent="0.25">
      <c r="A667" s="24" t="s">
        <v>161</v>
      </c>
      <c r="B667" s="24" t="s">
        <v>58</v>
      </c>
      <c r="C667" s="24" t="s">
        <v>5</v>
      </c>
      <c r="D667" s="24">
        <v>0</v>
      </c>
      <c r="E667" s="24" t="s">
        <v>795</v>
      </c>
      <c r="F667" s="24"/>
      <c r="G667" s="24"/>
    </row>
    <row r="668" spans="1:7" x14ac:dyDescent="0.25">
      <c r="A668" s="24" t="s">
        <v>162</v>
      </c>
      <c r="B668" s="24" t="s">
        <v>23</v>
      </c>
      <c r="C668" s="24" t="s">
        <v>5</v>
      </c>
      <c r="D668" s="24">
        <v>0</v>
      </c>
      <c r="E668" s="24" t="s">
        <v>796</v>
      </c>
      <c r="F668" s="24" t="s">
        <v>833</v>
      </c>
      <c r="G668" s="24">
        <v>171077</v>
      </c>
    </row>
    <row r="669" spans="1:7" x14ac:dyDescent="0.25">
      <c r="A669" s="24" t="s">
        <v>162</v>
      </c>
      <c r="B669" s="24" t="s">
        <v>26</v>
      </c>
      <c r="C669" s="24" t="s">
        <v>5</v>
      </c>
      <c r="D669" s="24">
        <v>0.41</v>
      </c>
      <c r="E669" s="24" t="s">
        <v>799</v>
      </c>
      <c r="F669" s="24" t="s">
        <v>833</v>
      </c>
      <c r="G669" s="24">
        <v>171077</v>
      </c>
    </row>
    <row r="670" spans="1:7" x14ac:dyDescent="0.25">
      <c r="A670" s="24" t="s">
        <v>162</v>
      </c>
      <c r="B670" s="24" t="s">
        <v>27</v>
      </c>
      <c r="C670" s="24" t="s">
        <v>5</v>
      </c>
      <c r="D670" s="24">
        <v>0.5</v>
      </c>
      <c r="E670" s="24" t="s">
        <v>799</v>
      </c>
      <c r="F670" s="24" t="s">
        <v>833</v>
      </c>
      <c r="G670" s="24">
        <v>171077</v>
      </c>
    </row>
    <row r="671" spans="1:7" x14ac:dyDescent="0.25">
      <c r="A671" s="24" t="s">
        <v>162</v>
      </c>
      <c r="B671" s="24" t="s">
        <v>28</v>
      </c>
      <c r="C671" s="24" t="s">
        <v>5</v>
      </c>
      <c r="D671" s="24">
        <v>0.31</v>
      </c>
      <c r="E671" s="24" t="s">
        <v>799</v>
      </c>
      <c r="F671" s="24" t="s">
        <v>833</v>
      </c>
      <c r="G671" s="24">
        <v>171077</v>
      </c>
    </row>
    <row r="672" spans="1:7" x14ac:dyDescent="0.25">
      <c r="A672" s="24" t="s">
        <v>162</v>
      </c>
      <c r="B672" s="24" t="s">
        <v>29</v>
      </c>
      <c r="C672" s="24" t="s">
        <v>5</v>
      </c>
      <c r="D672" s="24">
        <v>0.01</v>
      </c>
      <c r="E672" s="24" t="s">
        <v>799</v>
      </c>
      <c r="F672" s="24" t="s">
        <v>833</v>
      </c>
      <c r="G672" s="24">
        <v>171077</v>
      </c>
    </row>
    <row r="673" spans="1:7" x14ac:dyDescent="0.25">
      <c r="A673" s="24" t="s">
        <v>162</v>
      </c>
      <c r="B673" s="24" t="s">
        <v>30</v>
      </c>
      <c r="C673" s="24" t="s">
        <v>31</v>
      </c>
      <c r="D673" s="24">
        <v>73</v>
      </c>
      <c r="E673" s="24" t="s">
        <v>801</v>
      </c>
      <c r="F673" s="24" t="s">
        <v>833</v>
      </c>
      <c r="G673" s="24">
        <v>171077</v>
      </c>
    </row>
    <row r="674" spans="1:7" x14ac:dyDescent="0.25">
      <c r="A674" s="24" t="s">
        <v>162</v>
      </c>
      <c r="B674" s="24" t="s">
        <v>32</v>
      </c>
      <c r="C674" s="24" t="s">
        <v>33</v>
      </c>
      <c r="D674" s="24">
        <v>9.6</v>
      </c>
      <c r="E674" s="24" t="s">
        <v>796</v>
      </c>
      <c r="F674" s="24" t="s">
        <v>833</v>
      </c>
      <c r="G674" s="24">
        <v>171077</v>
      </c>
    </row>
    <row r="675" spans="1:7" x14ac:dyDescent="0.25">
      <c r="A675" s="24" t="s">
        <v>162</v>
      </c>
      <c r="B675" s="24" t="s">
        <v>34</v>
      </c>
      <c r="C675" s="24" t="s">
        <v>31</v>
      </c>
      <c r="D675" s="24">
        <v>0</v>
      </c>
      <c r="E675" s="24" t="s">
        <v>796</v>
      </c>
      <c r="F675" s="24" t="s">
        <v>833</v>
      </c>
      <c r="G675" s="24">
        <v>171077</v>
      </c>
    </row>
    <row r="676" spans="1:7" x14ac:dyDescent="0.25">
      <c r="A676" s="24" t="s">
        <v>162</v>
      </c>
      <c r="B676" s="24" t="s">
        <v>35</v>
      </c>
      <c r="C676" s="24" t="s">
        <v>36</v>
      </c>
      <c r="D676" s="24">
        <v>0</v>
      </c>
      <c r="E676" s="24" t="s">
        <v>796</v>
      </c>
      <c r="F676" s="24" t="s">
        <v>833</v>
      </c>
      <c r="G676" s="24">
        <v>171077</v>
      </c>
    </row>
    <row r="677" spans="1:7" x14ac:dyDescent="0.25">
      <c r="A677" s="24" t="s">
        <v>162</v>
      </c>
      <c r="B677" s="24" t="s">
        <v>37</v>
      </c>
      <c r="C677" s="24" t="s">
        <v>38</v>
      </c>
      <c r="D677" s="24">
        <v>0.6</v>
      </c>
      <c r="E677" s="24" t="s">
        <v>796</v>
      </c>
      <c r="F677" s="24" t="s">
        <v>833</v>
      </c>
      <c r="G677" s="24">
        <v>171077</v>
      </c>
    </row>
    <row r="678" spans="1:7" x14ac:dyDescent="0.25">
      <c r="A678" s="24" t="s">
        <v>162</v>
      </c>
      <c r="B678" s="24" t="s">
        <v>39</v>
      </c>
      <c r="C678" s="24" t="s">
        <v>36</v>
      </c>
      <c r="D678" s="24">
        <v>0</v>
      </c>
      <c r="E678" s="24" t="s">
        <v>796</v>
      </c>
      <c r="F678" s="24" t="s">
        <v>833</v>
      </c>
      <c r="G678" s="24">
        <v>171077</v>
      </c>
    </row>
    <row r="679" spans="1:7" x14ac:dyDescent="0.25">
      <c r="A679" s="24" t="s">
        <v>162</v>
      </c>
      <c r="B679" s="24" t="s">
        <v>40</v>
      </c>
      <c r="C679" s="24" t="s">
        <v>31</v>
      </c>
      <c r="D679" s="24">
        <v>0.1</v>
      </c>
      <c r="E679" s="24" t="s">
        <v>796</v>
      </c>
      <c r="F679" s="24" t="s">
        <v>833</v>
      </c>
      <c r="G679" s="24">
        <v>171077</v>
      </c>
    </row>
    <row r="680" spans="1:7" x14ac:dyDescent="0.25">
      <c r="A680" s="24" t="s">
        <v>162</v>
      </c>
      <c r="B680" s="24" t="s">
        <v>41</v>
      </c>
      <c r="C680" s="24" t="s">
        <v>31</v>
      </c>
      <c r="D680" s="24">
        <v>0.2</v>
      </c>
      <c r="E680" s="24" t="s">
        <v>796</v>
      </c>
      <c r="F680" s="24" t="s">
        <v>833</v>
      </c>
      <c r="G680" s="24">
        <v>171077</v>
      </c>
    </row>
    <row r="681" spans="1:7" x14ac:dyDescent="0.25">
      <c r="A681" s="24" t="s">
        <v>162</v>
      </c>
      <c r="B681" s="24" t="s">
        <v>42</v>
      </c>
      <c r="C681" s="24" t="s">
        <v>43</v>
      </c>
      <c r="D681" s="24">
        <v>10.199999999999999</v>
      </c>
      <c r="E681" s="24" t="s">
        <v>796</v>
      </c>
      <c r="F681" s="24" t="s">
        <v>833</v>
      </c>
      <c r="G681" s="24">
        <v>171077</v>
      </c>
    </row>
    <row r="682" spans="1:7" x14ac:dyDescent="0.25">
      <c r="A682" s="24" t="s">
        <v>162</v>
      </c>
      <c r="B682" s="24" t="s">
        <v>44</v>
      </c>
      <c r="C682" s="24" t="s">
        <v>31</v>
      </c>
      <c r="D682" s="24">
        <v>0.9</v>
      </c>
      <c r="E682" s="24" t="s">
        <v>796</v>
      </c>
      <c r="F682" s="24" t="s">
        <v>833</v>
      </c>
      <c r="G682" s="24">
        <v>171077</v>
      </c>
    </row>
    <row r="683" spans="1:7" x14ac:dyDescent="0.25">
      <c r="A683" s="24" t="s">
        <v>162</v>
      </c>
      <c r="B683" s="24" t="s">
        <v>45</v>
      </c>
      <c r="C683" s="24" t="s">
        <v>31</v>
      </c>
      <c r="D683" s="24">
        <v>1.6</v>
      </c>
      <c r="E683" s="24" t="s">
        <v>796</v>
      </c>
      <c r="F683" s="24" t="s">
        <v>833</v>
      </c>
      <c r="G683" s="24">
        <v>171077</v>
      </c>
    </row>
    <row r="684" spans="1:7" x14ac:dyDescent="0.25">
      <c r="A684" s="24" t="s">
        <v>162</v>
      </c>
      <c r="B684" s="24" t="s">
        <v>46</v>
      </c>
      <c r="C684" s="24" t="s">
        <v>36</v>
      </c>
      <c r="D684" s="24">
        <v>0.2</v>
      </c>
      <c r="E684" s="24" t="s">
        <v>796</v>
      </c>
      <c r="F684" s="24" t="s">
        <v>833</v>
      </c>
      <c r="G684" s="24">
        <v>171077</v>
      </c>
    </row>
    <row r="685" spans="1:7" x14ac:dyDescent="0.25">
      <c r="A685" s="24" t="s">
        <v>162</v>
      </c>
      <c r="B685" s="24" t="s">
        <v>47</v>
      </c>
      <c r="C685" s="24" t="s">
        <v>48</v>
      </c>
      <c r="D685" s="24">
        <v>9.6</v>
      </c>
      <c r="E685" s="24" t="s">
        <v>796</v>
      </c>
      <c r="F685" s="24" t="s">
        <v>833</v>
      </c>
      <c r="G685" s="24">
        <v>171077</v>
      </c>
    </row>
    <row r="686" spans="1:7" x14ac:dyDescent="0.25">
      <c r="A686" s="24" t="s">
        <v>162</v>
      </c>
      <c r="B686" s="24" t="s">
        <v>49</v>
      </c>
      <c r="C686" s="24" t="s">
        <v>31</v>
      </c>
      <c r="D686" s="24">
        <v>47.8</v>
      </c>
      <c r="E686" s="24" t="s">
        <v>796</v>
      </c>
      <c r="F686" s="24" t="s">
        <v>833</v>
      </c>
      <c r="G686" s="24">
        <v>171077</v>
      </c>
    </row>
    <row r="687" spans="1:7" x14ac:dyDescent="0.25">
      <c r="A687" s="24" t="s">
        <v>162</v>
      </c>
      <c r="B687" s="24" t="s">
        <v>50</v>
      </c>
      <c r="C687" s="24" t="s">
        <v>31</v>
      </c>
      <c r="D687" s="24">
        <v>354.5</v>
      </c>
      <c r="E687" s="24" t="s">
        <v>796</v>
      </c>
      <c r="F687" s="24" t="s">
        <v>833</v>
      </c>
      <c r="G687" s="24">
        <v>171077</v>
      </c>
    </row>
    <row r="688" spans="1:7" x14ac:dyDescent="0.25">
      <c r="A688" s="24" t="s">
        <v>162</v>
      </c>
      <c r="B688" s="24" t="s">
        <v>51</v>
      </c>
      <c r="C688" s="24" t="s">
        <v>31</v>
      </c>
      <c r="D688" s="24">
        <v>5.3</v>
      </c>
      <c r="E688" s="24" t="s">
        <v>796</v>
      </c>
      <c r="F688" s="24" t="s">
        <v>833</v>
      </c>
      <c r="G688" s="24">
        <v>171077</v>
      </c>
    </row>
    <row r="689" spans="1:7" x14ac:dyDescent="0.25">
      <c r="A689" s="24" t="s">
        <v>162</v>
      </c>
      <c r="B689" s="24" t="s">
        <v>52</v>
      </c>
      <c r="C689" s="24" t="s">
        <v>31</v>
      </c>
      <c r="D689" s="24">
        <v>226.1</v>
      </c>
      <c r="E689" s="24" t="s">
        <v>796</v>
      </c>
      <c r="F689" s="24" t="s">
        <v>833</v>
      </c>
      <c r="G689" s="24">
        <v>171077</v>
      </c>
    </row>
    <row r="690" spans="1:7" x14ac:dyDescent="0.25">
      <c r="A690" s="24" t="s">
        <v>162</v>
      </c>
      <c r="B690" s="24" t="s">
        <v>53</v>
      </c>
      <c r="C690" s="24" t="s">
        <v>31</v>
      </c>
      <c r="D690" s="24">
        <v>29.7</v>
      </c>
      <c r="E690" s="24" t="s">
        <v>796</v>
      </c>
      <c r="F690" s="24" t="s">
        <v>833</v>
      </c>
      <c r="G690" s="24">
        <v>171077</v>
      </c>
    </row>
    <row r="691" spans="1:7" x14ac:dyDescent="0.25">
      <c r="A691" s="24" t="s">
        <v>162</v>
      </c>
      <c r="B691" s="24" t="s">
        <v>54</v>
      </c>
      <c r="C691" s="24" t="s">
        <v>31</v>
      </c>
      <c r="D691" s="24">
        <v>0.4</v>
      </c>
      <c r="E691" s="24" t="s">
        <v>796</v>
      </c>
      <c r="F691" s="24" t="s">
        <v>833</v>
      </c>
      <c r="G691" s="24">
        <v>171077</v>
      </c>
    </row>
    <row r="692" spans="1:7" x14ac:dyDescent="0.25">
      <c r="A692" s="24" t="s">
        <v>162</v>
      </c>
      <c r="B692" s="24" t="s">
        <v>55</v>
      </c>
      <c r="C692" s="24" t="s">
        <v>31</v>
      </c>
      <c r="D692" s="24">
        <v>0.7</v>
      </c>
      <c r="E692" s="24" t="s">
        <v>796</v>
      </c>
      <c r="F692" s="24" t="s">
        <v>833</v>
      </c>
      <c r="G692" s="24">
        <v>171077</v>
      </c>
    </row>
    <row r="693" spans="1:7" x14ac:dyDescent="0.25">
      <c r="A693" s="24" t="s">
        <v>162</v>
      </c>
      <c r="B693" s="24" t="s">
        <v>56</v>
      </c>
      <c r="C693" s="24" t="s">
        <v>31</v>
      </c>
      <c r="D693" s="24">
        <v>0</v>
      </c>
      <c r="E693" s="24" t="s">
        <v>796</v>
      </c>
      <c r="F693" s="24" t="s">
        <v>833</v>
      </c>
      <c r="G693" s="24">
        <v>171077</v>
      </c>
    </row>
    <row r="694" spans="1:7" x14ac:dyDescent="0.25">
      <c r="A694" s="24" t="s">
        <v>162</v>
      </c>
      <c r="B694" s="24" t="s">
        <v>57</v>
      </c>
      <c r="C694" s="24" t="s">
        <v>36</v>
      </c>
      <c r="D694" s="24">
        <v>24.2</v>
      </c>
      <c r="E694" s="24" t="s">
        <v>796</v>
      </c>
      <c r="F694" s="24" t="s">
        <v>833</v>
      </c>
      <c r="G694" s="24">
        <v>171077</v>
      </c>
    </row>
    <row r="695" spans="1:7" x14ac:dyDescent="0.25">
      <c r="A695" s="24" t="s">
        <v>162</v>
      </c>
      <c r="B695" s="24" t="s">
        <v>58</v>
      </c>
      <c r="C695" s="24" t="s">
        <v>5</v>
      </c>
      <c r="D695" s="24">
        <v>0</v>
      </c>
      <c r="E695" s="24" t="s">
        <v>795</v>
      </c>
      <c r="F695" s="24"/>
      <c r="G695" s="24"/>
    </row>
    <row r="696" spans="1:7" x14ac:dyDescent="0.25">
      <c r="A696" s="24" t="s">
        <v>163</v>
      </c>
      <c r="B696" s="24" t="s">
        <v>58</v>
      </c>
      <c r="C696" s="24" t="s">
        <v>5</v>
      </c>
      <c r="D696" s="24">
        <v>0</v>
      </c>
      <c r="E696" s="24" t="s">
        <v>795</v>
      </c>
      <c r="F696" s="24"/>
      <c r="G696" s="24"/>
    </row>
    <row r="697" spans="1:7" x14ac:dyDescent="0.25">
      <c r="A697" s="24" t="s">
        <v>164</v>
      </c>
      <c r="B697" s="24" t="s">
        <v>23</v>
      </c>
      <c r="C697" s="24" t="s">
        <v>5</v>
      </c>
      <c r="D697" s="24">
        <v>0.1</v>
      </c>
      <c r="E697" s="24" t="s">
        <v>796</v>
      </c>
      <c r="F697" s="24" t="s">
        <v>834</v>
      </c>
      <c r="G697" s="24">
        <v>171090</v>
      </c>
    </row>
    <row r="698" spans="1:7" x14ac:dyDescent="0.25">
      <c r="A698" s="24" t="s">
        <v>164</v>
      </c>
      <c r="B698" s="24" t="s">
        <v>32</v>
      </c>
      <c r="C698" s="24" t="s">
        <v>33</v>
      </c>
      <c r="D698" s="24">
        <v>14.3</v>
      </c>
      <c r="E698" s="24" t="s">
        <v>796</v>
      </c>
      <c r="F698" s="24" t="s">
        <v>834</v>
      </c>
      <c r="G698" s="24">
        <v>171090</v>
      </c>
    </row>
    <row r="699" spans="1:7" x14ac:dyDescent="0.25">
      <c r="A699" s="24" t="s">
        <v>164</v>
      </c>
      <c r="B699" s="24" t="s">
        <v>34</v>
      </c>
      <c r="C699" s="24" t="s">
        <v>31</v>
      </c>
      <c r="D699" s="24">
        <v>0</v>
      </c>
      <c r="E699" s="24" t="s">
        <v>796</v>
      </c>
      <c r="F699" s="24" t="s">
        <v>834</v>
      </c>
      <c r="G699" s="24">
        <v>171090</v>
      </c>
    </row>
    <row r="700" spans="1:7" x14ac:dyDescent="0.25">
      <c r="A700" s="24" t="s">
        <v>164</v>
      </c>
      <c r="B700" s="24" t="s">
        <v>35</v>
      </c>
      <c r="C700" s="24" t="s">
        <v>36</v>
      </c>
      <c r="D700" s="24">
        <v>0.3</v>
      </c>
      <c r="E700" s="24" t="s">
        <v>796</v>
      </c>
      <c r="F700" s="24" t="s">
        <v>834</v>
      </c>
      <c r="G700" s="24">
        <v>171090</v>
      </c>
    </row>
    <row r="701" spans="1:7" x14ac:dyDescent="0.25">
      <c r="A701" s="24" t="s">
        <v>164</v>
      </c>
      <c r="B701" s="24" t="s">
        <v>37</v>
      </c>
      <c r="C701" s="24" t="s">
        <v>38</v>
      </c>
      <c r="D701" s="24">
        <v>0.1</v>
      </c>
      <c r="E701" s="24" t="s">
        <v>796</v>
      </c>
      <c r="F701" s="24" t="s">
        <v>834</v>
      </c>
      <c r="G701" s="24">
        <v>171090</v>
      </c>
    </row>
    <row r="702" spans="1:7" x14ac:dyDescent="0.25">
      <c r="A702" s="24" t="s">
        <v>164</v>
      </c>
      <c r="B702" s="24" t="s">
        <v>39</v>
      </c>
      <c r="C702" s="24" t="s">
        <v>36</v>
      </c>
      <c r="D702" s="24">
        <v>0</v>
      </c>
      <c r="E702" s="24" t="s">
        <v>796</v>
      </c>
      <c r="F702" s="24" t="s">
        <v>834</v>
      </c>
      <c r="G702" s="24">
        <v>171090</v>
      </c>
    </row>
    <row r="703" spans="1:7" x14ac:dyDescent="0.25">
      <c r="A703" s="24" t="s">
        <v>164</v>
      </c>
      <c r="B703" s="24" t="s">
        <v>40</v>
      </c>
      <c r="C703" s="24" t="s">
        <v>31</v>
      </c>
      <c r="D703" s="24">
        <v>0.1</v>
      </c>
      <c r="E703" s="24" t="s">
        <v>796</v>
      </c>
      <c r="F703" s="24" t="s">
        <v>834</v>
      </c>
      <c r="G703" s="24">
        <v>171090</v>
      </c>
    </row>
    <row r="704" spans="1:7" x14ac:dyDescent="0.25">
      <c r="A704" s="24" t="s">
        <v>164</v>
      </c>
      <c r="B704" s="24" t="s">
        <v>41</v>
      </c>
      <c r="C704" s="24" t="s">
        <v>31</v>
      </c>
      <c r="D704" s="24">
        <v>0.3</v>
      </c>
      <c r="E704" s="24" t="s">
        <v>796</v>
      </c>
      <c r="F704" s="24" t="s">
        <v>834</v>
      </c>
      <c r="G704" s="24">
        <v>171090</v>
      </c>
    </row>
    <row r="705" spans="1:7" x14ac:dyDescent="0.25">
      <c r="A705" s="24" t="s">
        <v>164</v>
      </c>
      <c r="B705" s="24" t="s">
        <v>42</v>
      </c>
      <c r="C705" s="24" t="s">
        <v>43</v>
      </c>
      <c r="D705" s="24">
        <v>6.2</v>
      </c>
      <c r="E705" s="24" t="s">
        <v>796</v>
      </c>
      <c r="F705" s="24" t="s">
        <v>834</v>
      </c>
      <c r="G705" s="24">
        <v>171090</v>
      </c>
    </row>
    <row r="706" spans="1:7" x14ac:dyDescent="0.25">
      <c r="A706" s="24" t="s">
        <v>164</v>
      </c>
      <c r="B706" s="24" t="s">
        <v>44</v>
      </c>
      <c r="C706" s="24" t="s">
        <v>31</v>
      </c>
      <c r="D706" s="24">
        <v>0.5</v>
      </c>
      <c r="E706" s="24" t="s">
        <v>796</v>
      </c>
      <c r="F706" s="24" t="s">
        <v>834</v>
      </c>
      <c r="G706" s="24">
        <v>171090</v>
      </c>
    </row>
    <row r="707" spans="1:7" x14ac:dyDescent="0.25">
      <c r="A707" s="24" t="s">
        <v>164</v>
      </c>
      <c r="B707" s="24" t="s">
        <v>45</v>
      </c>
      <c r="C707" s="24" t="s">
        <v>31</v>
      </c>
      <c r="D707" s="24">
        <v>1</v>
      </c>
      <c r="E707" s="24" t="s">
        <v>796</v>
      </c>
      <c r="F707" s="24" t="s">
        <v>834</v>
      </c>
      <c r="G707" s="24">
        <v>171090</v>
      </c>
    </row>
    <row r="708" spans="1:7" x14ac:dyDescent="0.25">
      <c r="A708" s="24" t="s">
        <v>164</v>
      </c>
      <c r="B708" s="24" t="s">
        <v>46</v>
      </c>
      <c r="C708" s="24" t="s">
        <v>36</v>
      </c>
      <c r="D708" s="24">
        <v>2.2000000000000002</v>
      </c>
      <c r="E708" s="24" t="s">
        <v>796</v>
      </c>
      <c r="F708" s="24" t="s">
        <v>834</v>
      </c>
      <c r="G708" s="24">
        <v>171090</v>
      </c>
    </row>
    <row r="709" spans="1:7" x14ac:dyDescent="0.25">
      <c r="A709" s="24" t="s">
        <v>164</v>
      </c>
      <c r="B709" s="24" t="s">
        <v>47</v>
      </c>
      <c r="C709" s="24" t="s">
        <v>48</v>
      </c>
      <c r="D709" s="24">
        <v>7.7</v>
      </c>
      <c r="E709" s="24" t="s">
        <v>796</v>
      </c>
      <c r="F709" s="24" t="s">
        <v>834</v>
      </c>
      <c r="G709" s="24">
        <v>171090</v>
      </c>
    </row>
    <row r="710" spans="1:7" x14ac:dyDescent="0.25">
      <c r="A710" s="24" t="s">
        <v>164</v>
      </c>
      <c r="B710" s="24" t="s">
        <v>53</v>
      </c>
      <c r="C710" s="24" t="s">
        <v>31</v>
      </c>
      <c r="D710" s="24">
        <v>27.4</v>
      </c>
      <c r="E710" s="24" t="s">
        <v>796</v>
      </c>
      <c r="F710" s="24" t="s">
        <v>834</v>
      </c>
      <c r="G710" s="24">
        <v>171090</v>
      </c>
    </row>
    <row r="711" spans="1:7" x14ac:dyDescent="0.25">
      <c r="A711" s="24" t="s">
        <v>164</v>
      </c>
      <c r="B711" s="24" t="s">
        <v>55</v>
      </c>
      <c r="C711" s="24" t="s">
        <v>31</v>
      </c>
      <c r="D711" s="24">
        <v>2.8</v>
      </c>
      <c r="E711" s="24" t="s">
        <v>796</v>
      </c>
      <c r="F711" s="24" t="s">
        <v>834</v>
      </c>
      <c r="G711" s="24">
        <v>171090</v>
      </c>
    </row>
    <row r="712" spans="1:7" x14ac:dyDescent="0.25">
      <c r="A712" s="24" t="s">
        <v>164</v>
      </c>
      <c r="B712" s="24" t="s">
        <v>56</v>
      </c>
      <c r="C712" s="24" t="s">
        <v>31</v>
      </c>
      <c r="D712" s="24">
        <v>0.1</v>
      </c>
      <c r="E712" s="24" t="s">
        <v>796</v>
      </c>
      <c r="F712" s="24" t="s">
        <v>834</v>
      </c>
      <c r="G712" s="24">
        <v>171090</v>
      </c>
    </row>
    <row r="713" spans="1:7" x14ac:dyDescent="0.25">
      <c r="A713" s="24" t="s">
        <v>164</v>
      </c>
      <c r="B713" s="24" t="s">
        <v>57</v>
      </c>
      <c r="C713" s="24" t="s">
        <v>36</v>
      </c>
      <c r="D713" s="24">
        <v>24.6</v>
      </c>
      <c r="E713" s="24" t="s">
        <v>796</v>
      </c>
      <c r="F713" s="24" t="s">
        <v>834</v>
      </c>
      <c r="G713" s="24">
        <v>171090</v>
      </c>
    </row>
    <row r="714" spans="1:7" x14ac:dyDescent="0.25">
      <c r="A714" s="24" t="s">
        <v>164</v>
      </c>
      <c r="B714" s="24" t="s">
        <v>58</v>
      </c>
      <c r="C714" s="24" t="s">
        <v>5</v>
      </c>
      <c r="D714" s="24">
        <v>0</v>
      </c>
      <c r="E714" s="24" t="s">
        <v>795</v>
      </c>
      <c r="F714" s="24"/>
      <c r="G714" s="24"/>
    </row>
    <row r="715" spans="1:7" x14ac:dyDescent="0.25">
      <c r="A715" s="24" t="s">
        <v>165</v>
      </c>
      <c r="B715" s="24" t="s">
        <v>29</v>
      </c>
      <c r="C715" s="24" t="s">
        <v>5</v>
      </c>
      <c r="D715" s="24">
        <v>0.09</v>
      </c>
      <c r="E715" s="24" t="s">
        <v>799</v>
      </c>
      <c r="F715" s="24" t="s">
        <v>835</v>
      </c>
      <c r="G715" s="24">
        <v>171481</v>
      </c>
    </row>
    <row r="716" spans="1:7" x14ac:dyDescent="0.25">
      <c r="A716" s="24" t="s">
        <v>165</v>
      </c>
      <c r="B716" s="24" t="s">
        <v>58</v>
      </c>
      <c r="C716" s="24" t="s">
        <v>5</v>
      </c>
      <c r="D716" s="24">
        <v>0</v>
      </c>
      <c r="E716" s="24" t="s">
        <v>795</v>
      </c>
      <c r="F716" s="24"/>
      <c r="G716" s="24"/>
    </row>
    <row r="717" spans="1:7" x14ac:dyDescent="0.25">
      <c r="A717" s="24" t="s">
        <v>166</v>
      </c>
      <c r="B717" s="24" t="s">
        <v>23</v>
      </c>
      <c r="C717" s="24" t="s">
        <v>5</v>
      </c>
      <c r="D717" s="24">
        <v>0</v>
      </c>
      <c r="E717" s="24" t="s">
        <v>796</v>
      </c>
      <c r="F717" s="24" t="s">
        <v>836</v>
      </c>
      <c r="G717" s="24">
        <v>168316</v>
      </c>
    </row>
    <row r="718" spans="1:7" x14ac:dyDescent="0.25">
      <c r="A718" s="24" t="s">
        <v>166</v>
      </c>
      <c r="B718" s="24" t="s">
        <v>29</v>
      </c>
      <c r="C718" s="24" t="s">
        <v>5</v>
      </c>
      <c r="D718" s="24">
        <v>0.13</v>
      </c>
      <c r="E718" s="24" t="s">
        <v>799</v>
      </c>
      <c r="F718" s="24" t="s">
        <v>836</v>
      </c>
      <c r="G718" s="24">
        <v>168316</v>
      </c>
    </row>
    <row r="719" spans="1:7" x14ac:dyDescent="0.25">
      <c r="A719" s="24" t="s">
        <v>166</v>
      </c>
      <c r="B719" s="24" t="s">
        <v>35</v>
      </c>
      <c r="C719" s="24" t="s">
        <v>36</v>
      </c>
      <c r="D719" s="24">
        <v>0.8</v>
      </c>
      <c r="E719" s="24" t="s">
        <v>796</v>
      </c>
      <c r="F719" s="24" t="s">
        <v>836</v>
      </c>
      <c r="G719" s="24">
        <v>168316</v>
      </c>
    </row>
    <row r="720" spans="1:7" x14ac:dyDescent="0.25">
      <c r="A720" s="24" t="s">
        <v>166</v>
      </c>
      <c r="B720" s="24" t="s">
        <v>39</v>
      </c>
      <c r="C720" s="24" t="s">
        <v>36</v>
      </c>
      <c r="D720" s="24">
        <v>0</v>
      </c>
      <c r="E720" s="24" t="s">
        <v>796</v>
      </c>
      <c r="F720" s="24" t="s">
        <v>836</v>
      </c>
      <c r="G720" s="24">
        <v>168316</v>
      </c>
    </row>
    <row r="721" spans="1:7" x14ac:dyDescent="0.25">
      <c r="A721" s="24" t="s">
        <v>166</v>
      </c>
      <c r="B721" s="24" t="s">
        <v>58</v>
      </c>
      <c r="C721" s="24" t="s">
        <v>5</v>
      </c>
      <c r="D721" s="24">
        <v>0</v>
      </c>
      <c r="E721" s="24" t="s">
        <v>795</v>
      </c>
      <c r="F721" s="24"/>
      <c r="G721" s="24"/>
    </row>
    <row r="722" spans="1:7" x14ac:dyDescent="0.25">
      <c r="A722" s="24" t="s">
        <v>167</v>
      </c>
      <c r="B722" s="24" t="s">
        <v>23</v>
      </c>
      <c r="C722" s="24" t="s">
        <v>5</v>
      </c>
      <c r="D722" s="24">
        <v>0</v>
      </c>
      <c r="E722" s="24" t="s">
        <v>796</v>
      </c>
      <c r="F722" s="24" t="s">
        <v>837</v>
      </c>
      <c r="G722" s="24">
        <v>168255</v>
      </c>
    </row>
    <row r="723" spans="1:7" x14ac:dyDescent="0.25">
      <c r="A723" s="24" t="s">
        <v>167</v>
      </c>
      <c r="B723" s="24" t="s">
        <v>29</v>
      </c>
      <c r="C723" s="24" t="s">
        <v>5</v>
      </c>
      <c r="D723" s="24">
        <v>0.18</v>
      </c>
      <c r="E723" s="24" t="s">
        <v>799</v>
      </c>
      <c r="F723" s="24" t="s">
        <v>837</v>
      </c>
      <c r="G723" s="24">
        <v>168255</v>
      </c>
    </row>
    <row r="724" spans="1:7" x14ac:dyDescent="0.25">
      <c r="A724" s="24" t="s">
        <v>167</v>
      </c>
      <c r="B724" s="24" t="s">
        <v>30</v>
      </c>
      <c r="C724" s="24" t="s">
        <v>31</v>
      </c>
      <c r="D724" s="24">
        <v>63</v>
      </c>
      <c r="E724" s="24" t="s">
        <v>801</v>
      </c>
      <c r="F724" s="24" t="s">
        <v>837</v>
      </c>
      <c r="G724" s="24">
        <v>168255</v>
      </c>
    </row>
    <row r="725" spans="1:7" x14ac:dyDescent="0.25">
      <c r="A725" s="24" t="s">
        <v>167</v>
      </c>
      <c r="B725" s="24" t="s">
        <v>34</v>
      </c>
      <c r="C725" s="24" t="s">
        <v>31</v>
      </c>
      <c r="D725" s="24">
        <v>0</v>
      </c>
      <c r="E725" s="24" t="s">
        <v>796</v>
      </c>
      <c r="F725" s="24" t="s">
        <v>837</v>
      </c>
      <c r="G725" s="24">
        <v>168255</v>
      </c>
    </row>
    <row r="726" spans="1:7" x14ac:dyDescent="0.25">
      <c r="A726" s="24" t="s">
        <v>167</v>
      </c>
      <c r="B726" s="24" t="s">
        <v>35</v>
      </c>
      <c r="C726" s="24" t="s">
        <v>36</v>
      </c>
      <c r="D726" s="24">
        <v>1.1000000000000001</v>
      </c>
      <c r="E726" s="24" t="s">
        <v>796</v>
      </c>
      <c r="F726" s="24" t="s">
        <v>837</v>
      </c>
      <c r="G726" s="24">
        <v>168255</v>
      </c>
    </row>
    <row r="727" spans="1:7" x14ac:dyDescent="0.25">
      <c r="A727" s="24" t="s">
        <v>167</v>
      </c>
      <c r="B727" s="24" t="s">
        <v>37</v>
      </c>
      <c r="C727" s="24" t="s">
        <v>38</v>
      </c>
      <c r="D727" s="24">
        <v>0.3</v>
      </c>
      <c r="E727" s="24" t="s">
        <v>796</v>
      </c>
      <c r="F727" s="24" t="s">
        <v>837</v>
      </c>
      <c r="G727" s="24">
        <v>168255</v>
      </c>
    </row>
    <row r="728" spans="1:7" x14ac:dyDescent="0.25">
      <c r="A728" s="24" t="s">
        <v>167</v>
      </c>
      <c r="B728" s="24" t="s">
        <v>39</v>
      </c>
      <c r="C728" s="24" t="s">
        <v>36</v>
      </c>
      <c r="D728" s="24">
        <v>0</v>
      </c>
      <c r="E728" s="24" t="s">
        <v>796</v>
      </c>
      <c r="F728" s="24" t="s">
        <v>837</v>
      </c>
      <c r="G728" s="24">
        <v>168255</v>
      </c>
    </row>
    <row r="729" spans="1:7" x14ac:dyDescent="0.25">
      <c r="A729" s="24" t="s">
        <v>167</v>
      </c>
      <c r="B729" s="24" t="s">
        <v>40</v>
      </c>
      <c r="C729" s="24" t="s">
        <v>31</v>
      </c>
      <c r="D729" s="24">
        <v>0.8</v>
      </c>
      <c r="E729" s="24" t="s">
        <v>796</v>
      </c>
      <c r="F729" s="24" t="s">
        <v>837</v>
      </c>
      <c r="G729" s="24">
        <v>168255</v>
      </c>
    </row>
    <row r="730" spans="1:7" x14ac:dyDescent="0.25">
      <c r="A730" s="24" t="s">
        <v>167</v>
      </c>
      <c r="B730" s="24" t="s">
        <v>41</v>
      </c>
      <c r="C730" s="24" t="s">
        <v>31</v>
      </c>
      <c r="D730" s="24">
        <v>0.3</v>
      </c>
      <c r="E730" s="24" t="s">
        <v>796</v>
      </c>
      <c r="F730" s="24" t="s">
        <v>837</v>
      </c>
      <c r="G730" s="24">
        <v>168255</v>
      </c>
    </row>
    <row r="731" spans="1:7" x14ac:dyDescent="0.25">
      <c r="A731" s="24" t="s">
        <v>167</v>
      </c>
      <c r="B731" s="24" t="s">
        <v>42</v>
      </c>
      <c r="C731" s="24" t="s">
        <v>43</v>
      </c>
      <c r="D731" s="24">
        <v>6.3</v>
      </c>
      <c r="E731" s="24" t="s">
        <v>796</v>
      </c>
      <c r="F731" s="24" t="s">
        <v>837</v>
      </c>
      <c r="G731" s="24">
        <v>168255</v>
      </c>
    </row>
    <row r="732" spans="1:7" x14ac:dyDescent="0.25">
      <c r="A732" s="24" t="s">
        <v>167</v>
      </c>
      <c r="B732" s="24" t="s">
        <v>44</v>
      </c>
      <c r="C732" s="24" t="s">
        <v>31</v>
      </c>
      <c r="D732" s="24">
        <v>0.6</v>
      </c>
      <c r="E732" s="24" t="s">
        <v>796</v>
      </c>
      <c r="F732" s="24" t="s">
        <v>837</v>
      </c>
      <c r="G732" s="24">
        <v>168255</v>
      </c>
    </row>
    <row r="733" spans="1:7" x14ac:dyDescent="0.25">
      <c r="A733" s="24" t="s">
        <v>167</v>
      </c>
      <c r="B733" s="24" t="s">
        <v>45</v>
      </c>
      <c r="C733" s="24" t="s">
        <v>31</v>
      </c>
      <c r="D733" s="24">
        <v>1.4</v>
      </c>
      <c r="E733" s="24" t="s">
        <v>796</v>
      </c>
      <c r="F733" s="24" t="s">
        <v>837</v>
      </c>
      <c r="G733" s="24">
        <v>168255</v>
      </c>
    </row>
    <row r="734" spans="1:7" x14ac:dyDescent="0.25">
      <c r="A734" s="24" t="s">
        <v>167</v>
      </c>
      <c r="B734" s="24" t="s">
        <v>46</v>
      </c>
      <c r="C734" s="24" t="s">
        <v>36</v>
      </c>
      <c r="D734" s="24">
        <v>0.8</v>
      </c>
      <c r="E734" s="24" t="s">
        <v>796</v>
      </c>
      <c r="F734" s="24" t="s">
        <v>837</v>
      </c>
      <c r="G734" s="24">
        <v>168255</v>
      </c>
    </row>
    <row r="735" spans="1:7" x14ac:dyDescent="0.25">
      <c r="A735" s="24" t="s">
        <v>167</v>
      </c>
      <c r="B735" s="24" t="s">
        <v>47</v>
      </c>
      <c r="C735" s="24" t="s">
        <v>48</v>
      </c>
      <c r="D735" s="24">
        <v>0</v>
      </c>
      <c r="E735" s="24" t="s">
        <v>796</v>
      </c>
      <c r="F735" s="24" t="s">
        <v>837</v>
      </c>
      <c r="G735" s="24">
        <v>168255</v>
      </c>
    </row>
    <row r="736" spans="1:7" x14ac:dyDescent="0.25">
      <c r="A736" s="24" t="s">
        <v>167</v>
      </c>
      <c r="B736" s="24" t="s">
        <v>53</v>
      </c>
      <c r="C736" s="24" t="s">
        <v>31</v>
      </c>
      <c r="D736" s="24">
        <v>25</v>
      </c>
      <c r="E736" s="24" t="s">
        <v>796</v>
      </c>
      <c r="F736" s="24" t="s">
        <v>837</v>
      </c>
      <c r="G736" s="24">
        <v>168255</v>
      </c>
    </row>
    <row r="737" spans="1:7" x14ac:dyDescent="0.25">
      <c r="A737" s="24" t="s">
        <v>167</v>
      </c>
      <c r="B737" s="24" t="s">
        <v>55</v>
      </c>
      <c r="C737" s="24" t="s">
        <v>31</v>
      </c>
      <c r="D737" s="24">
        <v>3</v>
      </c>
      <c r="E737" s="24" t="s">
        <v>796</v>
      </c>
      <c r="F737" s="24" t="s">
        <v>837</v>
      </c>
      <c r="G737" s="24">
        <v>168255</v>
      </c>
    </row>
    <row r="738" spans="1:7" x14ac:dyDescent="0.25">
      <c r="A738" s="24" t="s">
        <v>167</v>
      </c>
      <c r="B738" s="24" t="s">
        <v>56</v>
      </c>
      <c r="C738" s="24" t="s">
        <v>31</v>
      </c>
      <c r="D738" s="24">
        <v>0.1</v>
      </c>
      <c r="E738" s="24" t="s">
        <v>796</v>
      </c>
      <c r="F738" s="24" t="s">
        <v>837</v>
      </c>
      <c r="G738" s="24">
        <v>168255</v>
      </c>
    </row>
    <row r="739" spans="1:7" x14ac:dyDescent="0.25">
      <c r="A739" s="24" t="s">
        <v>167</v>
      </c>
      <c r="B739" s="24" t="s">
        <v>57</v>
      </c>
      <c r="C739" s="24" t="s">
        <v>36</v>
      </c>
      <c r="D739" s="24">
        <v>30.4</v>
      </c>
      <c r="E739" s="24" t="s">
        <v>796</v>
      </c>
      <c r="F739" s="24" t="s">
        <v>837</v>
      </c>
      <c r="G739" s="24">
        <v>168255</v>
      </c>
    </row>
    <row r="740" spans="1:7" x14ac:dyDescent="0.25">
      <c r="A740" s="24" t="s">
        <v>167</v>
      </c>
      <c r="B740" s="24" t="s">
        <v>58</v>
      </c>
      <c r="C740" s="24" t="s">
        <v>5</v>
      </c>
      <c r="D740" s="24">
        <v>0</v>
      </c>
      <c r="E740" s="24" t="s">
        <v>795</v>
      </c>
      <c r="F740" s="24"/>
      <c r="G740" s="24"/>
    </row>
    <row r="741" spans="1:7" x14ac:dyDescent="0.25">
      <c r="A741" s="24" t="s">
        <v>168</v>
      </c>
      <c r="B741" s="24" t="s">
        <v>32</v>
      </c>
      <c r="C741" s="24" t="s">
        <v>33</v>
      </c>
      <c r="D741" s="24">
        <v>0</v>
      </c>
      <c r="E741" s="24" t="s">
        <v>796</v>
      </c>
      <c r="F741" s="24" t="s">
        <v>838</v>
      </c>
      <c r="G741" s="24">
        <v>168249</v>
      </c>
    </row>
    <row r="742" spans="1:7" x14ac:dyDescent="0.25">
      <c r="A742" s="24" t="s">
        <v>168</v>
      </c>
      <c r="B742" s="24" t="s">
        <v>34</v>
      </c>
      <c r="C742" s="24" t="s">
        <v>31</v>
      </c>
      <c r="D742" s="24">
        <v>0</v>
      </c>
      <c r="E742" s="24" t="s">
        <v>796</v>
      </c>
      <c r="F742" s="24" t="s">
        <v>838</v>
      </c>
      <c r="G742" s="24">
        <v>168249</v>
      </c>
    </row>
    <row r="743" spans="1:7" x14ac:dyDescent="0.25">
      <c r="A743" s="24" t="s">
        <v>168</v>
      </c>
      <c r="B743" s="24" t="s">
        <v>35</v>
      </c>
      <c r="C743" s="24" t="s">
        <v>36</v>
      </c>
      <c r="D743" s="24">
        <v>0.2</v>
      </c>
      <c r="E743" s="24" t="s">
        <v>796</v>
      </c>
      <c r="F743" s="24" t="s">
        <v>838</v>
      </c>
      <c r="G743" s="24">
        <v>168249</v>
      </c>
    </row>
    <row r="744" spans="1:7" x14ac:dyDescent="0.25">
      <c r="A744" s="24" t="s">
        <v>168</v>
      </c>
      <c r="B744" s="24" t="s">
        <v>37</v>
      </c>
      <c r="C744" s="24" t="s">
        <v>38</v>
      </c>
      <c r="D744" s="24">
        <v>0.2</v>
      </c>
      <c r="E744" s="24" t="s">
        <v>796</v>
      </c>
      <c r="F744" s="24" t="s">
        <v>838</v>
      </c>
      <c r="G744" s="24">
        <v>168249</v>
      </c>
    </row>
    <row r="745" spans="1:7" x14ac:dyDescent="0.25">
      <c r="A745" s="24" t="s">
        <v>168</v>
      </c>
      <c r="B745" s="24" t="s">
        <v>39</v>
      </c>
      <c r="C745" s="24" t="s">
        <v>36</v>
      </c>
      <c r="D745" s="24">
        <v>0</v>
      </c>
      <c r="E745" s="24" t="s">
        <v>796</v>
      </c>
      <c r="F745" s="24" t="s">
        <v>838</v>
      </c>
      <c r="G745" s="24">
        <v>168249</v>
      </c>
    </row>
    <row r="746" spans="1:7" x14ac:dyDescent="0.25">
      <c r="A746" s="24" t="s">
        <v>168</v>
      </c>
      <c r="B746" s="24" t="s">
        <v>40</v>
      </c>
      <c r="C746" s="24" t="s">
        <v>31</v>
      </c>
      <c r="D746" s="24">
        <v>0.8</v>
      </c>
      <c r="E746" s="24" t="s">
        <v>796</v>
      </c>
      <c r="F746" s="24" t="s">
        <v>838</v>
      </c>
      <c r="G746" s="24">
        <v>168249</v>
      </c>
    </row>
    <row r="747" spans="1:7" x14ac:dyDescent="0.25">
      <c r="A747" s="24" t="s">
        <v>168</v>
      </c>
      <c r="B747" s="24" t="s">
        <v>41</v>
      </c>
      <c r="C747" s="24" t="s">
        <v>31</v>
      </c>
      <c r="D747" s="24">
        <v>0.3</v>
      </c>
      <c r="E747" s="24" t="s">
        <v>796</v>
      </c>
      <c r="F747" s="24" t="s">
        <v>838</v>
      </c>
      <c r="G747" s="24">
        <v>168249</v>
      </c>
    </row>
    <row r="748" spans="1:7" x14ac:dyDescent="0.25">
      <c r="A748" s="24" t="s">
        <v>168</v>
      </c>
      <c r="B748" s="24" t="s">
        <v>42</v>
      </c>
      <c r="C748" s="24" t="s">
        <v>43</v>
      </c>
      <c r="D748" s="24">
        <v>5.7</v>
      </c>
      <c r="E748" s="24" t="s">
        <v>796</v>
      </c>
      <c r="F748" s="24" t="s">
        <v>838</v>
      </c>
      <c r="G748" s="24">
        <v>168249</v>
      </c>
    </row>
    <row r="749" spans="1:7" x14ac:dyDescent="0.25">
      <c r="A749" s="24" t="s">
        <v>168</v>
      </c>
      <c r="B749" s="24" t="s">
        <v>44</v>
      </c>
      <c r="C749" s="24" t="s">
        <v>31</v>
      </c>
      <c r="D749" s="24">
        <v>0.7</v>
      </c>
      <c r="E749" s="24" t="s">
        <v>796</v>
      </c>
      <c r="F749" s="24" t="s">
        <v>838</v>
      </c>
      <c r="G749" s="24">
        <v>168249</v>
      </c>
    </row>
    <row r="750" spans="1:7" x14ac:dyDescent="0.25">
      <c r="A750" s="24" t="s">
        <v>168</v>
      </c>
      <c r="B750" s="24" t="s">
        <v>45</v>
      </c>
      <c r="C750" s="24" t="s">
        <v>31</v>
      </c>
      <c r="D750" s="24">
        <v>0.7</v>
      </c>
      <c r="E750" s="24" t="s">
        <v>796</v>
      </c>
      <c r="F750" s="24" t="s">
        <v>838</v>
      </c>
      <c r="G750" s="24">
        <v>168249</v>
      </c>
    </row>
    <row r="751" spans="1:7" x14ac:dyDescent="0.25">
      <c r="A751" s="24" t="s">
        <v>168</v>
      </c>
      <c r="B751" s="24" t="s">
        <v>46</v>
      </c>
      <c r="C751" s="24" t="s">
        <v>36</v>
      </c>
      <c r="D751" s="24">
        <v>0.4</v>
      </c>
      <c r="E751" s="24" t="s">
        <v>796</v>
      </c>
      <c r="F751" s="24" t="s">
        <v>838</v>
      </c>
      <c r="G751" s="24">
        <v>168249</v>
      </c>
    </row>
    <row r="752" spans="1:7" x14ac:dyDescent="0.25">
      <c r="A752" s="24" t="s">
        <v>168</v>
      </c>
      <c r="B752" s="24" t="s">
        <v>47</v>
      </c>
      <c r="C752" s="24" t="s">
        <v>48</v>
      </c>
      <c r="D752" s="24">
        <v>0</v>
      </c>
      <c r="E752" s="24" t="s">
        <v>796</v>
      </c>
      <c r="F752" s="24" t="s">
        <v>838</v>
      </c>
      <c r="G752" s="24">
        <v>168249</v>
      </c>
    </row>
    <row r="753" spans="1:7" x14ac:dyDescent="0.25">
      <c r="A753" s="24" t="s">
        <v>168</v>
      </c>
      <c r="B753" s="24" t="s">
        <v>50</v>
      </c>
      <c r="C753" s="24" t="s">
        <v>31</v>
      </c>
      <c r="D753" s="24">
        <v>337.5</v>
      </c>
      <c r="E753" s="24" t="s">
        <v>796</v>
      </c>
      <c r="F753" s="24" t="s">
        <v>838</v>
      </c>
      <c r="G753" s="24">
        <v>168249</v>
      </c>
    </row>
    <row r="754" spans="1:7" x14ac:dyDescent="0.25">
      <c r="A754" s="24" t="s">
        <v>168</v>
      </c>
      <c r="B754" s="24" t="s">
        <v>51</v>
      </c>
      <c r="C754" s="24" t="s">
        <v>31</v>
      </c>
      <c r="D754" s="24">
        <v>4.2</v>
      </c>
      <c r="E754" s="24" t="s">
        <v>796</v>
      </c>
      <c r="F754" s="24" t="s">
        <v>838</v>
      </c>
      <c r="G754" s="24">
        <v>168249</v>
      </c>
    </row>
    <row r="755" spans="1:7" x14ac:dyDescent="0.25">
      <c r="A755" s="24" t="s">
        <v>168</v>
      </c>
      <c r="B755" s="24" t="s">
        <v>52</v>
      </c>
      <c r="C755" s="24" t="s">
        <v>31</v>
      </c>
      <c r="D755" s="24">
        <v>208.9</v>
      </c>
      <c r="E755" s="24" t="s">
        <v>796</v>
      </c>
      <c r="F755" s="24" t="s">
        <v>838</v>
      </c>
      <c r="G755" s="24">
        <v>168249</v>
      </c>
    </row>
    <row r="756" spans="1:7" x14ac:dyDescent="0.25">
      <c r="A756" s="24" t="s">
        <v>168</v>
      </c>
      <c r="B756" s="24" t="s">
        <v>53</v>
      </c>
      <c r="C756" s="24" t="s">
        <v>31</v>
      </c>
      <c r="D756" s="24">
        <v>22.8</v>
      </c>
      <c r="E756" s="24" t="s">
        <v>796</v>
      </c>
      <c r="F756" s="24" t="s">
        <v>838</v>
      </c>
      <c r="G756" s="24">
        <v>168249</v>
      </c>
    </row>
    <row r="757" spans="1:7" x14ac:dyDescent="0.25">
      <c r="A757" s="24" t="s">
        <v>168</v>
      </c>
      <c r="B757" s="24" t="s">
        <v>54</v>
      </c>
      <c r="C757" s="24" t="s">
        <v>31</v>
      </c>
      <c r="D757" s="24">
        <v>0.8</v>
      </c>
      <c r="E757" s="24" t="s">
        <v>796</v>
      </c>
      <c r="F757" s="24" t="s">
        <v>838</v>
      </c>
      <c r="G757" s="24">
        <v>168249</v>
      </c>
    </row>
    <row r="758" spans="1:7" x14ac:dyDescent="0.25">
      <c r="A758" s="24" t="s">
        <v>168</v>
      </c>
      <c r="B758" s="24" t="s">
        <v>55</v>
      </c>
      <c r="C758" s="24" t="s">
        <v>31</v>
      </c>
      <c r="D758" s="24">
        <v>1.6</v>
      </c>
      <c r="E758" s="24" t="s">
        <v>796</v>
      </c>
      <c r="F758" s="24" t="s">
        <v>838</v>
      </c>
      <c r="G758" s="24">
        <v>168249</v>
      </c>
    </row>
    <row r="759" spans="1:7" x14ac:dyDescent="0.25">
      <c r="A759" s="24" t="s">
        <v>168</v>
      </c>
      <c r="B759" s="24" t="s">
        <v>56</v>
      </c>
      <c r="C759" s="24" t="s">
        <v>31</v>
      </c>
      <c r="D759" s="24">
        <v>0.1</v>
      </c>
      <c r="E759" s="24" t="s">
        <v>796</v>
      </c>
      <c r="F759" s="24" t="s">
        <v>838</v>
      </c>
      <c r="G759" s="24">
        <v>168249</v>
      </c>
    </row>
    <row r="760" spans="1:7" x14ac:dyDescent="0.25">
      <c r="A760" s="24" t="s">
        <v>168</v>
      </c>
      <c r="B760" s="24" t="s">
        <v>57</v>
      </c>
      <c r="C760" s="24" t="s">
        <v>36</v>
      </c>
      <c r="D760" s="24">
        <v>26.1</v>
      </c>
      <c r="E760" s="24" t="s">
        <v>796</v>
      </c>
      <c r="F760" s="24" t="s">
        <v>838</v>
      </c>
      <c r="G760" s="24">
        <v>168249</v>
      </c>
    </row>
    <row r="761" spans="1:7" x14ac:dyDescent="0.25">
      <c r="A761" s="24" t="s">
        <v>168</v>
      </c>
      <c r="B761" s="24" t="s">
        <v>58</v>
      </c>
      <c r="C761" s="24" t="s">
        <v>5</v>
      </c>
      <c r="D761" s="24">
        <v>0</v>
      </c>
      <c r="E761" s="24" t="s">
        <v>795</v>
      </c>
      <c r="F761" s="24"/>
      <c r="G761" s="24"/>
    </row>
    <row r="762" spans="1:7" x14ac:dyDescent="0.25">
      <c r="A762" s="24" t="s">
        <v>169</v>
      </c>
      <c r="B762" s="24" t="s">
        <v>24</v>
      </c>
      <c r="C762" s="24" t="s">
        <v>5</v>
      </c>
      <c r="D762" s="24">
        <v>0</v>
      </c>
      <c r="E762" s="24" t="s">
        <v>796</v>
      </c>
      <c r="F762" s="24" t="s">
        <v>839</v>
      </c>
      <c r="G762" s="24">
        <v>168222</v>
      </c>
    </row>
    <row r="763" spans="1:7" x14ac:dyDescent="0.25">
      <c r="A763" s="24" t="s">
        <v>169</v>
      </c>
      <c r="B763" s="24" t="s">
        <v>32</v>
      </c>
      <c r="C763" s="24" t="s">
        <v>33</v>
      </c>
      <c r="D763" s="24">
        <v>0</v>
      </c>
      <c r="E763" s="24" t="s">
        <v>796</v>
      </c>
      <c r="F763" s="24" t="s">
        <v>839</v>
      </c>
      <c r="G763" s="24">
        <v>168222</v>
      </c>
    </row>
    <row r="764" spans="1:7" x14ac:dyDescent="0.25">
      <c r="A764" s="24" t="s">
        <v>169</v>
      </c>
      <c r="B764" s="24" t="s">
        <v>34</v>
      </c>
      <c r="C764" s="24" t="s">
        <v>31</v>
      </c>
      <c r="D764" s="24">
        <v>0.5</v>
      </c>
      <c r="E764" s="24" t="s">
        <v>796</v>
      </c>
      <c r="F764" s="24" t="s">
        <v>839</v>
      </c>
      <c r="G764" s="24">
        <v>168222</v>
      </c>
    </row>
    <row r="765" spans="1:7" x14ac:dyDescent="0.25">
      <c r="A765" s="24" t="s">
        <v>169</v>
      </c>
      <c r="B765" s="24" t="s">
        <v>35</v>
      </c>
      <c r="C765" s="24" t="s">
        <v>36</v>
      </c>
      <c r="D765" s="24">
        <v>0.4</v>
      </c>
      <c r="E765" s="24" t="s">
        <v>796</v>
      </c>
      <c r="F765" s="24" t="s">
        <v>839</v>
      </c>
      <c r="G765" s="24">
        <v>168222</v>
      </c>
    </row>
    <row r="766" spans="1:7" x14ac:dyDescent="0.25">
      <c r="A766" s="24" t="s">
        <v>169</v>
      </c>
      <c r="B766" s="24" t="s">
        <v>40</v>
      </c>
      <c r="C766" s="24" t="s">
        <v>31</v>
      </c>
      <c r="D766" s="24">
        <v>0.6</v>
      </c>
      <c r="E766" s="24" t="s">
        <v>796</v>
      </c>
      <c r="F766" s="24" t="s">
        <v>839</v>
      </c>
      <c r="G766" s="24">
        <v>168222</v>
      </c>
    </row>
    <row r="767" spans="1:7" x14ac:dyDescent="0.25">
      <c r="A767" s="24" t="s">
        <v>169</v>
      </c>
      <c r="B767" s="24" t="s">
        <v>41</v>
      </c>
      <c r="C767" s="24" t="s">
        <v>31</v>
      </c>
      <c r="D767" s="24">
        <v>0.2</v>
      </c>
      <c r="E767" s="24" t="s">
        <v>796</v>
      </c>
      <c r="F767" s="24" t="s">
        <v>839</v>
      </c>
      <c r="G767" s="24">
        <v>168222</v>
      </c>
    </row>
    <row r="768" spans="1:7" x14ac:dyDescent="0.25">
      <c r="A768" s="24" t="s">
        <v>169</v>
      </c>
      <c r="B768" s="24" t="s">
        <v>42</v>
      </c>
      <c r="C768" s="24" t="s">
        <v>43</v>
      </c>
      <c r="D768" s="24">
        <v>3.5</v>
      </c>
      <c r="E768" s="24" t="s">
        <v>796</v>
      </c>
      <c r="F768" s="24" t="s">
        <v>839</v>
      </c>
      <c r="G768" s="24">
        <v>168222</v>
      </c>
    </row>
    <row r="769" spans="1:7" x14ac:dyDescent="0.25">
      <c r="A769" s="24" t="s">
        <v>169</v>
      </c>
      <c r="B769" s="24" t="s">
        <v>44</v>
      </c>
      <c r="C769" s="24" t="s">
        <v>31</v>
      </c>
      <c r="D769" s="24">
        <v>0.3</v>
      </c>
      <c r="E769" s="24" t="s">
        <v>796</v>
      </c>
      <c r="F769" s="24" t="s">
        <v>839</v>
      </c>
      <c r="G769" s="24">
        <v>168222</v>
      </c>
    </row>
    <row r="770" spans="1:7" x14ac:dyDescent="0.25">
      <c r="A770" s="24" t="s">
        <v>169</v>
      </c>
      <c r="B770" s="24" t="s">
        <v>45</v>
      </c>
      <c r="C770" s="24" t="s">
        <v>31</v>
      </c>
      <c r="D770" s="24">
        <v>0.5</v>
      </c>
      <c r="E770" s="24" t="s">
        <v>796</v>
      </c>
      <c r="F770" s="24" t="s">
        <v>839</v>
      </c>
      <c r="G770" s="24">
        <v>168222</v>
      </c>
    </row>
    <row r="771" spans="1:7" x14ac:dyDescent="0.25">
      <c r="A771" s="24" t="s">
        <v>169</v>
      </c>
      <c r="B771" s="24" t="s">
        <v>46</v>
      </c>
      <c r="C771" s="24" t="s">
        <v>36</v>
      </c>
      <c r="D771" s="24">
        <v>0.5</v>
      </c>
      <c r="E771" s="24" t="s">
        <v>796</v>
      </c>
      <c r="F771" s="24" t="s">
        <v>839</v>
      </c>
      <c r="G771" s="24">
        <v>168222</v>
      </c>
    </row>
    <row r="772" spans="1:7" x14ac:dyDescent="0.25">
      <c r="A772" s="24" t="s">
        <v>169</v>
      </c>
      <c r="B772" s="24" t="s">
        <v>47</v>
      </c>
      <c r="C772" s="24" t="s">
        <v>48</v>
      </c>
      <c r="D772" s="24">
        <v>5.4</v>
      </c>
      <c r="E772" s="24" t="s">
        <v>796</v>
      </c>
      <c r="F772" s="24" t="s">
        <v>839</v>
      </c>
      <c r="G772" s="24">
        <v>168222</v>
      </c>
    </row>
    <row r="773" spans="1:7" x14ac:dyDescent="0.25">
      <c r="A773" s="24" t="s">
        <v>169</v>
      </c>
      <c r="B773" s="24" t="s">
        <v>50</v>
      </c>
      <c r="C773" s="24" t="s">
        <v>31</v>
      </c>
      <c r="D773" s="24">
        <v>242.6</v>
      </c>
      <c r="E773" s="24" t="s">
        <v>796</v>
      </c>
      <c r="F773" s="24" t="s">
        <v>839</v>
      </c>
      <c r="G773" s="24">
        <v>168222</v>
      </c>
    </row>
    <row r="774" spans="1:7" x14ac:dyDescent="0.25">
      <c r="A774" s="24" t="s">
        <v>169</v>
      </c>
      <c r="B774" s="24" t="s">
        <v>51</v>
      </c>
      <c r="C774" s="24" t="s">
        <v>31</v>
      </c>
      <c r="D774" s="24">
        <v>3.9</v>
      </c>
      <c r="E774" s="24" t="s">
        <v>796</v>
      </c>
      <c r="F774" s="24" t="s">
        <v>839</v>
      </c>
      <c r="G774" s="24">
        <v>168222</v>
      </c>
    </row>
    <row r="775" spans="1:7" x14ac:dyDescent="0.25">
      <c r="A775" s="24" t="s">
        <v>169</v>
      </c>
      <c r="B775" s="24" t="s">
        <v>52</v>
      </c>
      <c r="C775" s="24" t="s">
        <v>31</v>
      </c>
      <c r="D775" s="24">
        <v>153.19999999999999</v>
      </c>
      <c r="E775" s="24" t="s">
        <v>796</v>
      </c>
      <c r="F775" s="24" t="s">
        <v>839</v>
      </c>
      <c r="G775" s="24">
        <v>168222</v>
      </c>
    </row>
    <row r="776" spans="1:7" x14ac:dyDescent="0.25">
      <c r="A776" s="24" t="s">
        <v>169</v>
      </c>
      <c r="B776" s="24" t="s">
        <v>53</v>
      </c>
      <c r="C776" s="24" t="s">
        <v>31</v>
      </c>
      <c r="D776" s="24">
        <v>15.4</v>
      </c>
      <c r="E776" s="24" t="s">
        <v>796</v>
      </c>
      <c r="F776" s="24" t="s">
        <v>839</v>
      </c>
      <c r="G776" s="24">
        <v>168222</v>
      </c>
    </row>
    <row r="777" spans="1:7" x14ac:dyDescent="0.25">
      <c r="A777" s="24" t="s">
        <v>169</v>
      </c>
      <c r="B777" s="24" t="s">
        <v>54</v>
      </c>
      <c r="C777" s="24" t="s">
        <v>31</v>
      </c>
      <c r="D777" s="24">
        <v>0.7</v>
      </c>
      <c r="E777" s="24" t="s">
        <v>796</v>
      </c>
      <c r="F777" s="24" t="s">
        <v>839</v>
      </c>
      <c r="G777" s="24">
        <v>168222</v>
      </c>
    </row>
    <row r="778" spans="1:7" x14ac:dyDescent="0.25">
      <c r="A778" s="24" t="s">
        <v>169</v>
      </c>
      <c r="B778" s="24" t="s">
        <v>55</v>
      </c>
      <c r="C778" s="24" t="s">
        <v>31</v>
      </c>
      <c r="D778" s="24">
        <v>1.5</v>
      </c>
      <c r="E778" s="24" t="s">
        <v>796</v>
      </c>
      <c r="F778" s="24" t="s">
        <v>839</v>
      </c>
      <c r="G778" s="24">
        <v>168222</v>
      </c>
    </row>
    <row r="779" spans="1:7" x14ac:dyDescent="0.25">
      <c r="A779" s="24" t="s">
        <v>169</v>
      </c>
      <c r="B779" s="24" t="s">
        <v>56</v>
      </c>
      <c r="C779" s="24" t="s">
        <v>31</v>
      </c>
      <c r="D779" s="24">
        <v>0.1</v>
      </c>
      <c r="E779" s="24" t="s">
        <v>796</v>
      </c>
      <c r="F779" s="24" t="s">
        <v>839</v>
      </c>
      <c r="G779" s="24">
        <v>168222</v>
      </c>
    </row>
    <row r="780" spans="1:7" x14ac:dyDescent="0.25">
      <c r="A780" s="24" t="s">
        <v>169</v>
      </c>
      <c r="B780" s="24" t="s">
        <v>57</v>
      </c>
      <c r="C780" s="24" t="s">
        <v>36</v>
      </c>
      <c r="D780" s="24">
        <v>22.6</v>
      </c>
      <c r="E780" s="24" t="s">
        <v>796</v>
      </c>
      <c r="F780" s="24" t="s">
        <v>839</v>
      </c>
      <c r="G780" s="24">
        <v>168222</v>
      </c>
    </row>
    <row r="781" spans="1:7" x14ac:dyDescent="0.25">
      <c r="A781" s="24" t="s">
        <v>169</v>
      </c>
      <c r="B781" s="24" t="s">
        <v>58</v>
      </c>
      <c r="C781" s="24" t="s">
        <v>5</v>
      </c>
      <c r="D781" s="24">
        <v>0</v>
      </c>
      <c r="E781" s="24" t="s">
        <v>795</v>
      </c>
      <c r="F781" s="24"/>
      <c r="G781" s="24"/>
    </row>
    <row r="782" spans="1:7" x14ac:dyDescent="0.25">
      <c r="A782" s="24" t="s">
        <v>170</v>
      </c>
      <c r="B782" s="24" t="s">
        <v>24</v>
      </c>
      <c r="C782" s="24" t="s">
        <v>5</v>
      </c>
      <c r="D782" s="24">
        <v>0</v>
      </c>
      <c r="E782" s="24" t="s">
        <v>796</v>
      </c>
      <c r="F782" s="24" t="s">
        <v>840</v>
      </c>
      <c r="G782" s="24">
        <v>168238</v>
      </c>
    </row>
    <row r="783" spans="1:7" x14ac:dyDescent="0.25">
      <c r="A783" s="24" t="s">
        <v>170</v>
      </c>
      <c r="B783" s="24" t="s">
        <v>32</v>
      </c>
      <c r="C783" s="24" t="s">
        <v>33</v>
      </c>
      <c r="D783" s="24">
        <v>2.7</v>
      </c>
      <c r="E783" s="24" t="s">
        <v>796</v>
      </c>
      <c r="F783" s="24" t="s">
        <v>840</v>
      </c>
      <c r="G783" s="24">
        <v>168238</v>
      </c>
    </row>
    <row r="784" spans="1:7" x14ac:dyDescent="0.25">
      <c r="A784" s="24" t="s">
        <v>170</v>
      </c>
      <c r="B784" s="24" t="s">
        <v>34</v>
      </c>
      <c r="C784" s="24" t="s">
        <v>31</v>
      </c>
      <c r="D784" s="24">
        <v>0</v>
      </c>
      <c r="E784" s="24" t="s">
        <v>796</v>
      </c>
      <c r="F784" s="24" t="s">
        <v>840</v>
      </c>
      <c r="G784" s="24">
        <v>168238</v>
      </c>
    </row>
    <row r="785" spans="1:7" x14ac:dyDescent="0.25">
      <c r="A785" s="24" t="s">
        <v>170</v>
      </c>
      <c r="B785" s="24" t="s">
        <v>35</v>
      </c>
      <c r="C785" s="24" t="s">
        <v>36</v>
      </c>
      <c r="D785" s="24">
        <v>0.7</v>
      </c>
      <c r="E785" s="24" t="s">
        <v>796</v>
      </c>
      <c r="F785" s="24" t="s">
        <v>840</v>
      </c>
      <c r="G785" s="24">
        <v>168238</v>
      </c>
    </row>
    <row r="786" spans="1:7" x14ac:dyDescent="0.25">
      <c r="A786" s="24" t="s">
        <v>170</v>
      </c>
      <c r="B786" s="24" t="s">
        <v>37</v>
      </c>
      <c r="C786" s="24" t="s">
        <v>38</v>
      </c>
      <c r="D786" s="24">
        <v>0.2</v>
      </c>
      <c r="E786" s="24" t="s">
        <v>796</v>
      </c>
      <c r="F786" s="24" t="s">
        <v>840</v>
      </c>
      <c r="G786" s="24">
        <v>168238</v>
      </c>
    </row>
    <row r="787" spans="1:7" x14ac:dyDescent="0.25">
      <c r="A787" s="24" t="s">
        <v>170</v>
      </c>
      <c r="B787" s="24" t="s">
        <v>39</v>
      </c>
      <c r="C787" s="24" t="s">
        <v>36</v>
      </c>
      <c r="D787" s="24">
        <v>0</v>
      </c>
      <c r="E787" s="24" t="s">
        <v>796</v>
      </c>
      <c r="F787" s="24" t="s">
        <v>840</v>
      </c>
      <c r="G787" s="24">
        <v>168238</v>
      </c>
    </row>
    <row r="788" spans="1:7" x14ac:dyDescent="0.25">
      <c r="A788" s="24" t="s">
        <v>170</v>
      </c>
      <c r="B788" s="24" t="s">
        <v>40</v>
      </c>
      <c r="C788" s="24" t="s">
        <v>31</v>
      </c>
      <c r="D788" s="24">
        <v>0.7</v>
      </c>
      <c r="E788" s="24" t="s">
        <v>796</v>
      </c>
      <c r="F788" s="24" t="s">
        <v>840</v>
      </c>
      <c r="G788" s="24">
        <v>168238</v>
      </c>
    </row>
    <row r="789" spans="1:7" x14ac:dyDescent="0.25">
      <c r="A789" s="24" t="s">
        <v>170</v>
      </c>
      <c r="B789" s="24" t="s">
        <v>41</v>
      </c>
      <c r="C789" s="24" t="s">
        <v>31</v>
      </c>
      <c r="D789" s="24">
        <v>0.3</v>
      </c>
      <c r="E789" s="24" t="s">
        <v>796</v>
      </c>
      <c r="F789" s="24" t="s">
        <v>840</v>
      </c>
      <c r="G789" s="24">
        <v>168238</v>
      </c>
    </row>
    <row r="790" spans="1:7" x14ac:dyDescent="0.25">
      <c r="A790" s="24" t="s">
        <v>170</v>
      </c>
      <c r="B790" s="24" t="s">
        <v>42</v>
      </c>
      <c r="C790" s="24" t="s">
        <v>43</v>
      </c>
      <c r="D790" s="24">
        <v>8.9</v>
      </c>
      <c r="E790" s="24" t="s">
        <v>796</v>
      </c>
      <c r="F790" s="24" t="s">
        <v>840</v>
      </c>
      <c r="G790" s="24">
        <v>168238</v>
      </c>
    </row>
    <row r="791" spans="1:7" x14ac:dyDescent="0.25">
      <c r="A791" s="24" t="s">
        <v>170</v>
      </c>
      <c r="B791" s="24" t="s">
        <v>44</v>
      </c>
      <c r="C791" s="24" t="s">
        <v>31</v>
      </c>
      <c r="D791" s="24">
        <v>0.9</v>
      </c>
      <c r="E791" s="24" t="s">
        <v>796</v>
      </c>
      <c r="F791" s="24" t="s">
        <v>840</v>
      </c>
      <c r="G791" s="24">
        <v>168238</v>
      </c>
    </row>
    <row r="792" spans="1:7" x14ac:dyDescent="0.25">
      <c r="A792" s="24" t="s">
        <v>170</v>
      </c>
      <c r="B792" s="24" t="s">
        <v>45</v>
      </c>
      <c r="C792" s="24" t="s">
        <v>31</v>
      </c>
      <c r="D792" s="24">
        <v>0.9</v>
      </c>
      <c r="E792" s="24" t="s">
        <v>796</v>
      </c>
      <c r="F792" s="24" t="s">
        <v>840</v>
      </c>
      <c r="G792" s="24">
        <v>168238</v>
      </c>
    </row>
    <row r="793" spans="1:7" x14ac:dyDescent="0.25">
      <c r="A793" s="24" t="s">
        <v>170</v>
      </c>
      <c r="B793" s="24" t="s">
        <v>46</v>
      </c>
      <c r="C793" s="24" t="s">
        <v>36</v>
      </c>
      <c r="D793" s="24">
        <v>0.7</v>
      </c>
      <c r="E793" s="24" t="s">
        <v>796</v>
      </c>
      <c r="F793" s="24" t="s">
        <v>840</v>
      </c>
      <c r="G793" s="24">
        <v>168238</v>
      </c>
    </row>
    <row r="794" spans="1:7" x14ac:dyDescent="0.25">
      <c r="A794" s="24" t="s">
        <v>170</v>
      </c>
      <c r="B794" s="24" t="s">
        <v>47</v>
      </c>
      <c r="C794" s="24" t="s">
        <v>48</v>
      </c>
      <c r="D794" s="24">
        <v>0</v>
      </c>
      <c r="E794" s="24" t="s">
        <v>796</v>
      </c>
      <c r="F794" s="24" t="s">
        <v>840</v>
      </c>
      <c r="G794" s="24">
        <v>168238</v>
      </c>
    </row>
    <row r="795" spans="1:7" x14ac:dyDescent="0.25">
      <c r="A795" s="24" t="s">
        <v>170</v>
      </c>
      <c r="B795" s="24" t="s">
        <v>50</v>
      </c>
      <c r="C795" s="24" t="s">
        <v>31</v>
      </c>
      <c r="D795" s="24">
        <v>460.7</v>
      </c>
      <c r="E795" s="24" t="s">
        <v>796</v>
      </c>
      <c r="F795" s="24" t="s">
        <v>840</v>
      </c>
      <c r="G795" s="24">
        <v>168238</v>
      </c>
    </row>
    <row r="796" spans="1:7" x14ac:dyDescent="0.25">
      <c r="A796" s="24" t="s">
        <v>170</v>
      </c>
      <c r="B796" s="24" t="s">
        <v>51</v>
      </c>
      <c r="C796" s="24" t="s">
        <v>31</v>
      </c>
      <c r="D796" s="24">
        <v>25.5</v>
      </c>
      <c r="E796" s="24" t="s">
        <v>796</v>
      </c>
      <c r="F796" s="24" t="s">
        <v>840</v>
      </c>
      <c r="G796" s="24">
        <v>168238</v>
      </c>
    </row>
    <row r="797" spans="1:7" x14ac:dyDescent="0.25">
      <c r="A797" s="24" t="s">
        <v>170</v>
      </c>
      <c r="B797" s="24" t="s">
        <v>52</v>
      </c>
      <c r="C797" s="24" t="s">
        <v>31</v>
      </c>
      <c r="D797" s="24">
        <v>280.7</v>
      </c>
      <c r="E797" s="24" t="s">
        <v>796</v>
      </c>
      <c r="F797" s="24" t="s">
        <v>840</v>
      </c>
      <c r="G797" s="24">
        <v>168238</v>
      </c>
    </row>
    <row r="798" spans="1:7" x14ac:dyDescent="0.25">
      <c r="A798" s="24" t="s">
        <v>170</v>
      </c>
      <c r="B798" s="24" t="s">
        <v>53</v>
      </c>
      <c r="C798" s="24" t="s">
        <v>31</v>
      </c>
      <c r="D798" s="24">
        <v>33.6</v>
      </c>
      <c r="E798" s="24" t="s">
        <v>796</v>
      </c>
      <c r="F798" s="24" t="s">
        <v>840</v>
      </c>
      <c r="G798" s="24">
        <v>168238</v>
      </c>
    </row>
    <row r="799" spans="1:7" x14ac:dyDescent="0.25">
      <c r="A799" s="24" t="s">
        <v>170</v>
      </c>
      <c r="B799" s="24" t="s">
        <v>54</v>
      </c>
      <c r="C799" s="24" t="s">
        <v>31</v>
      </c>
      <c r="D799" s="24">
        <v>0.8</v>
      </c>
      <c r="E799" s="24" t="s">
        <v>796</v>
      </c>
      <c r="F799" s="24" t="s">
        <v>840</v>
      </c>
      <c r="G799" s="24">
        <v>168238</v>
      </c>
    </row>
    <row r="800" spans="1:7" x14ac:dyDescent="0.25">
      <c r="A800" s="24" t="s">
        <v>170</v>
      </c>
      <c r="B800" s="24" t="s">
        <v>55</v>
      </c>
      <c r="C800" s="24" t="s">
        <v>31</v>
      </c>
      <c r="D800" s="24">
        <v>2.4</v>
      </c>
      <c r="E800" s="24" t="s">
        <v>796</v>
      </c>
      <c r="F800" s="24" t="s">
        <v>840</v>
      </c>
      <c r="G800" s="24">
        <v>168238</v>
      </c>
    </row>
    <row r="801" spans="1:7" x14ac:dyDescent="0.25">
      <c r="A801" s="24" t="s">
        <v>170</v>
      </c>
      <c r="B801" s="24" t="s">
        <v>56</v>
      </c>
      <c r="C801" s="24" t="s">
        <v>31</v>
      </c>
      <c r="D801" s="24">
        <v>0.1</v>
      </c>
      <c r="E801" s="24" t="s">
        <v>796</v>
      </c>
      <c r="F801" s="24" t="s">
        <v>840</v>
      </c>
      <c r="G801" s="24">
        <v>168238</v>
      </c>
    </row>
    <row r="802" spans="1:7" x14ac:dyDescent="0.25">
      <c r="A802" s="24" t="s">
        <v>170</v>
      </c>
      <c r="B802" s="24" t="s">
        <v>57</v>
      </c>
      <c r="C802" s="24" t="s">
        <v>36</v>
      </c>
      <c r="D802" s="24">
        <v>45.4</v>
      </c>
      <c r="E802" s="24" t="s">
        <v>796</v>
      </c>
      <c r="F802" s="24" t="s">
        <v>840</v>
      </c>
      <c r="G802" s="24">
        <v>168238</v>
      </c>
    </row>
    <row r="803" spans="1:7" x14ac:dyDescent="0.25">
      <c r="A803" s="24" t="s">
        <v>170</v>
      </c>
      <c r="B803" s="24" t="s">
        <v>58</v>
      </c>
      <c r="C803" s="24" t="s">
        <v>5</v>
      </c>
      <c r="D803" s="24">
        <v>0</v>
      </c>
      <c r="E803" s="24" t="s">
        <v>795</v>
      </c>
      <c r="F803" s="24"/>
      <c r="G803" s="24"/>
    </row>
    <row r="804" spans="1:7" x14ac:dyDescent="0.25">
      <c r="A804" s="24" t="s">
        <v>171</v>
      </c>
      <c r="B804" s="24" t="s">
        <v>32</v>
      </c>
      <c r="C804" s="24" t="s">
        <v>33</v>
      </c>
      <c r="D804" s="24">
        <v>2.7</v>
      </c>
      <c r="E804" s="24" t="s">
        <v>796</v>
      </c>
      <c r="F804" s="24" t="s">
        <v>841</v>
      </c>
      <c r="G804" s="24">
        <v>168242</v>
      </c>
    </row>
    <row r="805" spans="1:7" x14ac:dyDescent="0.25">
      <c r="A805" s="24" t="s">
        <v>171</v>
      </c>
      <c r="B805" s="24" t="s">
        <v>34</v>
      </c>
      <c r="C805" s="24" t="s">
        <v>31</v>
      </c>
      <c r="D805" s="24">
        <v>0</v>
      </c>
      <c r="E805" s="24" t="s">
        <v>796</v>
      </c>
      <c r="F805" s="24" t="s">
        <v>841</v>
      </c>
      <c r="G805" s="24">
        <v>168242</v>
      </c>
    </row>
    <row r="806" spans="1:7" x14ac:dyDescent="0.25">
      <c r="A806" s="24" t="s">
        <v>171</v>
      </c>
      <c r="B806" s="24" t="s">
        <v>35</v>
      </c>
      <c r="C806" s="24" t="s">
        <v>36</v>
      </c>
      <c r="D806" s="24">
        <v>1</v>
      </c>
      <c r="E806" s="24" t="s">
        <v>796</v>
      </c>
      <c r="F806" s="24" t="s">
        <v>841</v>
      </c>
      <c r="G806" s="24">
        <v>168242</v>
      </c>
    </row>
    <row r="807" spans="1:7" x14ac:dyDescent="0.25">
      <c r="A807" s="24" t="s">
        <v>171</v>
      </c>
      <c r="B807" s="24" t="s">
        <v>37</v>
      </c>
      <c r="C807" s="24" t="s">
        <v>38</v>
      </c>
      <c r="D807" s="24">
        <v>0.2</v>
      </c>
      <c r="E807" s="24" t="s">
        <v>796</v>
      </c>
      <c r="F807" s="24" t="s">
        <v>841</v>
      </c>
      <c r="G807" s="24">
        <v>168242</v>
      </c>
    </row>
    <row r="808" spans="1:7" x14ac:dyDescent="0.25">
      <c r="A808" s="24" t="s">
        <v>171</v>
      </c>
      <c r="B808" s="24" t="s">
        <v>39</v>
      </c>
      <c r="C808" s="24" t="s">
        <v>36</v>
      </c>
      <c r="D808" s="24">
        <v>0</v>
      </c>
      <c r="E808" s="24" t="s">
        <v>796</v>
      </c>
      <c r="F808" s="24" t="s">
        <v>841</v>
      </c>
      <c r="G808" s="24">
        <v>168242</v>
      </c>
    </row>
    <row r="809" spans="1:7" x14ac:dyDescent="0.25">
      <c r="A809" s="24" t="s">
        <v>171</v>
      </c>
      <c r="B809" s="24" t="s">
        <v>40</v>
      </c>
      <c r="C809" s="24" t="s">
        <v>31</v>
      </c>
      <c r="D809" s="24">
        <v>0.6</v>
      </c>
      <c r="E809" s="24" t="s">
        <v>796</v>
      </c>
      <c r="F809" s="24" t="s">
        <v>841</v>
      </c>
      <c r="G809" s="24">
        <v>168242</v>
      </c>
    </row>
    <row r="810" spans="1:7" x14ac:dyDescent="0.25">
      <c r="A810" s="24" t="s">
        <v>171</v>
      </c>
      <c r="B810" s="24" t="s">
        <v>41</v>
      </c>
      <c r="C810" s="24" t="s">
        <v>31</v>
      </c>
      <c r="D810" s="24">
        <v>0.2</v>
      </c>
      <c r="E810" s="24" t="s">
        <v>796</v>
      </c>
      <c r="F810" s="24" t="s">
        <v>841</v>
      </c>
      <c r="G810" s="24">
        <v>168242</v>
      </c>
    </row>
    <row r="811" spans="1:7" x14ac:dyDescent="0.25">
      <c r="A811" s="24" t="s">
        <v>171</v>
      </c>
      <c r="B811" s="24" t="s">
        <v>42</v>
      </c>
      <c r="C811" s="24" t="s">
        <v>43</v>
      </c>
      <c r="D811" s="24">
        <v>8.6</v>
      </c>
      <c r="E811" s="24" t="s">
        <v>796</v>
      </c>
      <c r="F811" s="24" t="s">
        <v>841</v>
      </c>
      <c r="G811" s="24">
        <v>168242</v>
      </c>
    </row>
    <row r="812" spans="1:7" x14ac:dyDescent="0.25">
      <c r="A812" s="24" t="s">
        <v>171</v>
      </c>
      <c r="B812" s="24" t="s">
        <v>44</v>
      </c>
      <c r="C812" s="24" t="s">
        <v>31</v>
      </c>
      <c r="D812" s="24">
        <v>0.9</v>
      </c>
      <c r="E812" s="24" t="s">
        <v>796</v>
      </c>
      <c r="F812" s="24" t="s">
        <v>841</v>
      </c>
      <c r="G812" s="24">
        <v>168242</v>
      </c>
    </row>
    <row r="813" spans="1:7" x14ac:dyDescent="0.25">
      <c r="A813" s="24" t="s">
        <v>171</v>
      </c>
      <c r="B813" s="24" t="s">
        <v>45</v>
      </c>
      <c r="C813" s="24" t="s">
        <v>31</v>
      </c>
      <c r="D813" s="24">
        <v>0.9</v>
      </c>
      <c r="E813" s="24" t="s">
        <v>796</v>
      </c>
      <c r="F813" s="24" t="s">
        <v>841</v>
      </c>
      <c r="G813" s="24">
        <v>168242</v>
      </c>
    </row>
    <row r="814" spans="1:7" x14ac:dyDescent="0.25">
      <c r="A814" s="24" t="s">
        <v>171</v>
      </c>
      <c r="B814" s="24" t="s">
        <v>46</v>
      </c>
      <c r="C814" s="24" t="s">
        <v>36</v>
      </c>
      <c r="D814" s="24">
        <v>0.7</v>
      </c>
      <c r="E814" s="24" t="s">
        <v>796</v>
      </c>
      <c r="F814" s="24" t="s">
        <v>841</v>
      </c>
      <c r="G814" s="24">
        <v>168242</v>
      </c>
    </row>
    <row r="815" spans="1:7" x14ac:dyDescent="0.25">
      <c r="A815" s="24" t="s">
        <v>171</v>
      </c>
      <c r="B815" s="24" t="s">
        <v>47</v>
      </c>
      <c r="C815" s="24" t="s">
        <v>48</v>
      </c>
      <c r="D815" s="24">
        <v>0</v>
      </c>
      <c r="E815" s="24" t="s">
        <v>796</v>
      </c>
      <c r="F815" s="24" t="s">
        <v>841</v>
      </c>
      <c r="G815" s="24">
        <v>168242</v>
      </c>
    </row>
    <row r="816" spans="1:7" x14ac:dyDescent="0.25">
      <c r="A816" s="24" t="s">
        <v>171</v>
      </c>
      <c r="B816" s="24" t="s">
        <v>50</v>
      </c>
      <c r="C816" s="24" t="s">
        <v>31</v>
      </c>
      <c r="D816" s="24">
        <v>459.9</v>
      </c>
      <c r="E816" s="24" t="s">
        <v>796</v>
      </c>
      <c r="F816" s="24" t="s">
        <v>841</v>
      </c>
      <c r="G816" s="24">
        <v>168242</v>
      </c>
    </row>
    <row r="817" spans="1:7" x14ac:dyDescent="0.25">
      <c r="A817" s="24" t="s">
        <v>171</v>
      </c>
      <c r="B817" s="24" t="s">
        <v>51</v>
      </c>
      <c r="C817" s="24" t="s">
        <v>31</v>
      </c>
      <c r="D817" s="24">
        <v>34.1</v>
      </c>
      <c r="E817" s="24" t="s">
        <v>796</v>
      </c>
      <c r="F817" s="24" t="s">
        <v>841</v>
      </c>
      <c r="G817" s="24">
        <v>168242</v>
      </c>
    </row>
    <row r="818" spans="1:7" x14ac:dyDescent="0.25">
      <c r="A818" s="24" t="s">
        <v>171</v>
      </c>
      <c r="B818" s="24" t="s">
        <v>52</v>
      </c>
      <c r="C818" s="24" t="s">
        <v>31</v>
      </c>
      <c r="D818" s="24">
        <v>277</v>
      </c>
      <c r="E818" s="24" t="s">
        <v>796</v>
      </c>
      <c r="F818" s="24" t="s">
        <v>841</v>
      </c>
      <c r="G818" s="24">
        <v>168242</v>
      </c>
    </row>
    <row r="819" spans="1:7" x14ac:dyDescent="0.25">
      <c r="A819" s="24" t="s">
        <v>171</v>
      </c>
      <c r="B819" s="24" t="s">
        <v>53</v>
      </c>
      <c r="C819" s="24" t="s">
        <v>31</v>
      </c>
      <c r="D819" s="24">
        <v>31.4</v>
      </c>
      <c r="E819" s="24" t="s">
        <v>796</v>
      </c>
      <c r="F819" s="24" t="s">
        <v>841</v>
      </c>
      <c r="G819" s="24">
        <v>168242</v>
      </c>
    </row>
    <row r="820" spans="1:7" x14ac:dyDescent="0.25">
      <c r="A820" s="24" t="s">
        <v>171</v>
      </c>
      <c r="B820" s="24" t="s">
        <v>54</v>
      </c>
      <c r="C820" s="24" t="s">
        <v>31</v>
      </c>
      <c r="D820" s="24">
        <v>0.8</v>
      </c>
      <c r="E820" s="24" t="s">
        <v>796</v>
      </c>
      <c r="F820" s="24" t="s">
        <v>841</v>
      </c>
      <c r="G820" s="24">
        <v>168242</v>
      </c>
    </row>
    <row r="821" spans="1:7" x14ac:dyDescent="0.25">
      <c r="A821" s="24" t="s">
        <v>171</v>
      </c>
      <c r="B821" s="24" t="s">
        <v>55</v>
      </c>
      <c r="C821" s="24" t="s">
        <v>31</v>
      </c>
      <c r="D821" s="24">
        <v>2.5</v>
      </c>
      <c r="E821" s="24" t="s">
        <v>796</v>
      </c>
      <c r="F821" s="24" t="s">
        <v>841</v>
      </c>
      <c r="G821" s="24">
        <v>168242</v>
      </c>
    </row>
    <row r="822" spans="1:7" x14ac:dyDescent="0.25">
      <c r="A822" s="24" t="s">
        <v>171</v>
      </c>
      <c r="B822" s="24" t="s">
        <v>56</v>
      </c>
      <c r="C822" s="24" t="s">
        <v>31</v>
      </c>
      <c r="D822" s="24">
        <v>0.1</v>
      </c>
      <c r="E822" s="24" t="s">
        <v>796</v>
      </c>
      <c r="F822" s="24" t="s">
        <v>841</v>
      </c>
      <c r="G822" s="24">
        <v>168242</v>
      </c>
    </row>
    <row r="823" spans="1:7" x14ac:dyDescent="0.25">
      <c r="A823" s="24" t="s">
        <v>171</v>
      </c>
      <c r="B823" s="24" t="s">
        <v>57</v>
      </c>
      <c r="C823" s="24" t="s">
        <v>36</v>
      </c>
      <c r="D823" s="24">
        <v>48.4</v>
      </c>
      <c r="E823" s="24" t="s">
        <v>796</v>
      </c>
      <c r="F823" s="24" t="s">
        <v>841</v>
      </c>
      <c r="G823" s="24">
        <v>168242</v>
      </c>
    </row>
    <row r="824" spans="1:7" x14ac:dyDescent="0.25">
      <c r="A824" s="24" t="s">
        <v>171</v>
      </c>
      <c r="B824" s="24" t="s">
        <v>58</v>
      </c>
      <c r="C824" s="24" t="s">
        <v>5</v>
      </c>
      <c r="D824" s="24">
        <v>0</v>
      </c>
      <c r="E824" s="24" t="s">
        <v>795</v>
      </c>
      <c r="F824" s="24"/>
      <c r="G824" s="24"/>
    </row>
    <row r="825" spans="1:7" x14ac:dyDescent="0.25">
      <c r="A825" s="24" t="s">
        <v>172</v>
      </c>
      <c r="B825" s="24" t="s">
        <v>32</v>
      </c>
      <c r="C825" s="24" t="s">
        <v>33</v>
      </c>
      <c r="D825" s="24">
        <v>0</v>
      </c>
      <c r="E825" s="24" t="s">
        <v>796</v>
      </c>
      <c r="F825" s="24" t="s">
        <v>842</v>
      </c>
      <c r="G825" s="24">
        <v>167853</v>
      </c>
    </row>
    <row r="826" spans="1:7" x14ac:dyDescent="0.25">
      <c r="A826" s="24" t="s">
        <v>172</v>
      </c>
      <c r="B826" s="24" t="s">
        <v>34</v>
      </c>
      <c r="C826" s="24" t="s">
        <v>31</v>
      </c>
      <c r="D826" s="24">
        <v>0</v>
      </c>
      <c r="E826" s="24" t="s">
        <v>796</v>
      </c>
      <c r="F826" s="24" t="s">
        <v>842</v>
      </c>
      <c r="G826" s="24">
        <v>167853</v>
      </c>
    </row>
    <row r="827" spans="1:7" x14ac:dyDescent="0.25">
      <c r="A827" s="24" t="s">
        <v>172</v>
      </c>
      <c r="B827" s="24" t="s">
        <v>35</v>
      </c>
      <c r="C827" s="24" t="s">
        <v>36</v>
      </c>
      <c r="D827" s="24">
        <v>2</v>
      </c>
      <c r="E827" s="24" t="s">
        <v>796</v>
      </c>
      <c r="F827" s="24" t="s">
        <v>842</v>
      </c>
      <c r="G827" s="24">
        <v>167853</v>
      </c>
    </row>
    <row r="828" spans="1:7" x14ac:dyDescent="0.25">
      <c r="A828" s="24" t="s">
        <v>172</v>
      </c>
      <c r="B828" s="24" t="s">
        <v>37</v>
      </c>
      <c r="C828" s="24" t="s">
        <v>38</v>
      </c>
      <c r="D828" s="24">
        <v>0.3</v>
      </c>
      <c r="E828" s="24" t="s">
        <v>796</v>
      </c>
      <c r="F828" s="24" t="s">
        <v>842</v>
      </c>
      <c r="G828" s="24">
        <v>167853</v>
      </c>
    </row>
    <row r="829" spans="1:7" x14ac:dyDescent="0.25">
      <c r="A829" s="24" t="s">
        <v>172</v>
      </c>
      <c r="B829" s="24" t="s">
        <v>39</v>
      </c>
      <c r="C829" s="24" t="s">
        <v>36</v>
      </c>
      <c r="D829" s="24">
        <v>0</v>
      </c>
      <c r="E829" s="24" t="s">
        <v>796</v>
      </c>
      <c r="F829" s="24" t="s">
        <v>842</v>
      </c>
      <c r="G829" s="24">
        <v>167853</v>
      </c>
    </row>
    <row r="830" spans="1:7" x14ac:dyDescent="0.25">
      <c r="A830" s="24" t="s">
        <v>172</v>
      </c>
      <c r="B830" s="24" t="s">
        <v>40</v>
      </c>
      <c r="C830" s="24" t="s">
        <v>31</v>
      </c>
      <c r="D830" s="24">
        <v>0.3</v>
      </c>
      <c r="E830" s="24" t="s">
        <v>796</v>
      </c>
      <c r="F830" s="24" t="s">
        <v>842</v>
      </c>
      <c r="G830" s="24">
        <v>167853</v>
      </c>
    </row>
    <row r="831" spans="1:7" x14ac:dyDescent="0.25">
      <c r="A831" s="24" t="s">
        <v>172</v>
      </c>
      <c r="B831" s="24" t="s">
        <v>41</v>
      </c>
      <c r="C831" s="24" t="s">
        <v>31</v>
      </c>
      <c r="D831" s="24">
        <v>0.2</v>
      </c>
      <c r="E831" s="24" t="s">
        <v>796</v>
      </c>
      <c r="F831" s="24" t="s">
        <v>842</v>
      </c>
      <c r="G831" s="24">
        <v>167853</v>
      </c>
    </row>
    <row r="832" spans="1:7" x14ac:dyDescent="0.25">
      <c r="A832" s="24" t="s">
        <v>172</v>
      </c>
      <c r="B832" s="24" t="s">
        <v>42</v>
      </c>
      <c r="C832" s="24" t="s">
        <v>43</v>
      </c>
      <c r="D832" s="24">
        <v>4.0999999999999996</v>
      </c>
      <c r="E832" s="24" t="s">
        <v>796</v>
      </c>
      <c r="F832" s="24" t="s">
        <v>842</v>
      </c>
      <c r="G832" s="24">
        <v>167853</v>
      </c>
    </row>
    <row r="833" spans="1:7" x14ac:dyDescent="0.25">
      <c r="A833" s="24" t="s">
        <v>172</v>
      </c>
      <c r="B833" s="24" t="s">
        <v>44</v>
      </c>
      <c r="C833" s="24" t="s">
        <v>31</v>
      </c>
      <c r="D833" s="24">
        <v>0.5</v>
      </c>
      <c r="E833" s="24" t="s">
        <v>796</v>
      </c>
      <c r="F833" s="24" t="s">
        <v>842</v>
      </c>
      <c r="G833" s="24">
        <v>167853</v>
      </c>
    </row>
    <row r="834" spans="1:7" x14ac:dyDescent="0.25">
      <c r="A834" s="24" t="s">
        <v>172</v>
      </c>
      <c r="B834" s="24" t="s">
        <v>45</v>
      </c>
      <c r="C834" s="24" t="s">
        <v>31</v>
      </c>
      <c r="D834" s="24">
        <v>0.5</v>
      </c>
      <c r="E834" s="24" t="s">
        <v>796</v>
      </c>
      <c r="F834" s="24" t="s">
        <v>842</v>
      </c>
      <c r="G834" s="24">
        <v>167853</v>
      </c>
    </row>
    <row r="835" spans="1:7" x14ac:dyDescent="0.25">
      <c r="A835" s="24" t="s">
        <v>172</v>
      </c>
      <c r="B835" s="24" t="s">
        <v>46</v>
      </c>
      <c r="C835" s="24" t="s">
        <v>36</v>
      </c>
      <c r="D835" s="24">
        <v>0.3</v>
      </c>
      <c r="E835" s="24" t="s">
        <v>796</v>
      </c>
      <c r="F835" s="24" t="s">
        <v>842</v>
      </c>
      <c r="G835" s="24">
        <v>167853</v>
      </c>
    </row>
    <row r="836" spans="1:7" x14ac:dyDescent="0.25">
      <c r="A836" s="24" t="s">
        <v>172</v>
      </c>
      <c r="B836" s="24" t="s">
        <v>47</v>
      </c>
      <c r="C836" s="24" t="s">
        <v>48</v>
      </c>
      <c r="D836" s="24">
        <v>0</v>
      </c>
      <c r="E836" s="24" t="s">
        <v>796</v>
      </c>
      <c r="F836" s="24" t="s">
        <v>842</v>
      </c>
      <c r="G836" s="24">
        <v>167853</v>
      </c>
    </row>
    <row r="837" spans="1:7" x14ac:dyDescent="0.25">
      <c r="A837" s="24" t="s">
        <v>172</v>
      </c>
      <c r="B837" s="24" t="s">
        <v>50</v>
      </c>
      <c r="C837" s="24" t="s">
        <v>31</v>
      </c>
      <c r="D837" s="24">
        <v>211</v>
      </c>
      <c r="E837" s="24" t="s">
        <v>796</v>
      </c>
      <c r="F837" s="24" t="s">
        <v>842</v>
      </c>
      <c r="G837" s="24">
        <v>167853</v>
      </c>
    </row>
    <row r="838" spans="1:7" x14ac:dyDescent="0.25">
      <c r="A838" s="24" t="s">
        <v>172</v>
      </c>
      <c r="B838" s="24" t="s">
        <v>51</v>
      </c>
      <c r="C838" s="24" t="s">
        <v>31</v>
      </c>
      <c r="D838" s="24">
        <v>13.1</v>
      </c>
      <c r="E838" s="24" t="s">
        <v>796</v>
      </c>
      <c r="F838" s="24" t="s">
        <v>842</v>
      </c>
      <c r="G838" s="24">
        <v>167853</v>
      </c>
    </row>
    <row r="839" spans="1:7" x14ac:dyDescent="0.25">
      <c r="A839" s="24" t="s">
        <v>172</v>
      </c>
      <c r="B839" s="24" t="s">
        <v>52</v>
      </c>
      <c r="C839" s="24" t="s">
        <v>31</v>
      </c>
      <c r="D839" s="24">
        <v>123</v>
      </c>
      <c r="E839" s="24" t="s">
        <v>796</v>
      </c>
      <c r="F839" s="24" t="s">
        <v>842</v>
      </c>
      <c r="G839" s="24">
        <v>167853</v>
      </c>
    </row>
    <row r="840" spans="1:7" x14ac:dyDescent="0.25">
      <c r="A840" s="24" t="s">
        <v>172</v>
      </c>
      <c r="B840" s="24" t="s">
        <v>53</v>
      </c>
      <c r="C840" s="24" t="s">
        <v>31</v>
      </c>
      <c r="D840" s="24">
        <v>14</v>
      </c>
      <c r="E840" s="24" t="s">
        <v>796</v>
      </c>
      <c r="F840" s="24" t="s">
        <v>842</v>
      </c>
      <c r="G840" s="24">
        <v>167853</v>
      </c>
    </row>
    <row r="841" spans="1:7" x14ac:dyDescent="0.25">
      <c r="A841" s="24" t="s">
        <v>172</v>
      </c>
      <c r="B841" s="24" t="s">
        <v>54</v>
      </c>
      <c r="C841" s="24" t="s">
        <v>31</v>
      </c>
      <c r="D841" s="24">
        <v>0.8</v>
      </c>
      <c r="E841" s="24" t="s">
        <v>796</v>
      </c>
      <c r="F841" s="24" t="s">
        <v>842</v>
      </c>
      <c r="G841" s="24">
        <v>167853</v>
      </c>
    </row>
    <row r="842" spans="1:7" x14ac:dyDescent="0.25">
      <c r="A842" s="24" t="s">
        <v>172</v>
      </c>
      <c r="B842" s="24" t="s">
        <v>55</v>
      </c>
      <c r="C842" s="24" t="s">
        <v>31</v>
      </c>
      <c r="D842" s="24">
        <v>2.2000000000000002</v>
      </c>
      <c r="E842" s="24" t="s">
        <v>796</v>
      </c>
      <c r="F842" s="24" t="s">
        <v>842</v>
      </c>
      <c r="G842" s="24">
        <v>167853</v>
      </c>
    </row>
    <row r="843" spans="1:7" x14ac:dyDescent="0.25">
      <c r="A843" s="24" t="s">
        <v>172</v>
      </c>
      <c r="B843" s="24" t="s">
        <v>56</v>
      </c>
      <c r="C843" s="24" t="s">
        <v>31</v>
      </c>
      <c r="D843" s="24">
        <v>0.1</v>
      </c>
      <c r="E843" s="24" t="s">
        <v>796</v>
      </c>
      <c r="F843" s="24" t="s">
        <v>842</v>
      </c>
      <c r="G843" s="24">
        <v>167853</v>
      </c>
    </row>
    <row r="844" spans="1:7" x14ac:dyDescent="0.25">
      <c r="A844" s="24" t="s">
        <v>172</v>
      </c>
      <c r="B844" s="24" t="s">
        <v>57</v>
      </c>
      <c r="C844" s="24" t="s">
        <v>36</v>
      </c>
      <c r="D844" s="24">
        <v>19.2</v>
      </c>
      <c r="E844" s="24" t="s">
        <v>796</v>
      </c>
      <c r="F844" s="24" t="s">
        <v>842</v>
      </c>
      <c r="G844" s="24">
        <v>167853</v>
      </c>
    </row>
    <row r="845" spans="1:7" x14ac:dyDescent="0.25">
      <c r="A845" s="24" t="s">
        <v>172</v>
      </c>
      <c r="B845" s="24" t="s">
        <v>58</v>
      </c>
      <c r="C845" s="24" t="s">
        <v>5</v>
      </c>
      <c r="D845" s="24">
        <v>0</v>
      </c>
      <c r="E845" s="24" t="s">
        <v>795</v>
      </c>
      <c r="F845" s="24"/>
      <c r="G845" s="24"/>
    </row>
    <row r="846" spans="1:7" x14ac:dyDescent="0.25">
      <c r="A846" s="24" t="s">
        <v>173</v>
      </c>
      <c r="B846" s="24" t="s">
        <v>32</v>
      </c>
      <c r="C846" s="24" t="s">
        <v>33</v>
      </c>
      <c r="D846" s="24">
        <v>0</v>
      </c>
      <c r="E846" s="24" t="s">
        <v>796</v>
      </c>
      <c r="F846" s="24" t="s">
        <v>842</v>
      </c>
      <c r="G846" s="24">
        <v>167853</v>
      </c>
    </row>
    <row r="847" spans="1:7" x14ac:dyDescent="0.25">
      <c r="A847" s="24" t="s">
        <v>173</v>
      </c>
      <c r="B847" s="24" t="s">
        <v>34</v>
      </c>
      <c r="C847" s="24" t="s">
        <v>31</v>
      </c>
      <c r="D847" s="24">
        <v>0</v>
      </c>
      <c r="E847" s="24" t="s">
        <v>796</v>
      </c>
      <c r="F847" s="24" t="s">
        <v>842</v>
      </c>
      <c r="G847" s="24">
        <v>167853</v>
      </c>
    </row>
    <row r="848" spans="1:7" x14ac:dyDescent="0.25">
      <c r="A848" s="24" t="s">
        <v>173</v>
      </c>
      <c r="B848" s="24" t="s">
        <v>35</v>
      </c>
      <c r="C848" s="24" t="s">
        <v>36</v>
      </c>
      <c r="D848" s="24">
        <v>1.9</v>
      </c>
      <c r="E848" s="24" t="s">
        <v>796</v>
      </c>
      <c r="F848" s="24" t="s">
        <v>842</v>
      </c>
      <c r="G848" s="24">
        <v>167853</v>
      </c>
    </row>
    <row r="849" spans="1:7" x14ac:dyDescent="0.25">
      <c r="A849" s="24" t="s">
        <v>173</v>
      </c>
      <c r="B849" s="24" t="s">
        <v>37</v>
      </c>
      <c r="C849" s="24" t="s">
        <v>38</v>
      </c>
      <c r="D849" s="24">
        <v>0.3</v>
      </c>
      <c r="E849" s="24" t="s">
        <v>796</v>
      </c>
      <c r="F849" s="24" t="s">
        <v>842</v>
      </c>
      <c r="G849" s="24">
        <v>167853</v>
      </c>
    </row>
    <row r="850" spans="1:7" x14ac:dyDescent="0.25">
      <c r="A850" s="24" t="s">
        <v>173</v>
      </c>
      <c r="B850" s="24" t="s">
        <v>39</v>
      </c>
      <c r="C850" s="24" t="s">
        <v>36</v>
      </c>
      <c r="D850" s="24">
        <v>0</v>
      </c>
      <c r="E850" s="24" t="s">
        <v>796</v>
      </c>
      <c r="F850" s="24" t="s">
        <v>842</v>
      </c>
      <c r="G850" s="24">
        <v>167853</v>
      </c>
    </row>
    <row r="851" spans="1:7" x14ac:dyDescent="0.25">
      <c r="A851" s="24" t="s">
        <v>173</v>
      </c>
      <c r="B851" s="24" t="s">
        <v>40</v>
      </c>
      <c r="C851" s="24" t="s">
        <v>31</v>
      </c>
      <c r="D851" s="24">
        <v>0.3</v>
      </c>
      <c r="E851" s="24" t="s">
        <v>796</v>
      </c>
      <c r="F851" s="24" t="s">
        <v>842</v>
      </c>
      <c r="G851" s="24">
        <v>167853</v>
      </c>
    </row>
    <row r="852" spans="1:7" x14ac:dyDescent="0.25">
      <c r="A852" s="24" t="s">
        <v>173</v>
      </c>
      <c r="B852" s="24" t="s">
        <v>41</v>
      </c>
      <c r="C852" s="24" t="s">
        <v>31</v>
      </c>
      <c r="D852" s="24">
        <v>0.2</v>
      </c>
      <c r="E852" s="24" t="s">
        <v>796</v>
      </c>
      <c r="F852" s="24" t="s">
        <v>842</v>
      </c>
      <c r="G852" s="24">
        <v>167853</v>
      </c>
    </row>
    <row r="853" spans="1:7" x14ac:dyDescent="0.25">
      <c r="A853" s="24" t="s">
        <v>173</v>
      </c>
      <c r="B853" s="24" t="s">
        <v>42</v>
      </c>
      <c r="C853" s="24" t="s">
        <v>43</v>
      </c>
      <c r="D853" s="24">
        <v>3.9</v>
      </c>
      <c r="E853" s="24" t="s">
        <v>796</v>
      </c>
      <c r="F853" s="24" t="s">
        <v>842</v>
      </c>
      <c r="G853" s="24">
        <v>167853</v>
      </c>
    </row>
    <row r="854" spans="1:7" x14ac:dyDescent="0.25">
      <c r="A854" s="24" t="s">
        <v>173</v>
      </c>
      <c r="B854" s="24" t="s">
        <v>44</v>
      </c>
      <c r="C854" s="24" t="s">
        <v>31</v>
      </c>
      <c r="D854" s="24">
        <v>0.5</v>
      </c>
      <c r="E854" s="24" t="s">
        <v>796</v>
      </c>
      <c r="F854" s="24" t="s">
        <v>842</v>
      </c>
      <c r="G854" s="24">
        <v>167853</v>
      </c>
    </row>
    <row r="855" spans="1:7" x14ac:dyDescent="0.25">
      <c r="A855" s="24" t="s">
        <v>173</v>
      </c>
      <c r="B855" s="24" t="s">
        <v>45</v>
      </c>
      <c r="C855" s="24" t="s">
        <v>31</v>
      </c>
      <c r="D855" s="24">
        <v>0.5</v>
      </c>
      <c r="E855" s="24" t="s">
        <v>796</v>
      </c>
      <c r="F855" s="24" t="s">
        <v>842</v>
      </c>
      <c r="G855" s="24">
        <v>167853</v>
      </c>
    </row>
    <row r="856" spans="1:7" x14ac:dyDescent="0.25">
      <c r="A856" s="24" t="s">
        <v>173</v>
      </c>
      <c r="B856" s="24" t="s">
        <v>46</v>
      </c>
      <c r="C856" s="24" t="s">
        <v>36</v>
      </c>
      <c r="D856" s="24">
        <v>0.3</v>
      </c>
      <c r="E856" s="24" t="s">
        <v>796</v>
      </c>
      <c r="F856" s="24" t="s">
        <v>842</v>
      </c>
      <c r="G856" s="24">
        <v>167853</v>
      </c>
    </row>
    <row r="857" spans="1:7" x14ac:dyDescent="0.25">
      <c r="A857" s="24" t="s">
        <v>173</v>
      </c>
      <c r="B857" s="24" t="s">
        <v>47</v>
      </c>
      <c r="C857" s="24" t="s">
        <v>48</v>
      </c>
      <c r="D857" s="24">
        <v>0</v>
      </c>
      <c r="E857" s="24" t="s">
        <v>796</v>
      </c>
      <c r="F857" s="24" t="s">
        <v>842</v>
      </c>
      <c r="G857" s="24">
        <v>167853</v>
      </c>
    </row>
    <row r="858" spans="1:7" x14ac:dyDescent="0.25">
      <c r="A858" s="24" t="s">
        <v>173</v>
      </c>
      <c r="B858" s="24" t="s">
        <v>50</v>
      </c>
      <c r="C858" s="24" t="s">
        <v>31</v>
      </c>
      <c r="D858" s="24">
        <v>204.4</v>
      </c>
      <c r="E858" s="24" t="s">
        <v>796</v>
      </c>
      <c r="F858" s="24" t="s">
        <v>842</v>
      </c>
      <c r="G858" s="24">
        <v>167853</v>
      </c>
    </row>
    <row r="859" spans="1:7" x14ac:dyDescent="0.25">
      <c r="A859" s="24" t="s">
        <v>173</v>
      </c>
      <c r="B859" s="24" t="s">
        <v>51</v>
      </c>
      <c r="C859" s="24" t="s">
        <v>31</v>
      </c>
      <c r="D859" s="24">
        <v>12.7</v>
      </c>
      <c r="E859" s="24" t="s">
        <v>796</v>
      </c>
      <c r="F859" s="24" t="s">
        <v>842</v>
      </c>
      <c r="G859" s="24">
        <v>167853</v>
      </c>
    </row>
    <row r="860" spans="1:7" x14ac:dyDescent="0.25">
      <c r="A860" s="24" t="s">
        <v>173</v>
      </c>
      <c r="B860" s="24" t="s">
        <v>52</v>
      </c>
      <c r="C860" s="24" t="s">
        <v>31</v>
      </c>
      <c r="D860" s="24">
        <v>119.1</v>
      </c>
      <c r="E860" s="24" t="s">
        <v>796</v>
      </c>
      <c r="F860" s="24" t="s">
        <v>842</v>
      </c>
      <c r="G860" s="24">
        <v>167853</v>
      </c>
    </row>
    <row r="861" spans="1:7" x14ac:dyDescent="0.25">
      <c r="A861" s="24" t="s">
        <v>173</v>
      </c>
      <c r="B861" s="24" t="s">
        <v>53</v>
      </c>
      <c r="C861" s="24" t="s">
        <v>31</v>
      </c>
      <c r="D861" s="24">
        <v>13.5</v>
      </c>
      <c r="E861" s="24" t="s">
        <v>796</v>
      </c>
      <c r="F861" s="24" t="s">
        <v>842</v>
      </c>
      <c r="G861" s="24">
        <v>167853</v>
      </c>
    </row>
    <row r="862" spans="1:7" x14ac:dyDescent="0.25">
      <c r="A862" s="24" t="s">
        <v>173</v>
      </c>
      <c r="B862" s="24" t="s">
        <v>54</v>
      </c>
      <c r="C862" s="24" t="s">
        <v>31</v>
      </c>
      <c r="D862" s="24">
        <v>0.8</v>
      </c>
      <c r="E862" s="24" t="s">
        <v>796</v>
      </c>
      <c r="F862" s="24" t="s">
        <v>842</v>
      </c>
      <c r="G862" s="24">
        <v>167853</v>
      </c>
    </row>
    <row r="863" spans="1:7" x14ac:dyDescent="0.25">
      <c r="A863" s="24" t="s">
        <v>173</v>
      </c>
      <c r="B863" s="24" t="s">
        <v>55</v>
      </c>
      <c r="C863" s="24" t="s">
        <v>31</v>
      </c>
      <c r="D863" s="24">
        <v>2.1</v>
      </c>
      <c r="E863" s="24" t="s">
        <v>796</v>
      </c>
      <c r="F863" s="24" t="s">
        <v>842</v>
      </c>
      <c r="G863" s="24">
        <v>167853</v>
      </c>
    </row>
    <row r="864" spans="1:7" x14ac:dyDescent="0.25">
      <c r="A864" s="24" t="s">
        <v>173</v>
      </c>
      <c r="B864" s="24" t="s">
        <v>56</v>
      </c>
      <c r="C864" s="24" t="s">
        <v>31</v>
      </c>
      <c r="D864" s="24">
        <v>0.1</v>
      </c>
      <c r="E864" s="24" t="s">
        <v>796</v>
      </c>
      <c r="F864" s="24" t="s">
        <v>842</v>
      </c>
      <c r="G864" s="24">
        <v>167853</v>
      </c>
    </row>
    <row r="865" spans="1:7" x14ac:dyDescent="0.25">
      <c r="A865" s="24" t="s">
        <v>173</v>
      </c>
      <c r="B865" s="24" t="s">
        <v>57</v>
      </c>
      <c r="C865" s="24" t="s">
        <v>36</v>
      </c>
      <c r="D865" s="24">
        <v>18.600000000000001</v>
      </c>
      <c r="E865" s="24" t="s">
        <v>796</v>
      </c>
      <c r="F865" s="24" t="s">
        <v>842</v>
      </c>
      <c r="G865" s="24">
        <v>167853</v>
      </c>
    </row>
    <row r="866" spans="1:7" x14ac:dyDescent="0.25">
      <c r="A866" s="24" t="s">
        <v>173</v>
      </c>
      <c r="B866" s="24" t="s">
        <v>58</v>
      </c>
      <c r="C866" s="24" t="s">
        <v>5</v>
      </c>
      <c r="D866" s="24">
        <v>0</v>
      </c>
      <c r="E866" s="24" t="s">
        <v>795</v>
      </c>
      <c r="F866" s="24"/>
      <c r="G866" s="24"/>
    </row>
    <row r="867" spans="1:7" x14ac:dyDescent="0.25">
      <c r="A867" s="24" t="s">
        <v>174</v>
      </c>
      <c r="B867" s="24" t="s">
        <v>23</v>
      </c>
      <c r="C867" s="24" t="s">
        <v>5</v>
      </c>
      <c r="D867" s="24">
        <v>0</v>
      </c>
      <c r="E867" s="24" t="s">
        <v>796</v>
      </c>
      <c r="F867" s="24" t="s">
        <v>838</v>
      </c>
      <c r="G867" s="24">
        <v>168249</v>
      </c>
    </row>
    <row r="868" spans="1:7" x14ac:dyDescent="0.25">
      <c r="A868" s="24" t="s">
        <v>174</v>
      </c>
      <c r="B868" s="24" t="s">
        <v>29</v>
      </c>
      <c r="C868" s="24" t="s">
        <v>5</v>
      </c>
      <c r="D868" s="24">
        <v>0.05</v>
      </c>
      <c r="E868" s="24" t="s">
        <v>799</v>
      </c>
      <c r="F868" s="24" t="s">
        <v>838</v>
      </c>
      <c r="G868" s="24">
        <v>168249</v>
      </c>
    </row>
    <row r="869" spans="1:7" x14ac:dyDescent="0.25">
      <c r="A869" s="24" t="s">
        <v>174</v>
      </c>
      <c r="B869" s="24" t="s">
        <v>30</v>
      </c>
      <c r="C869" s="24" t="s">
        <v>31</v>
      </c>
      <c r="D869" s="24">
        <v>65</v>
      </c>
      <c r="E869" s="24" t="s">
        <v>801</v>
      </c>
      <c r="F869" s="24" t="s">
        <v>838</v>
      </c>
      <c r="G869" s="24">
        <v>168249</v>
      </c>
    </row>
    <row r="870" spans="1:7" x14ac:dyDescent="0.25">
      <c r="A870" s="24" t="s">
        <v>174</v>
      </c>
      <c r="B870" s="24" t="s">
        <v>32</v>
      </c>
      <c r="C870" s="24" t="s">
        <v>33</v>
      </c>
      <c r="D870" s="24">
        <v>0</v>
      </c>
      <c r="E870" s="24" t="s">
        <v>796</v>
      </c>
      <c r="F870" s="24" t="s">
        <v>838</v>
      </c>
      <c r="G870" s="24">
        <v>168249</v>
      </c>
    </row>
    <row r="871" spans="1:7" x14ac:dyDescent="0.25">
      <c r="A871" s="24" t="s">
        <v>174</v>
      </c>
      <c r="B871" s="24" t="s">
        <v>34</v>
      </c>
      <c r="C871" s="24" t="s">
        <v>31</v>
      </c>
      <c r="D871" s="24">
        <v>0</v>
      </c>
      <c r="E871" s="24" t="s">
        <v>796</v>
      </c>
      <c r="F871" s="24" t="s">
        <v>838</v>
      </c>
      <c r="G871" s="24">
        <v>168249</v>
      </c>
    </row>
    <row r="872" spans="1:7" x14ac:dyDescent="0.25">
      <c r="A872" s="24" t="s">
        <v>174</v>
      </c>
      <c r="B872" s="24" t="s">
        <v>35</v>
      </c>
      <c r="C872" s="24" t="s">
        <v>36</v>
      </c>
      <c r="D872" s="24">
        <v>0.2</v>
      </c>
      <c r="E872" s="24" t="s">
        <v>796</v>
      </c>
      <c r="F872" s="24" t="s">
        <v>838</v>
      </c>
      <c r="G872" s="24">
        <v>168249</v>
      </c>
    </row>
    <row r="873" spans="1:7" x14ac:dyDescent="0.25">
      <c r="A873" s="24" t="s">
        <v>174</v>
      </c>
      <c r="B873" s="24" t="s">
        <v>37</v>
      </c>
      <c r="C873" s="24" t="s">
        <v>38</v>
      </c>
      <c r="D873" s="24">
        <v>0.2</v>
      </c>
      <c r="E873" s="24" t="s">
        <v>796</v>
      </c>
      <c r="F873" s="24" t="s">
        <v>838</v>
      </c>
      <c r="G873" s="24">
        <v>168249</v>
      </c>
    </row>
    <row r="874" spans="1:7" x14ac:dyDescent="0.25">
      <c r="A874" s="24" t="s">
        <v>174</v>
      </c>
      <c r="B874" s="24" t="s">
        <v>39</v>
      </c>
      <c r="C874" s="24" t="s">
        <v>36</v>
      </c>
      <c r="D874" s="24">
        <v>0</v>
      </c>
      <c r="E874" s="24" t="s">
        <v>796</v>
      </c>
      <c r="F874" s="24" t="s">
        <v>838</v>
      </c>
      <c r="G874" s="24">
        <v>168249</v>
      </c>
    </row>
    <row r="875" spans="1:7" x14ac:dyDescent="0.25">
      <c r="A875" s="24" t="s">
        <v>174</v>
      </c>
      <c r="B875" s="24" t="s">
        <v>40</v>
      </c>
      <c r="C875" s="24" t="s">
        <v>31</v>
      </c>
      <c r="D875" s="24">
        <v>1.1000000000000001</v>
      </c>
      <c r="E875" s="24" t="s">
        <v>796</v>
      </c>
      <c r="F875" s="24" t="s">
        <v>838</v>
      </c>
      <c r="G875" s="24">
        <v>168249</v>
      </c>
    </row>
    <row r="876" spans="1:7" x14ac:dyDescent="0.25">
      <c r="A876" s="24" t="s">
        <v>174</v>
      </c>
      <c r="B876" s="24" t="s">
        <v>41</v>
      </c>
      <c r="C876" s="24" t="s">
        <v>31</v>
      </c>
      <c r="D876" s="24">
        <v>0.4</v>
      </c>
      <c r="E876" s="24" t="s">
        <v>796</v>
      </c>
      <c r="F876" s="24" t="s">
        <v>838</v>
      </c>
      <c r="G876" s="24">
        <v>168249</v>
      </c>
    </row>
    <row r="877" spans="1:7" x14ac:dyDescent="0.25">
      <c r="A877" s="24" t="s">
        <v>174</v>
      </c>
      <c r="B877" s="24" t="s">
        <v>42</v>
      </c>
      <c r="C877" s="24" t="s">
        <v>43</v>
      </c>
      <c r="D877" s="24">
        <v>7.6</v>
      </c>
      <c r="E877" s="24" t="s">
        <v>796</v>
      </c>
      <c r="F877" s="24" t="s">
        <v>838</v>
      </c>
      <c r="G877" s="24">
        <v>168249</v>
      </c>
    </row>
    <row r="878" spans="1:7" x14ac:dyDescent="0.25">
      <c r="A878" s="24" t="s">
        <v>174</v>
      </c>
      <c r="B878" s="24" t="s">
        <v>44</v>
      </c>
      <c r="C878" s="24" t="s">
        <v>31</v>
      </c>
      <c r="D878" s="24">
        <v>0.9</v>
      </c>
      <c r="E878" s="24" t="s">
        <v>796</v>
      </c>
      <c r="F878" s="24" t="s">
        <v>838</v>
      </c>
      <c r="G878" s="24">
        <v>168249</v>
      </c>
    </row>
    <row r="879" spans="1:7" x14ac:dyDescent="0.25">
      <c r="A879" s="24" t="s">
        <v>174</v>
      </c>
      <c r="B879" s="24" t="s">
        <v>45</v>
      </c>
      <c r="C879" s="24" t="s">
        <v>31</v>
      </c>
      <c r="D879" s="24">
        <v>1</v>
      </c>
      <c r="E879" s="24" t="s">
        <v>796</v>
      </c>
      <c r="F879" s="24" t="s">
        <v>838</v>
      </c>
      <c r="G879" s="24">
        <v>168249</v>
      </c>
    </row>
    <row r="880" spans="1:7" x14ac:dyDescent="0.25">
      <c r="A880" s="24" t="s">
        <v>174</v>
      </c>
      <c r="B880" s="24" t="s">
        <v>46</v>
      </c>
      <c r="C880" s="24" t="s">
        <v>36</v>
      </c>
      <c r="D880" s="24">
        <v>0.6</v>
      </c>
      <c r="E880" s="24" t="s">
        <v>796</v>
      </c>
      <c r="F880" s="24" t="s">
        <v>838</v>
      </c>
      <c r="G880" s="24">
        <v>168249</v>
      </c>
    </row>
    <row r="881" spans="1:7" x14ac:dyDescent="0.25">
      <c r="A881" s="24" t="s">
        <v>174</v>
      </c>
      <c r="B881" s="24" t="s">
        <v>47</v>
      </c>
      <c r="C881" s="24" t="s">
        <v>48</v>
      </c>
      <c r="D881" s="24">
        <v>0</v>
      </c>
      <c r="E881" s="24" t="s">
        <v>796</v>
      </c>
      <c r="F881" s="24" t="s">
        <v>838</v>
      </c>
      <c r="G881" s="24">
        <v>168249</v>
      </c>
    </row>
    <row r="882" spans="1:7" x14ac:dyDescent="0.25">
      <c r="A882" s="24" t="s">
        <v>174</v>
      </c>
      <c r="B882" s="24" t="s">
        <v>53</v>
      </c>
      <c r="C882" s="24" t="s">
        <v>31</v>
      </c>
      <c r="D882" s="24">
        <v>30.6</v>
      </c>
      <c r="E882" s="24" t="s">
        <v>796</v>
      </c>
      <c r="F882" s="24" t="s">
        <v>838</v>
      </c>
      <c r="G882" s="24">
        <v>168249</v>
      </c>
    </row>
    <row r="883" spans="1:7" x14ac:dyDescent="0.25">
      <c r="A883" s="24" t="s">
        <v>174</v>
      </c>
      <c r="B883" s="24" t="s">
        <v>55</v>
      </c>
      <c r="C883" s="24" t="s">
        <v>31</v>
      </c>
      <c r="D883" s="24">
        <v>2.1</v>
      </c>
      <c r="E883" s="24" t="s">
        <v>796</v>
      </c>
      <c r="F883" s="24" t="s">
        <v>838</v>
      </c>
      <c r="G883" s="24">
        <v>168249</v>
      </c>
    </row>
    <row r="884" spans="1:7" x14ac:dyDescent="0.25">
      <c r="A884" s="24" t="s">
        <v>174</v>
      </c>
      <c r="B884" s="24" t="s">
        <v>56</v>
      </c>
      <c r="C884" s="24" t="s">
        <v>31</v>
      </c>
      <c r="D884" s="24">
        <v>0.1</v>
      </c>
      <c r="E884" s="24" t="s">
        <v>796</v>
      </c>
      <c r="F884" s="24" t="s">
        <v>838</v>
      </c>
      <c r="G884" s="24">
        <v>168249</v>
      </c>
    </row>
    <row r="885" spans="1:7" x14ac:dyDescent="0.25">
      <c r="A885" s="24" t="s">
        <v>174</v>
      </c>
      <c r="B885" s="24" t="s">
        <v>57</v>
      </c>
      <c r="C885" s="24" t="s">
        <v>36</v>
      </c>
      <c r="D885" s="24">
        <v>34.9</v>
      </c>
      <c r="E885" s="24" t="s">
        <v>796</v>
      </c>
      <c r="F885" s="24" t="s">
        <v>838</v>
      </c>
      <c r="G885" s="24">
        <v>168249</v>
      </c>
    </row>
    <row r="886" spans="1:7" x14ac:dyDescent="0.25">
      <c r="A886" s="24" t="s">
        <v>174</v>
      </c>
      <c r="B886" s="24" t="s">
        <v>58</v>
      </c>
      <c r="C886" s="24" t="s">
        <v>5</v>
      </c>
      <c r="D886" s="24">
        <v>0</v>
      </c>
      <c r="E886" s="24" t="s">
        <v>795</v>
      </c>
      <c r="F886" s="24"/>
      <c r="G886" s="24"/>
    </row>
    <row r="887" spans="1:7" x14ac:dyDescent="0.25">
      <c r="A887" s="24" t="s">
        <v>175</v>
      </c>
      <c r="B887" s="24" t="s">
        <v>23</v>
      </c>
      <c r="C887" s="24" t="s">
        <v>5</v>
      </c>
      <c r="D887" s="24">
        <v>0</v>
      </c>
      <c r="E887" s="24" t="s">
        <v>796</v>
      </c>
      <c r="F887" s="24" t="s">
        <v>843</v>
      </c>
      <c r="G887" s="24">
        <v>168224</v>
      </c>
    </row>
    <row r="888" spans="1:7" x14ac:dyDescent="0.25">
      <c r="A888" s="24" t="s">
        <v>175</v>
      </c>
      <c r="B888" s="24" t="s">
        <v>30</v>
      </c>
      <c r="C888" s="24" t="s">
        <v>31</v>
      </c>
      <c r="D888" s="24">
        <v>68</v>
      </c>
      <c r="E888" s="24" t="s">
        <v>801</v>
      </c>
      <c r="F888" s="24" t="s">
        <v>843</v>
      </c>
      <c r="G888" s="24">
        <v>168224</v>
      </c>
    </row>
    <row r="889" spans="1:7" x14ac:dyDescent="0.25">
      <c r="A889" s="24" t="s">
        <v>175</v>
      </c>
      <c r="B889" s="24" t="s">
        <v>32</v>
      </c>
      <c r="C889" s="24" t="s">
        <v>33</v>
      </c>
      <c r="D889" s="24">
        <v>2.1</v>
      </c>
      <c r="E889" s="24" t="s">
        <v>796</v>
      </c>
      <c r="F889" s="24" t="s">
        <v>843</v>
      </c>
      <c r="G889" s="24">
        <v>168224</v>
      </c>
    </row>
    <row r="890" spans="1:7" x14ac:dyDescent="0.25">
      <c r="A890" s="24" t="s">
        <v>175</v>
      </c>
      <c r="B890" s="24" t="s">
        <v>34</v>
      </c>
      <c r="C890" s="24" t="s">
        <v>31</v>
      </c>
      <c r="D890" s="24">
        <v>0.9</v>
      </c>
      <c r="E890" s="24" t="s">
        <v>796</v>
      </c>
      <c r="F890" s="24" t="s">
        <v>843</v>
      </c>
      <c r="G890" s="24">
        <v>168224</v>
      </c>
    </row>
    <row r="891" spans="1:7" x14ac:dyDescent="0.25">
      <c r="A891" s="24" t="s">
        <v>175</v>
      </c>
      <c r="B891" s="24" t="s">
        <v>35</v>
      </c>
      <c r="C891" s="24" t="s">
        <v>36</v>
      </c>
      <c r="D891" s="24">
        <v>0.6</v>
      </c>
      <c r="E891" s="24" t="s">
        <v>796</v>
      </c>
      <c r="F891" s="24" t="s">
        <v>843</v>
      </c>
      <c r="G891" s="24">
        <v>168224</v>
      </c>
    </row>
    <row r="892" spans="1:7" x14ac:dyDescent="0.25">
      <c r="A892" s="24" t="s">
        <v>175</v>
      </c>
      <c r="B892" s="24" t="s">
        <v>37</v>
      </c>
      <c r="C892" s="24" t="s">
        <v>38</v>
      </c>
      <c r="D892" s="24">
        <v>0.2</v>
      </c>
      <c r="E892" s="24" t="s">
        <v>796</v>
      </c>
      <c r="F892" s="24" t="s">
        <v>843</v>
      </c>
      <c r="G892" s="24">
        <v>168224</v>
      </c>
    </row>
    <row r="893" spans="1:7" x14ac:dyDescent="0.25">
      <c r="A893" s="24" t="s">
        <v>175</v>
      </c>
      <c r="B893" s="24" t="s">
        <v>39</v>
      </c>
      <c r="C893" s="24" t="s">
        <v>36</v>
      </c>
      <c r="D893" s="24">
        <v>0</v>
      </c>
      <c r="E893" s="24" t="s">
        <v>796</v>
      </c>
      <c r="F893" s="24" t="s">
        <v>843</v>
      </c>
      <c r="G893" s="24">
        <v>168224</v>
      </c>
    </row>
    <row r="894" spans="1:7" x14ac:dyDescent="0.25">
      <c r="A894" s="24" t="s">
        <v>175</v>
      </c>
      <c r="B894" s="24" t="s">
        <v>40</v>
      </c>
      <c r="C894" s="24" t="s">
        <v>31</v>
      </c>
      <c r="D894" s="24">
        <v>0.9</v>
      </c>
      <c r="E894" s="24" t="s">
        <v>796</v>
      </c>
      <c r="F894" s="24" t="s">
        <v>843</v>
      </c>
      <c r="G894" s="24">
        <v>168224</v>
      </c>
    </row>
    <row r="895" spans="1:7" x14ac:dyDescent="0.25">
      <c r="A895" s="24" t="s">
        <v>175</v>
      </c>
      <c r="B895" s="24" t="s">
        <v>41</v>
      </c>
      <c r="C895" s="24" t="s">
        <v>31</v>
      </c>
      <c r="D895" s="24">
        <v>0.2</v>
      </c>
      <c r="E895" s="24" t="s">
        <v>796</v>
      </c>
      <c r="F895" s="24" t="s">
        <v>843</v>
      </c>
      <c r="G895" s="24">
        <v>168224</v>
      </c>
    </row>
    <row r="896" spans="1:7" x14ac:dyDescent="0.25">
      <c r="A896" s="24" t="s">
        <v>175</v>
      </c>
      <c r="B896" s="24" t="s">
        <v>42</v>
      </c>
      <c r="C896" s="24" t="s">
        <v>43</v>
      </c>
      <c r="D896" s="24">
        <v>5.6</v>
      </c>
      <c r="E896" s="24" t="s">
        <v>796</v>
      </c>
      <c r="F896" s="24" t="s">
        <v>843</v>
      </c>
      <c r="G896" s="24">
        <v>168224</v>
      </c>
    </row>
    <row r="897" spans="1:7" x14ac:dyDescent="0.25">
      <c r="A897" s="24" t="s">
        <v>175</v>
      </c>
      <c r="B897" s="24" t="s">
        <v>44</v>
      </c>
      <c r="C897" s="24" t="s">
        <v>31</v>
      </c>
      <c r="D897" s="24">
        <v>0.5</v>
      </c>
      <c r="E897" s="24" t="s">
        <v>796</v>
      </c>
      <c r="F897" s="24" t="s">
        <v>843</v>
      </c>
      <c r="G897" s="24">
        <v>168224</v>
      </c>
    </row>
    <row r="898" spans="1:7" x14ac:dyDescent="0.25">
      <c r="A898" s="24" t="s">
        <v>175</v>
      </c>
      <c r="B898" s="24" t="s">
        <v>45</v>
      </c>
      <c r="C898" s="24" t="s">
        <v>31</v>
      </c>
      <c r="D898" s="24">
        <v>0.8</v>
      </c>
      <c r="E898" s="24" t="s">
        <v>796</v>
      </c>
      <c r="F898" s="24" t="s">
        <v>843</v>
      </c>
      <c r="G898" s="24">
        <v>168224</v>
      </c>
    </row>
    <row r="899" spans="1:7" x14ac:dyDescent="0.25">
      <c r="A899" s="24" t="s">
        <v>175</v>
      </c>
      <c r="B899" s="24" t="s">
        <v>46</v>
      </c>
      <c r="C899" s="24" t="s">
        <v>36</v>
      </c>
      <c r="D899" s="24">
        <v>0.7</v>
      </c>
      <c r="E899" s="24" t="s">
        <v>796</v>
      </c>
      <c r="F899" s="24" t="s">
        <v>843</v>
      </c>
      <c r="G899" s="24">
        <v>168224</v>
      </c>
    </row>
    <row r="900" spans="1:7" x14ac:dyDescent="0.25">
      <c r="A900" s="24" t="s">
        <v>175</v>
      </c>
      <c r="B900" s="24" t="s">
        <v>47</v>
      </c>
      <c r="C900" s="24" t="s">
        <v>48</v>
      </c>
      <c r="D900" s="24">
        <v>9.4</v>
      </c>
      <c r="E900" s="24" t="s">
        <v>796</v>
      </c>
      <c r="F900" s="24" t="s">
        <v>843</v>
      </c>
      <c r="G900" s="24">
        <v>168224</v>
      </c>
    </row>
    <row r="901" spans="1:7" x14ac:dyDescent="0.25">
      <c r="A901" s="24" t="s">
        <v>175</v>
      </c>
      <c r="B901" s="24" t="s">
        <v>53</v>
      </c>
      <c r="C901" s="24" t="s">
        <v>31</v>
      </c>
      <c r="D901" s="24">
        <v>26</v>
      </c>
      <c r="E901" s="24" t="s">
        <v>796</v>
      </c>
      <c r="F901" s="24" t="s">
        <v>843</v>
      </c>
      <c r="G901" s="24">
        <v>168224</v>
      </c>
    </row>
    <row r="902" spans="1:7" x14ac:dyDescent="0.25">
      <c r="A902" s="24" t="s">
        <v>175</v>
      </c>
      <c r="B902" s="24" t="s">
        <v>55</v>
      </c>
      <c r="C902" s="24" t="s">
        <v>31</v>
      </c>
      <c r="D902" s="24">
        <v>2.4</v>
      </c>
      <c r="E902" s="24" t="s">
        <v>796</v>
      </c>
      <c r="F902" s="24" t="s">
        <v>843</v>
      </c>
      <c r="G902" s="24">
        <v>168224</v>
      </c>
    </row>
    <row r="903" spans="1:7" x14ac:dyDescent="0.25">
      <c r="A903" s="24" t="s">
        <v>175</v>
      </c>
      <c r="B903" s="24" t="s">
        <v>56</v>
      </c>
      <c r="C903" s="24" t="s">
        <v>31</v>
      </c>
      <c r="D903" s="24">
        <v>0.1</v>
      </c>
      <c r="E903" s="24" t="s">
        <v>796</v>
      </c>
      <c r="F903" s="24" t="s">
        <v>843</v>
      </c>
      <c r="G903" s="24">
        <v>168224</v>
      </c>
    </row>
    <row r="904" spans="1:7" x14ac:dyDescent="0.25">
      <c r="A904" s="24" t="s">
        <v>175</v>
      </c>
      <c r="B904" s="24" t="s">
        <v>57</v>
      </c>
      <c r="C904" s="24" t="s">
        <v>36</v>
      </c>
      <c r="D904" s="24">
        <v>36.799999999999997</v>
      </c>
      <c r="E904" s="24" t="s">
        <v>796</v>
      </c>
      <c r="F904" s="24" t="s">
        <v>843</v>
      </c>
      <c r="G904" s="24">
        <v>168224</v>
      </c>
    </row>
    <row r="905" spans="1:7" x14ac:dyDescent="0.25">
      <c r="A905" s="24" t="s">
        <v>175</v>
      </c>
      <c r="B905" s="24" t="s">
        <v>58</v>
      </c>
      <c r="C905" s="24" t="s">
        <v>5</v>
      </c>
      <c r="D905" s="24">
        <v>0</v>
      </c>
      <c r="E905" s="24" t="s">
        <v>795</v>
      </c>
      <c r="F905" s="24"/>
      <c r="G905" s="24"/>
    </row>
    <row r="906" spans="1:7" x14ac:dyDescent="0.25">
      <c r="A906" s="24" t="s">
        <v>176</v>
      </c>
      <c r="B906" s="24" t="s">
        <v>30</v>
      </c>
      <c r="C906" s="24" t="s">
        <v>31</v>
      </c>
      <c r="D906" s="24">
        <v>71</v>
      </c>
      <c r="E906" s="24" t="s">
        <v>801</v>
      </c>
      <c r="F906" s="24" t="s">
        <v>844</v>
      </c>
      <c r="G906" s="24">
        <v>172500</v>
      </c>
    </row>
    <row r="907" spans="1:7" x14ac:dyDescent="0.25">
      <c r="A907" s="24" t="s">
        <v>176</v>
      </c>
      <c r="B907" s="24" t="s">
        <v>37</v>
      </c>
      <c r="C907" s="24" t="s">
        <v>38</v>
      </c>
      <c r="D907" s="24">
        <v>0.2</v>
      </c>
      <c r="E907" s="24" t="s">
        <v>796</v>
      </c>
      <c r="F907" s="24" t="s">
        <v>844</v>
      </c>
      <c r="G907" s="24">
        <v>172500</v>
      </c>
    </row>
    <row r="908" spans="1:7" x14ac:dyDescent="0.25">
      <c r="A908" s="24" t="s">
        <v>176</v>
      </c>
      <c r="B908" s="24" t="s">
        <v>40</v>
      </c>
      <c r="C908" s="24" t="s">
        <v>31</v>
      </c>
      <c r="D908" s="24">
        <v>0.1</v>
      </c>
      <c r="E908" s="24" t="s">
        <v>796</v>
      </c>
      <c r="F908" s="24" t="s">
        <v>844</v>
      </c>
      <c r="G908" s="24">
        <v>172500</v>
      </c>
    </row>
    <row r="909" spans="1:7" x14ac:dyDescent="0.25">
      <c r="A909" s="24" t="s">
        <v>176</v>
      </c>
      <c r="B909" s="24" t="s">
        <v>41</v>
      </c>
      <c r="C909" s="24" t="s">
        <v>31</v>
      </c>
      <c r="D909" s="24">
        <v>0.2</v>
      </c>
      <c r="E909" s="24" t="s">
        <v>796</v>
      </c>
      <c r="F909" s="24" t="s">
        <v>844</v>
      </c>
      <c r="G909" s="24">
        <v>172500</v>
      </c>
    </row>
    <row r="910" spans="1:7" x14ac:dyDescent="0.25">
      <c r="A910" s="24" t="s">
        <v>176</v>
      </c>
      <c r="B910" s="24" t="s">
        <v>42</v>
      </c>
      <c r="C910" s="24" t="s">
        <v>43</v>
      </c>
      <c r="D910" s="24">
        <v>4.7</v>
      </c>
      <c r="E910" s="24" t="s">
        <v>796</v>
      </c>
      <c r="F910" s="24" t="s">
        <v>844</v>
      </c>
      <c r="G910" s="24">
        <v>172500</v>
      </c>
    </row>
    <row r="911" spans="1:7" x14ac:dyDescent="0.25">
      <c r="A911" s="24" t="s">
        <v>176</v>
      </c>
      <c r="B911" s="24" t="s">
        <v>44</v>
      </c>
      <c r="C911" s="24" t="s">
        <v>31</v>
      </c>
      <c r="D911" s="24">
        <v>0.1</v>
      </c>
      <c r="E911" s="24" t="s">
        <v>796</v>
      </c>
      <c r="F911" s="24" t="s">
        <v>844</v>
      </c>
      <c r="G911" s="24">
        <v>172500</v>
      </c>
    </row>
    <row r="912" spans="1:7" x14ac:dyDescent="0.25">
      <c r="A912" s="24" t="s">
        <v>176</v>
      </c>
      <c r="B912" s="24" t="s">
        <v>45</v>
      </c>
      <c r="C912" s="24" t="s">
        <v>31</v>
      </c>
      <c r="D912" s="24">
        <v>0.5</v>
      </c>
      <c r="E912" s="24" t="s">
        <v>796</v>
      </c>
      <c r="F912" s="24" t="s">
        <v>844</v>
      </c>
      <c r="G912" s="24">
        <v>172500</v>
      </c>
    </row>
    <row r="913" spans="1:7" x14ac:dyDescent="0.25">
      <c r="A913" s="24" t="s">
        <v>176</v>
      </c>
      <c r="B913" s="24" t="s">
        <v>46</v>
      </c>
      <c r="C913" s="24" t="s">
        <v>36</v>
      </c>
      <c r="D913" s="24">
        <v>1.9</v>
      </c>
      <c r="E913" s="24" t="s">
        <v>796</v>
      </c>
      <c r="F913" s="24" t="s">
        <v>844</v>
      </c>
      <c r="G913" s="24">
        <v>172500</v>
      </c>
    </row>
    <row r="914" spans="1:7" x14ac:dyDescent="0.25">
      <c r="A914" s="24" t="s">
        <v>176</v>
      </c>
      <c r="B914" s="24" t="s">
        <v>47</v>
      </c>
      <c r="C914" s="24" t="s">
        <v>48</v>
      </c>
      <c r="D914" s="24">
        <v>14.6</v>
      </c>
      <c r="E914" s="24" t="s">
        <v>796</v>
      </c>
      <c r="F914" s="24" t="s">
        <v>844</v>
      </c>
      <c r="G914" s="24">
        <v>172500</v>
      </c>
    </row>
    <row r="915" spans="1:7" x14ac:dyDescent="0.25">
      <c r="A915" s="24" t="s">
        <v>176</v>
      </c>
      <c r="B915" s="24" t="s">
        <v>53</v>
      </c>
      <c r="C915" s="24" t="s">
        <v>31</v>
      </c>
      <c r="D915" s="24">
        <v>16.100000000000001</v>
      </c>
      <c r="E915" s="24" t="s">
        <v>796</v>
      </c>
      <c r="F915" s="24" t="s">
        <v>844</v>
      </c>
      <c r="G915" s="24">
        <v>172500</v>
      </c>
    </row>
    <row r="916" spans="1:7" x14ac:dyDescent="0.25">
      <c r="A916" s="24" t="s">
        <v>176</v>
      </c>
      <c r="B916" s="24" t="s">
        <v>55</v>
      </c>
      <c r="C916" s="24" t="s">
        <v>31</v>
      </c>
      <c r="D916" s="24">
        <v>2.6</v>
      </c>
      <c r="E916" s="24" t="s">
        <v>796</v>
      </c>
      <c r="F916" s="24" t="s">
        <v>844</v>
      </c>
      <c r="G916" s="24">
        <v>172500</v>
      </c>
    </row>
    <row r="917" spans="1:7" x14ac:dyDescent="0.25">
      <c r="A917" s="24" t="s">
        <v>176</v>
      </c>
      <c r="B917" s="24" t="s">
        <v>56</v>
      </c>
      <c r="C917" s="24" t="s">
        <v>31</v>
      </c>
      <c r="D917" s="24">
        <v>0.1</v>
      </c>
      <c r="E917" s="24" t="s">
        <v>796</v>
      </c>
      <c r="F917" s="24" t="s">
        <v>844</v>
      </c>
      <c r="G917" s="24">
        <v>172500</v>
      </c>
    </row>
    <row r="918" spans="1:7" x14ac:dyDescent="0.25">
      <c r="A918" s="24" t="s">
        <v>176</v>
      </c>
      <c r="B918" s="24" t="s">
        <v>57</v>
      </c>
      <c r="C918" s="24" t="s">
        <v>36</v>
      </c>
      <c r="D918" s="24">
        <v>14.8</v>
      </c>
      <c r="E918" s="24" t="s">
        <v>796</v>
      </c>
      <c r="F918" s="24" t="s">
        <v>844</v>
      </c>
      <c r="G918" s="24">
        <v>172500</v>
      </c>
    </row>
    <row r="919" spans="1:7" x14ac:dyDescent="0.25">
      <c r="A919" s="24" t="s">
        <v>176</v>
      </c>
      <c r="B919" s="24" t="s">
        <v>58</v>
      </c>
      <c r="C919" s="24" t="s">
        <v>5</v>
      </c>
      <c r="D919" s="24">
        <v>0</v>
      </c>
      <c r="E919" s="24" t="s">
        <v>795</v>
      </c>
      <c r="F919" s="24"/>
      <c r="G919" s="24"/>
    </row>
    <row r="920" spans="1:7" x14ac:dyDescent="0.25">
      <c r="A920" s="24" t="s">
        <v>177</v>
      </c>
      <c r="B920" s="24" t="s">
        <v>30</v>
      </c>
      <c r="C920" s="24" t="s">
        <v>31</v>
      </c>
      <c r="D920" s="24">
        <v>74</v>
      </c>
      <c r="E920" s="24" t="s">
        <v>801</v>
      </c>
      <c r="F920" s="24" t="s">
        <v>845</v>
      </c>
      <c r="G920" s="24">
        <v>174319</v>
      </c>
    </row>
    <row r="921" spans="1:7" x14ac:dyDescent="0.25">
      <c r="A921" s="24" t="s">
        <v>177</v>
      </c>
      <c r="B921" s="24" t="s">
        <v>37</v>
      </c>
      <c r="C921" s="24" t="s">
        <v>38</v>
      </c>
      <c r="D921" s="24">
        <v>0.2</v>
      </c>
      <c r="E921" s="24" t="s">
        <v>796</v>
      </c>
      <c r="F921" s="24" t="s">
        <v>845</v>
      </c>
      <c r="G921" s="24">
        <v>174319</v>
      </c>
    </row>
    <row r="922" spans="1:7" x14ac:dyDescent="0.25">
      <c r="A922" s="24" t="s">
        <v>177</v>
      </c>
      <c r="B922" s="24" t="s">
        <v>40</v>
      </c>
      <c r="C922" s="24" t="s">
        <v>31</v>
      </c>
      <c r="D922" s="24">
        <v>0.1</v>
      </c>
      <c r="E922" s="24" t="s">
        <v>796</v>
      </c>
      <c r="F922" s="24" t="s">
        <v>845</v>
      </c>
      <c r="G922" s="24">
        <v>174319</v>
      </c>
    </row>
    <row r="923" spans="1:7" x14ac:dyDescent="0.25">
      <c r="A923" s="24" t="s">
        <v>177</v>
      </c>
      <c r="B923" s="24" t="s">
        <v>41</v>
      </c>
      <c r="C923" s="24" t="s">
        <v>31</v>
      </c>
      <c r="D923" s="24">
        <v>0.2</v>
      </c>
      <c r="E923" s="24" t="s">
        <v>796</v>
      </c>
      <c r="F923" s="24" t="s">
        <v>845</v>
      </c>
      <c r="G923" s="24">
        <v>174319</v>
      </c>
    </row>
    <row r="924" spans="1:7" x14ac:dyDescent="0.25">
      <c r="A924" s="24" t="s">
        <v>177</v>
      </c>
      <c r="B924" s="24" t="s">
        <v>42</v>
      </c>
      <c r="C924" s="24" t="s">
        <v>43</v>
      </c>
      <c r="D924" s="24">
        <v>5.4</v>
      </c>
      <c r="E924" s="24" t="s">
        <v>796</v>
      </c>
      <c r="F924" s="24" t="s">
        <v>845</v>
      </c>
      <c r="G924" s="24">
        <v>174319</v>
      </c>
    </row>
    <row r="925" spans="1:7" x14ac:dyDescent="0.25">
      <c r="A925" s="24" t="s">
        <v>177</v>
      </c>
      <c r="B925" s="24" t="s">
        <v>44</v>
      </c>
      <c r="C925" s="24" t="s">
        <v>31</v>
      </c>
      <c r="D925" s="24">
        <v>0.1</v>
      </c>
      <c r="E925" s="24" t="s">
        <v>796</v>
      </c>
      <c r="F925" s="24" t="s">
        <v>845</v>
      </c>
      <c r="G925" s="24">
        <v>174319</v>
      </c>
    </row>
    <row r="926" spans="1:7" x14ac:dyDescent="0.25">
      <c r="A926" s="24" t="s">
        <v>177</v>
      </c>
      <c r="B926" s="24" t="s">
        <v>45</v>
      </c>
      <c r="C926" s="24" t="s">
        <v>31</v>
      </c>
      <c r="D926" s="24">
        <v>0.5</v>
      </c>
      <c r="E926" s="24" t="s">
        <v>796</v>
      </c>
      <c r="F926" s="24" t="s">
        <v>845</v>
      </c>
      <c r="G926" s="24">
        <v>174319</v>
      </c>
    </row>
    <row r="927" spans="1:7" x14ac:dyDescent="0.25">
      <c r="A927" s="24" t="s">
        <v>177</v>
      </c>
      <c r="B927" s="24" t="s">
        <v>46</v>
      </c>
      <c r="C927" s="24" t="s">
        <v>36</v>
      </c>
      <c r="D927" s="24">
        <v>1.7</v>
      </c>
      <c r="E927" s="24" t="s">
        <v>796</v>
      </c>
      <c r="F927" s="24" t="s">
        <v>845</v>
      </c>
      <c r="G927" s="24">
        <v>174319</v>
      </c>
    </row>
    <row r="928" spans="1:7" x14ac:dyDescent="0.25">
      <c r="A928" s="24" t="s">
        <v>177</v>
      </c>
      <c r="B928" s="24" t="s">
        <v>47</v>
      </c>
      <c r="C928" s="24" t="s">
        <v>48</v>
      </c>
      <c r="D928" s="24">
        <v>14.2</v>
      </c>
      <c r="E928" s="24" t="s">
        <v>796</v>
      </c>
      <c r="F928" s="24" t="s">
        <v>845</v>
      </c>
      <c r="G928" s="24">
        <v>174319</v>
      </c>
    </row>
    <row r="929" spans="1:7" x14ac:dyDescent="0.25">
      <c r="A929" s="24" t="s">
        <v>177</v>
      </c>
      <c r="B929" s="24" t="s">
        <v>53</v>
      </c>
      <c r="C929" s="24" t="s">
        <v>31</v>
      </c>
      <c r="D929" s="24">
        <v>17.600000000000001</v>
      </c>
      <c r="E929" s="24" t="s">
        <v>796</v>
      </c>
      <c r="F929" s="24" t="s">
        <v>845</v>
      </c>
      <c r="G929" s="24">
        <v>174319</v>
      </c>
    </row>
    <row r="930" spans="1:7" x14ac:dyDescent="0.25">
      <c r="A930" s="24" t="s">
        <v>177</v>
      </c>
      <c r="B930" s="24" t="s">
        <v>55</v>
      </c>
      <c r="C930" s="24" t="s">
        <v>31</v>
      </c>
      <c r="D930" s="24">
        <v>2.1</v>
      </c>
      <c r="E930" s="24" t="s">
        <v>796</v>
      </c>
      <c r="F930" s="24" t="s">
        <v>845</v>
      </c>
      <c r="G930" s="24">
        <v>174319</v>
      </c>
    </row>
    <row r="931" spans="1:7" x14ac:dyDescent="0.25">
      <c r="A931" s="24" t="s">
        <v>177</v>
      </c>
      <c r="B931" s="24" t="s">
        <v>56</v>
      </c>
      <c r="C931" s="24" t="s">
        <v>31</v>
      </c>
      <c r="D931" s="24">
        <v>0.1</v>
      </c>
      <c r="E931" s="24" t="s">
        <v>796</v>
      </c>
      <c r="F931" s="24" t="s">
        <v>845</v>
      </c>
      <c r="G931" s="24">
        <v>174319</v>
      </c>
    </row>
    <row r="932" spans="1:7" x14ac:dyDescent="0.25">
      <c r="A932" s="24" t="s">
        <v>177</v>
      </c>
      <c r="B932" s="24" t="s">
        <v>57</v>
      </c>
      <c r="C932" s="24" t="s">
        <v>36</v>
      </c>
      <c r="D932" s="24">
        <v>15.8</v>
      </c>
      <c r="E932" s="24" t="s">
        <v>796</v>
      </c>
      <c r="F932" s="24" t="s">
        <v>845</v>
      </c>
      <c r="G932" s="24">
        <v>174319</v>
      </c>
    </row>
    <row r="933" spans="1:7" x14ac:dyDescent="0.25">
      <c r="A933" s="24" t="s">
        <v>177</v>
      </c>
      <c r="B933" s="24" t="s">
        <v>58</v>
      </c>
      <c r="C933" s="24" t="s">
        <v>5</v>
      </c>
      <c r="D933" s="24">
        <v>0</v>
      </c>
      <c r="E933" s="24" t="s">
        <v>795</v>
      </c>
      <c r="F933" s="24"/>
      <c r="G933" s="24"/>
    </row>
    <row r="934" spans="1:7" x14ac:dyDescent="0.25">
      <c r="A934" s="24" t="s">
        <v>178</v>
      </c>
      <c r="B934" s="24" t="s">
        <v>30</v>
      </c>
      <c r="C934" s="24" t="s">
        <v>31</v>
      </c>
      <c r="D934" s="24">
        <v>64</v>
      </c>
      <c r="E934" s="24" t="s">
        <v>801</v>
      </c>
      <c r="F934" s="24" t="s">
        <v>846</v>
      </c>
      <c r="G934" s="24">
        <v>172486</v>
      </c>
    </row>
    <row r="935" spans="1:7" x14ac:dyDescent="0.25">
      <c r="A935" s="24" t="s">
        <v>178</v>
      </c>
      <c r="B935" s="24" t="s">
        <v>32</v>
      </c>
      <c r="C935" s="24" t="s">
        <v>33</v>
      </c>
      <c r="D935" s="24">
        <v>0</v>
      </c>
      <c r="E935" s="24" t="s">
        <v>796</v>
      </c>
      <c r="F935" s="24" t="s">
        <v>846</v>
      </c>
      <c r="G935" s="24">
        <v>172486</v>
      </c>
    </row>
    <row r="936" spans="1:7" x14ac:dyDescent="0.25">
      <c r="A936" s="24" t="s">
        <v>178</v>
      </c>
      <c r="B936" s="24" t="s">
        <v>40</v>
      </c>
      <c r="C936" s="24" t="s">
        <v>31</v>
      </c>
      <c r="D936" s="24">
        <v>0.2</v>
      </c>
      <c r="E936" s="24" t="s">
        <v>796</v>
      </c>
      <c r="F936" s="24" t="s">
        <v>846</v>
      </c>
      <c r="G936" s="24">
        <v>172486</v>
      </c>
    </row>
    <row r="937" spans="1:7" x14ac:dyDescent="0.25">
      <c r="A937" s="24" t="s">
        <v>178</v>
      </c>
      <c r="B937" s="24" t="s">
        <v>41</v>
      </c>
      <c r="C937" s="24" t="s">
        <v>31</v>
      </c>
      <c r="D937" s="24">
        <v>0.3</v>
      </c>
      <c r="E937" s="24" t="s">
        <v>796</v>
      </c>
      <c r="F937" s="24" t="s">
        <v>846</v>
      </c>
      <c r="G937" s="24">
        <v>172486</v>
      </c>
    </row>
    <row r="938" spans="1:7" x14ac:dyDescent="0.25">
      <c r="A938" s="24" t="s">
        <v>178</v>
      </c>
      <c r="B938" s="24" t="s">
        <v>42</v>
      </c>
      <c r="C938" s="24" t="s">
        <v>43</v>
      </c>
      <c r="D938" s="24">
        <v>7.4</v>
      </c>
      <c r="E938" s="24" t="s">
        <v>796</v>
      </c>
      <c r="F938" s="24" t="s">
        <v>846</v>
      </c>
      <c r="G938" s="24">
        <v>172486</v>
      </c>
    </row>
    <row r="939" spans="1:7" x14ac:dyDescent="0.25">
      <c r="A939" s="24" t="s">
        <v>178</v>
      </c>
      <c r="B939" s="24" t="s">
        <v>44</v>
      </c>
      <c r="C939" s="24" t="s">
        <v>31</v>
      </c>
      <c r="D939" s="24">
        <v>0.2</v>
      </c>
      <c r="E939" s="24" t="s">
        <v>796</v>
      </c>
      <c r="F939" s="24" t="s">
        <v>846</v>
      </c>
      <c r="G939" s="24">
        <v>172486</v>
      </c>
    </row>
    <row r="940" spans="1:7" x14ac:dyDescent="0.25">
      <c r="A940" s="24" t="s">
        <v>178</v>
      </c>
      <c r="B940" s="24" t="s">
        <v>45</v>
      </c>
      <c r="C940" s="24" t="s">
        <v>31</v>
      </c>
      <c r="D940" s="24">
        <v>0.8</v>
      </c>
      <c r="E940" s="24" t="s">
        <v>796</v>
      </c>
      <c r="F940" s="24" t="s">
        <v>846</v>
      </c>
      <c r="G940" s="24">
        <v>172486</v>
      </c>
    </row>
    <row r="941" spans="1:7" x14ac:dyDescent="0.25">
      <c r="A941" s="24" t="s">
        <v>178</v>
      </c>
      <c r="B941" s="24" t="s">
        <v>46</v>
      </c>
      <c r="C941" s="24" t="s">
        <v>36</v>
      </c>
      <c r="D941" s="24">
        <v>3.1</v>
      </c>
      <c r="E941" s="24" t="s">
        <v>796</v>
      </c>
      <c r="F941" s="24" t="s">
        <v>846</v>
      </c>
      <c r="G941" s="24">
        <v>172486</v>
      </c>
    </row>
    <row r="942" spans="1:7" x14ac:dyDescent="0.25">
      <c r="A942" s="24" t="s">
        <v>178</v>
      </c>
      <c r="B942" s="24" t="s">
        <v>47</v>
      </c>
      <c r="C942" s="24" t="s">
        <v>48</v>
      </c>
      <c r="D942" s="24">
        <v>27.4</v>
      </c>
      <c r="E942" s="24" t="s">
        <v>796</v>
      </c>
      <c r="F942" s="24" t="s">
        <v>846</v>
      </c>
      <c r="G942" s="24">
        <v>172486</v>
      </c>
    </row>
    <row r="943" spans="1:7" x14ac:dyDescent="0.25">
      <c r="A943" s="24" t="s">
        <v>178</v>
      </c>
      <c r="B943" s="24" t="s">
        <v>55</v>
      </c>
      <c r="C943" s="24" t="s">
        <v>31</v>
      </c>
      <c r="D943" s="24">
        <v>4.5999999999999996</v>
      </c>
      <c r="E943" s="24" t="s">
        <v>796</v>
      </c>
      <c r="F943" s="24" t="s">
        <v>846</v>
      </c>
      <c r="G943" s="24">
        <v>172486</v>
      </c>
    </row>
    <row r="944" spans="1:7" x14ac:dyDescent="0.25">
      <c r="A944" s="24" t="s">
        <v>178</v>
      </c>
      <c r="B944" s="24" t="s">
        <v>57</v>
      </c>
      <c r="C944" s="24" t="s">
        <v>36</v>
      </c>
      <c r="D944" s="24">
        <v>27.8</v>
      </c>
      <c r="E944" s="24" t="s">
        <v>796</v>
      </c>
      <c r="F944" s="24" t="s">
        <v>846</v>
      </c>
      <c r="G944" s="24">
        <v>172486</v>
      </c>
    </row>
    <row r="945" spans="1:7" x14ac:dyDescent="0.25">
      <c r="A945" s="24" t="s">
        <v>178</v>
      </c>
      <c r="B945" s="24" t="s">
        <v>58</v>
      </c>
      <c r="C945" s="24" t="s">
        <v>5</v>
      </c>
      <c r="D945" s="24">
        <v>0</v>
      </c>
      <c r="E945" s="24" t="s">
        <v>795</v>
      </c>
      <c r="F945" s="24"/>
      <c r="G945" s="24"/>
    </row>
    <row r="946" spans="1:7" x14ac:dyDescent="0.25">
      <c r="A946" s="24" t="s">
        <v>179</v>
      </c>
      <c r="B946" s="24" t="s">
        <v>26</v>
      </c>
      <c r="C946" s="24" t="s">
        <v>5</v>
      </c>
      <c r="D946" s="24">
        <v>0.93</v>
      </c>
      <c r="E946" s="24" t="s">
        <v>799</v>
      </c>
      <c r="F946" s="24" t="s">
        <v>847</v>
      </c>
      <c r="G946" s="24">
        <v>172521</v>
      </c>
    </row>
    <row r="947" spans="1:7" x14ac:dyDescent="0.25">
      <c r="A947" s="24" t="s">
        <v>179</v>
      </c>
      <c r="B947" s="24" t="s">
        <v>27</v>
      </c>
      <c r="C947" s="24" t="s">
        <v>5</v>
      </c>
      <c r="D947" s="24">
        <v>0.84</v>
      </c>
      <c r="E947" s="24" t="s">
        <v>799</v>
      </c>
      <c r="F947" s="24" t="s">
        <v>847</v>
      </c>
      <c r="G947" s="24">
        <v>172521</v>
      </c>
    </row>
    <row r="948" spans="1:7" x14ac:dyDescent="0.25">
      <c r="A948" s="24" t="s">
        <v>179</v>
      </c>
      <c r="B948" s="24" t="s">
        <v>28</v>
      </c>
      <c r="C948" s="24" t="s">
        <v>5</v>
      </c>
      <c r="D948" s="24">
        <v>0.6</v>
      </c>
      <c r="E948" s="24" t="s">
        <v>799</v>
      </c>
      <c r="F948" s="24" t="s">
        <v>847</v>
      </c>
      <c r="G948" s="24">
        <v>172521</v>
      </c>
    </row>
    <row r="949" spans="1:7" x14ac:dyDescent="0.25">
      <c r="A949" s="24" t="s">
        <v>179</v>
      </c>
      <c r="B949" s="24" t="s">
        <v>32</v>
      </c>
      <c r="C949" s="24" t="s">
        <v>33</v>
      </c>
      <c r="D949" s="24">
        <v>0</v>
      </c>
      <c r="E949" s="24" t="s">
        <v>796</v>
      </c>
      <c r="F949" s="24" t="s">
        <v>847</v>
      </c>
      <c r="G949" s="24">
        <v>172521</v>
      </c>
    </row>
    <row r="950" spans="1:7" x14ac:dyDescent="0.25">
      <c r="A950" s="24" t="s">
        <v>179</v>
      </c>
      <c r="B950" s="24" t="s">
        <v>40</v>
      </c>
      <c r="C950" s="24" t="s">
        <v>31</v>
      </c>
      <c r="D950" s="24">
        <v>0.1</v>
      </c>
      <c r="E950" s="24" t="s">
        <v>796</v>
      </c>
      <c r="F950" s="24" t="s">
        <v>847</v>
      </c>
      <c r="G950" s="24">
        <v>172521</v>
      </c>
    </row>
    <row r="951" spans="1:7" x14ac:dyDescent="0.25">
      <c r="A951" s="24" t="s">
        <v>179</v>
      </c>
      <c r="B951" s="24" t="s">
        <v>41</v>
      </c>
      <c r="C951" s="24" t="s">
        <v>31</v>
      </c>
      <c r="D951" s="24">
        <v>0.1</v>
      </c>
      <c r="E951" s="24" t="s">
        <v>796</v>
      </c>
      <c r="F951" s="24" t="s">
        <v>847</v>
      </c>
      <c r="G951" s="24">
        <v>172521</v>
      </c>
    </row>
    <row r="952" spans="1:7" x14ac:dyDescent="0.25">
      <c r="A952" s="24" t="s">
        <v>179</v>
      </c>
      <c r="B952" s="24" t="s">
        <v>42</v>
      </c>
      <c r="C952" s="24" t="s">
        <v>43</v>
      </c>
      <c r="D952" s="24">
        <v>6.6</v>
      </c>
      <c r="E952" s="24" t="s">
        <v>796</v>
      </c>
      <c r="F952" s="24" t="s">
        <v>847</v>
      </c>
      <c r="G952" s="24">
        <v>172521</v>
      </c>
    </row>
    <row r="953" spans="1:7" x14ac:dyDescent="0.25">
      <c r="A953" s="24" t="s">
        <v>179</v>
      </c>
      <c r="B953" s="24" t="s">
        <v>44</v>
      </c>
      <c r="C953" s="24" t="s">
        <v>31</v>
      </c>
      <c r="D953" s="24">
        <v>0.5</v>
      </c>
      <c r="E953" s="24" t="s">
        <v>796</v>
      </c>
      <c r="F953" s="24" t="s">
        <v>847</v>
      </c>
      <c r="G953" s="24">
        <v>172521</v>
      </c>
    </row>
    <row r="954" spans="1:7" x14ac:dyDescent="0.25">
      <c r="A954" s="24" t="s">
        <v>179</v>
      </c>
      <c r="B954" s="24" t="s">
        <v>45</v>
      </c>
      <c r="C954" s="24" t="s">
        <v>31</v>
      </c>
      <c r="D954" s="24">
        <v>0.7</v>
      </c>
      <c r="E954" s="24" t="s">
        <v>796</v>
      </c>
      <c r="F954" s="24" t="s">
        <v>847</v>
      </c>
      <c r="G954" s="24">
        <v>172521</v>
      </c>
    </row>
    <row r="955" spans="1:7" x14ac:dyDescent="0.25">
      <c r="A955" s="24" t="s">
        <v>179</v>
      </c>
      <c r="B955" s="24" t="s">
        <v>46</v>
      </c>
      <c r="C955" s="24" t="s">
        <v>36</v>
      </c>
      <c r="D955" s="24">
        <v>6.5</v>
      </c>
      <c r="E955" s="24" t="s">
        <v>796</v>
      </c>
      <c r="F955" s="24" t="s">
        <v>847</v>
      </c>
      <c r="G955" s="24">
        <v>172521</v>
      </c>
    </row>
    <row r="956" spans="1:7" x14ac:dyDescent="0.25">
      <c r="A956" s="24" t="s">
        <v>179</v>
      </c>
      <c r="B956" s="24" t="s">
        <v>47</v>
      </c>
      <c r="C956" s="24" t="s">
        <v>48</v>
      </c>
      <c r="D956" s="24">
        <v>7.2</v>
      </c>
      <c r="E956" s="24" t="s">
        <v>796</v>
      </c>
      <c r="F956" s="24" t="s">
        <v>847</v>
      </c>
      <c r="G956" s="24">
        <v>172521</v>
      </c>
    </row>
    <row r="957" spans="1:7" x14ac:dyDescent="0.25">
      <c r="A957" s="24" t="s">
        <v>179</v>
      </c>
      <c r="B957" s="24" t="s">
        <v>53</v>
      </c>
      <c r="C957" s="24" t="s">
        <v>31</v>
      </c>
      <c r="D957" s="24">
        <v>17.100000000000001</v>
      </c>
      <c r="E957" s="24" t="s">
        <v>796</v>
      </c>
      <c r="F957" s="24" t="s">
        <v>847</v>
      </c>
      <c r="G957" s="24">
        <v>172521</v>
      </c>
    </row>
    <row r="958" spans="1:7" x14ac:dyDescent="0.25">
      <c r="A958" s="24" t="s">
        <v>179</v>
      </c>
      <c r="B958" s="24" t="s">
        <v>55</v>
      </c>
      <c r="C958" s="24" t="s">
        <v>31</v>
      </c>
      <c r="D958" s="24">
        <v>1.4</v>
      </c>
      <c r="E958" s="24" t="s">
        <v>796</v>
      </c>
      <c r="F958" s="24" t="s">
        <v>847</v>
      </c>
      <c r="G958" s="24">
        <v>172521</v>
      </c>
    </row>
    <row r="959" spans="1:7" x14ac:dyDescent="0.25">
      <c r="A959" s="24" t="s">
        <v>179</v>
      </c>
      <c r="B959" s="24" t="s">
        <v>56</v>
      </c>
      <c r="C959" s="24" t="s">
        <v>31</v>
      </c>
      <c r="D959" s="24">
        <v>0.1</v>
      </c>
      <c r="E959" s="24" t="s">
        <v>796</v>
      </c>
      <c r="F959" s="24" t="s">
        <v>847</v>
      </c>
      <c r="G959" s="24">
        <v>172521</v>
      </c>
    </row>
    <row r="960" spans="1:7" x14ac:dyDescent="0.25">
      <c r="A960" s="24" t="s">
        <v>179</v>
      </c>
      <c r="B960" s="24" t="s">
        <v>57</v>
      </c>
      <c r="C960" s="24" t="s">
        <v>36</v>
      </c>
      <c r="D960" s="24">
        <v>21.4</v>
      </c>
      <c r="E960" s="24" t="s">
        <v>796</v>
      </c>
      <c r="F960" s="24" t="s">
        <v>847</v>
      </c>
      <c r="G960" s="24">
        <v>172521</v>
      </c>
    </row>
    <row r="961" spans="1:7" x14ac:dyDescent="0.25">
      <c r="A961" s="24" t="s">
        <v>179</v>
      </c>
      <c r="B961" s="24" t="s">
        <v>58</v>
      </c>
      <c r="C961" s="24" t="s">
        <v>5</v>
      </c>
      <c r="D961" s="24">
        <v>0</v>
      </c>
      <c r="E961" s="24" t="s">
        <v>795</v>
      </c>
      <c r="F961" s="24"/>
      <c r="G961" s="24"/>
    </row>
    <row r="962" spans="1:7" x14ac:dyDescent="0.25">
      <c r="A962" s="24" t="s">
        <v>180</v>
      </c>
      <c r="B962" s="24" t="s">
        <v>58</v>
      </c>
      <c r="C962" s="24" t="s">
        <v>5</v>
      </c>
      <c r="D962" s="24">
        <v>0</v>
      </c>
      <c r="E962" s="24" t="s">
        <v>795</v>
      </c>
      <c r="F962" s="24"/>
      <c r="G962" s="24"/>
    </row>
    <row r="963" spans="1:7" x14ac:dyDescent="0.25">
      <c r="A963" s="24" t="s">
        <v>181</v>
      </c>
      <c r="B963" s="24" t="s">
        <v>58</v>
      </c>
      <c r="C963" s="24" t="s">
        <v>5</v>
      </c>
      <c r="D963" s="24">
        <v>0</v>
      </c>
      <c r="E963" s="24" t="s">
        <v>795</v>
      </c>
      <c r="F963" s="24"/>
      <c r="G963" s="24"/>
    </row>
    <row r="964" spans="1:7" x14ac:dyDescent="0.25">
      <c r="A964" s="24" t="s">
        <v>182</v>
      </c>
      <c r="B964" s="24" t="s">
        <v>23</v>
      </c>
      <c r="C964" s="24" t="s">
        <v>5</v>
      </c>
      <c r="D964" s="24">
        <v>0</v>
      </c>
      <c r="E964" s="24" t="s">
        <v>796</v>
      </c>
      <c r="F964" s="24" t="s">
        <v>848</v>
      </c>
      <c r="G964" s="24">
        <v>171812</v>
      </c>
    </row>
    <row r="965" spans="1:7" x14ac:dyDescent="0.25">
      <c r="A965" s="24" t="s">
        <v>182</v>
      </c>
      <c r="B965" s="24" t="s">
        <v>30</v>
      </c>
      <c r="C965" s="24" t="s">
        <v>31</v>
      </c>
      <c r="D965" s="24">
        <v>65</v>
      </c>
      <c r="E965" s="24" t="s">
        <v>801</v>
      </c>
      <c r="F965" s="24" t="s">
        <v>848</v>
      </c>
      <c r="G965" s="24">
        <v>171812</v>
      </c>
    </row>
    <row r="966" spans="1:7" x14ac:dyDescent="0.25">
      <c r="A966" s="24" t="s">
        <v>182</v>
      </c>
      <c r="B966" s="24" t="s">
        <v>32</v>
      </c>
      <c r="C966" s="24" t="s">
        <v>33</v>
      </c>
      <c r="D966" s="24">
        <v>0</v>
      </c>
      <c r="E966" s="24" t="s">
        <v>796</v>
      </c>
      <c r="F966" s="24" t="s">
        <v>848</v>
      </c>
      <c r="G966" s="24">
        <v>171812</v>
      </c>
    </row>
    <row r="967" spans="1:7" x14ac:dyDescent="0.25">
      <c r="A967" s="24" t="s">
        <v>182</v>
      </c>
      <c r="B967" s="24" t="s">
        <v>34</v>
      </c>
      <c r="C967" s="24" t="s">
        <v>31</v>
      </c>
      <c r="D967" s="24">
        <v>0</v>
      </c>
      <c r="E967" s="24" t="s">
        <v>796</v>
      </c>
      <c r="F967" s="24" t="s">
        <v>848</v>
      </c>
      <c r="G967" s="24">
        <v>171812</v>
      </c>
    </row>
    <row r="968" spans="1:7" x14ac:dyDescent="0.25">
      <c r="A968" s="24" t="s">
        <v>182</v>
      </c>
      <c r="B968" s="24" t="s">
        <v>37</v>
      </c>
      <c r="C968" s="24" t="s">
        <v>38</v>
      </c>
      <c r="D968" s="24">
        <v>0.3</v>
      </c>
      <c r="E968" s="24" t="s">
        <v>796</v>
      </c>
      <c r="F968" s="24" t="s">
        <v>848</v>
      </c>
      <c r="G968" s="24">
        <v>171812</v>
      </c>
    </row>
    <row r="969" spans="1:7" x14ac:dyDescent="0.25">
      <c r="A969" s="24" t="s">
        <v>182</v>
      </c>
      <c r="B969" s="24" t="s">
        <v>39</v>
      </c>
      <c r="C969" s="24" t="s">
        <v>36</v>
      </c>
      <c r="D969" s="24">
        <v>1.2</v>
      </c>
      <c r="E969" s="24" t="s">
        <v>796</v>
      </c>
      <c r="F969" s="24" t="s">
        <v>848</v>
      </c>
      <c r="G969" s="24">
        <v>171812</v>
      </c>
    </row>
    <row r="970" spans="1:7" x14ac:dyDescent="0.25">
      <c r="A970" s="24" t="s">
        <v>182</v>
      </c>
      <c r="B970" s="24" t="s">
        <v>44</v>
      </c>
      <c r="C970" s="24" t="s">
        <v>31</v>
      </c>
      <c r="D970" s="24">
        <v>0.6</v>
      </c>
      <c r="E970" s="24" t="s">
        <v>796</v>
      </c>
      <c r="F970" s="24" t="s">
        <v>848</v>
      </c>
      <c r="G970" s="24">
        <v>171812</v>
      </c>
    </row>
    <row r="971" spans="1:7" x14ac:dyDescent="0.25">
      <c r="A971" s="24" t="s">
        <v>182</v>
      </c>
      <c r="B971" s="24" t="s">
        <v>45</v>
      </c>
      <c r="C971" s="24" t="s">
        <v>31</v>
      </c>
      <c r="D971" s="24">
        <v>0.6</v>
      </c>
      <c r="E971" s="24" t="s">
        <v>796</v>
      </c>
      <c r="F971" s="24" t="s">
        <v>848</v>
      </c>
      <c r="G971" s="24">
        <v>171812</v>
      </c>
    </row>
    <row r="972" spans="1:7" x14ac:dyDescent="0.25">
      <c r="A972" s="24" t="s">
        <v>182</v>
      </c>
      <c r="B972" s="24" t="s">
        <v>46</v>
      </c>
      <c r="C972" s="24" t="s">
        <v>36</v>
      </c>
      <c r="D972" s="24">
        <v>1</v>
      </c>
      <c r="E972" s="24" t="s">
        <v>796</v>
      </c>
      <c r="F972" s="24" t="s">
        <v>848</v>
      </c>
      <c r="G972" s="24">
        <v>171812</v>
      </c>
    </row>
    <row r="973" spans="1:7" x14ac:dyDescent="0.25">
      <c r="A973" s="24" t="s">
        <v>182</v>
      </c>
      <c r="B973" s="24" t="s">
        <v>47</v>
      </c>
      <c r="C973" s="24" t="s">
        <v>48</v>
      </c>
      <c r="D973" s="24">
        <v>12.1</v>
      </c>
      <c r="E973" s="24" t="s">
        <v>796</v>
      </c>
      <c r="F973" s="24" t="s">
        <v>848</v>
      </c>
      <c r="G973" s="24">
        <v>171812</v>
      </c>
    </row>
    <row r="974" spans="1:7" x14ac:dyDescent="0.25">
      <c r="A974" s="24" t="s">
        <v>182</v>
      </c>
      <c r="B974" s="24" t="s">
        <v>53</v>
      </c>
      <c r="C974" s="24" t="s">
        <v>31</v>
      </c>
      <c r="D974" s="24">
        <v>21.4</v>
      </c>
      <c r="E974" s="24" t="s">
        <v>796</v>
      </c>
      <c r="F974" s="24" t="s">
        <v>848</v>
      </c>
      <c r="G974" s="24">
        <v>171812</v>
      </c>
    </row>
    <row r="975" spans="1:7" x14ac:dyDescent="0.25">
      <c r="A975" s="24" t="s">
        <v>182</v>
      </c>
      <c r="B975" s="24" t="s">
        <v>55</v>
      </c>
      <c r="C975" s="24" t="s">
        <v>31</v>
      </c>
      <c r="D975" s="24">
        <v>3.7</v>
      </c>
      <c r="E975" s="24" t="s">
        <v>796</v>
      </c>
      <c r="F975" s="24" t="s">
        <v>848</v>
      </c>
      <c r="G975" s="24">
        <v>171812</v>
      </c>
    </row>
    <row r="976" spans="1:7" x14ac:dyDescent="0.25">
      <c r="A976" s="24" t="s">
        <v>182</v>
      </c>
      <c r="B976" s="24" t="s">
        <v>56</v>
      </c>
      <c r="C976" s="24" t="s">
        <v>31</v>
      </c>
      <c r="D976" s="24">
        <v>0.1</v>
      </c>
      <c r="E976" s="24" t="s">
        <v>796</v>
      </c>
      <c r="F976" s="24" t="s">
        <v>848</v>
      </c>
      <c r="G976" s="24">
        <v>171812</v>
      </c>
    </row>
    <row r="977" spans="1:7" x14ac:dyDescent="0.25">
      <c r="A977" s="24" t="s">
        <v>182</v>
      </c>
      <c r="B977" s="24" t="s">
        <v>57</v>
      </c>
      <c r="C977" s="24" t="s">
        <v>36</v>
      </c>
      <c r="D977" s="24">
        <v>25</v>
      </c>
      <c r="E977" s="24" t="s">
        <v>796</v>
      </c>
      <c r="F977" s="24" t="s">
        <v>848</v>
      </c>
      <c r="G977" s="24">
        <v>171812</v>
      </c>
    </row>
    <row r="978" spans="1:7" x14ac:dyDescent="0.25">
      <c r="A978" s="24" t="s">
        <v>182</v>
      </c>
      <c r="B978" s="24" t="s">
        <v>58</v>
      </c>
      <c r="C978" s="24" t="s">
        <v>5</v>
      </c>
      <c r="D978" s="24">
        <v>0</v>
      </c>
      <c r="E978" s="24" t="s">
        <v>795</v>
      </c>
      <c r="F978" s="24"/>
      <c r="G978" s="24"/>
    </row>
    <row r="979" spans="1:7" x14ac:dyDescent="0.25">
      <c r="A979" s="24" t="s">
        <v>183</v>
      </c>
      <c r="B979" s="24" t="s">
        <v>23</v>
      </c>
      <c r="C979" s="24" t="s">
        <v>5</v>
      </c>
      <c r="D979" s="24">
        <v>0</v>
      </c>
      <c r="E979" s="24" t="s">
        <v>796</v>
      </c>
      <c r="F979" s="24" t="s">
        <v>849</v>
      </c>
      <c r="G979" s="24">
        <v>174051</v>
      </c>
    </row>
    <row r="980" spans="1:7" x14ac:dyDescent="0.25">
      <c r="A980" s="24" t="s">
        <v>183</v>
      </c>
      <c r="B980" s="24" t="s">
        <v>30</v>
      </c>
      <c r="C980" s="24" t="s">
        <v>31</v>
      </c>
      <c r="D980" s="24">
        <v>65</v>
      </c>
      <c r="E980" s="24" t="s">
        <v>801</v>
      </c>
      <c r="F980" s="24" t="s">
        <v>849</v>
      </c>
      <c r="G980" s="24">
        <v>174051</v>
      </c>
    </row>
    <row r="981" spans="1:7" x14ac:dyDescent="0.25">
      <c r="A981" s="24" t="s">
        <v>183</v>
      </c>
      <c r="B981" s="24" t="s">
        <v>37</v>
      </c>
      <c r="C981" s="24" t="s">
        <v>38</v>
      </c>
      <c r="D981" s="24">
        <v>0.3</v>
      </c>
      <c r="E981" s="24" t="s">
        <v>796</v>
      </c>
      <c r="F981" s="24" t="s">
        <v>849</v>
      </c>
      <c r="G981" s="24">
        <v>174051</v>
      </c>
    </row>
    <row r="982" spans="1:7" x14ac:dyDescent="0.25">
      <c r="A982" s="24" t="s">
        <v>183</v>
      </c>
      <c r="B982" s="24" t="s">
        <v>39</v>
      </c>
      <c r="C982" s="24" t="s">
        <v>36</v>
      </c>
      <c r="D982" s="24">
        <v>1.2</v>
      </c>
      <c r="E982" s="24" t="s">
        <v>796</v>
      </c>
      <c r="F982" s="24" t="s">
        <v>849</v>
      </c>
      <c r="G982" s="24">
        <v>174051</v>
      </c>
    </row>
    <row r="983" spans="1:7" x14ac:dyDescent="0.25">
      <c r="A983" s="24" t="s">
        <v>183</v>
      </c>
      <c r="B983" s="24" t="s">
        <v>44</v>
      </c>
      <c r="C983" s="24" t="s">
        <v>31</v>
      </c>
      <c r="D983" s="24">
        <v>0.6</v>
      </c>
      <c r="E983" s="24" t="s">
        <v>796</v>
      </c>
      <c r="F983" s="24" t="s">
        <v>849</v>
      </c>
      <c r="G983" s="24">
        <v>174051</v>
      </c>
    </row>
    <row r="984" spans="1:7" x14ac:dyDescent="0.25">
      <c r="A984" s="24" t="s">
        <v>183</v>
      </c>
      <c r="B984" s="24" t="s">
        <v>45</v>
      </c>
      <c r="C984" s="24" t="s">
        <v>31</v>
      </c>
      <c r="D984" s="24">
        <v>0.7</v>
      </c>
      <c r="E984" s="24" t="s">
        <v>796</v>
      </c>
      <c r="F984" s="24" t="s">
        <v>849</v>
      </c>
      <c r="G984" s="24">
        <v>174051</v>
      </c>
    </row>
    <row r="985" spans="1:7" x14ac:dyDescent="0.25">
      <c r="A985" s="24" t="s">
        <v>183</v>
      </c>
      <c r="B985" s="24" t="s">
        <v>46</v>
      </c>
      <c r="C985" s="24" t="s">
        <v>36</v>
      </c>
      <c r="D985" s="24">
        <v>2</v>
      </c>
      <c r="E985" s="24" t="s">
        <v>796</v>
      </c>
      <c r="F985" s="24" t="s">
        <v>849</v>
      </c>
      <c r="G985" s="24">
        <v>174051</v>
      </c>
    </row>
    <row r="986" spans="1:7" x14ac:dyDescent="0.25">
      <c r="A986" s="24" t="s">
        <v>183</v>
      </c>
      <c r="B986" s="24" t="s">
        <v>47</v>
      </c>
      <c r="C986" s="24" t="s">
        <v>48</v>
      </c>
      <c r="D986" s="24">
        <v>13.7</v>
      </c>
      <c r="E986" s="24" t="s">
        <v>796</v>
      </c>
      <c r="F986" s="24" t="s">
        <v>849</v>
      </c>
      <c r="G986" s="24">
        <v>174051</v>
      </c>
    </row>
    <row r="987" spans="1:7" x14ac:dyDescent="0.25">
      <c r="A987" s="24" t="s">
        <v>183</v>
      </c>
      <c r="B987" s="24" t="s">
        <v>53</v>
      </c>
      <c r="C987" s="24" t="s">
        <v>31</v>
      </c>
      <c r="D987" s="24">
        <v>24.3</v>
      </c>
      <c r="E987" s="24" t="s">
        <v>796</v>
      </c>
      <c r="F987" s="24" t="s">
        <v>849</v>
      </c>
      <c r="G987" s="24">
        <v>174051</v>
      </c>
    </row>
    <row r="988" spans="1:7" x14ac:dyDescent="0.25">
      <c r="A988" s="24" t="s">
        <v>183</v>
      </c>
      <c r="B988" s="24" t="s">
        <v>55</v>
      </c>
      <c r="C988" s="24" t="s">
        <v>31</v>
      </c>
      <c r="D988" s="24">
        <v>5.9</v>
      </c>
      <c r="E988" s="24" t="s">
        <v>796</v>
      </c>
      <c r="F988" s="24" t="s">
        <v>849</v>
      </c>
      <c r="G988" s="24">
        <v>174051</v>
      </c>
    </row>
    <row r="989" spans="1:7" x14ac:dyDescent="0.25">
      <c r="A989" s="24" t="s">
        <v>183</v>
      </c>
      <c r="B989" s="24" t="s">
        <v>56</v>
      </c>
      <c r="C989" s="24" t="s">
        <v>31</v>
      </c>
      <c r="D989" s="24">
        <v>0.1</v>
      </c>
      <c r="E989" s="24" t="s">
        <v>796</v>
      </c>
      <c r="F989" s="24" t="s">
        <v>849</v>
      </c>
      <c r="G989" s="24">
        <v>174051</v>
      </c>
    </row>
    <row r="990" spans="1:7" x14ac:dyDescent="0.25">
      <c r="A990" s="24" t="s">
        <v>183</v>
      </c>
      <c r="B990" s="24" t="s">
        <v>57</v>
      </c>
      <c r="C990" s="24" t="s">
        <v>36</v>
      </c>
      <c r="D990" s="24">
        <v>26.6</v>
      </c>
      <c r="E990" s="24" t="s">
        <v>796</v>
      </c>
      <c r="F990" s="24" t="s">
        <v>849</v>
      </c>
      <c r="G990" s="24">
        <v>174051</v>
      </c>
    </row>
    <row r="991" spans="1:7" x14ac:dyDescent="0.25">
      <c r="A991" s="24" t="s">
        <v>183</v>
      </c>
      <c r="B991" s="24" t="s">
        <v>58</v>
      </c>
      <c r="C991" s="24" t="s">
        <v>5</v>
      </c>
      <c r="D991" s="24">
        <v>0</v>
      </c>
      <c r="E991" s="24" t="s">
        <v>795</v>
      </c>
      <c r="F991" s="24"/>
      <c r="G991" s="24"/>
    </row>
    <row r="992" spans="1:7" x14ac:dyDescent="0.25">
      <c r="A992" s="24" t="s">
        <v>184</v>
      </c>
      <c r="B992" s="24" t="s">
        <v>32</v>
      </c>
      <c r="C992" s="24" t="s">
        <v>33</v>
      </c>
      <c r="D992" s="24">
        <v>0</v>
      </c>
      <c r="E992" s="24" t="s">
        <v>796</v>
      </c>
      <c r="F992" s="24" t="s">
        <v>850</v>
      </c>
      <c r="G992" s="24">
        <v>171814</v>
      </c>
    </row>
    <row r="993" spans="1:7" x14ac:dyDescent="0.25">
      <c r="A993" s="24" t="s">
        <v>184</v>
      </c>
      <c r="B993" s="24" t="s">
        <v>34</v>
      </c>
      <c r="C993" s="24" t="s">
        <v>31</v>
      </c>
      <c r="D993" s="24">
        <v>0</v>
      </c>
      <c r="E993" s="24" t="s">
        <v>796</v>
      </c>
      <c r="F993" s="24" t="s">
        <v>850</v>
      </c>
      <c r="G993" s="24">
        <v>171814</v>
      </c>
    </row>
    <row r="994" spans="1:7" x14ac:dyDescent="0.25">
      <c r="A994" s="24" t="s">
        <v>184</v>
      </c>
      <c r="B994" s="24" t="s">
        <v>37</v>
      </c>
      <c r="C994" s="24" t="s">
        <v>38</v>
      </c>
      <c r="D994" s="24">
        <v>0.3</v>
      </c>
      <c r="E994" s="24" t="s">
        <v>796</v>
      </c>
      <c r="F994" s="24" t="s">
        <v>850</v>
      </c>
      <c r="G994" s="24">
        <v>171814</v>
      </c>
    </row>
    <row r="995" spans="1:7" x14ac:dyDescent="0.25">
      <c r="A995" s="24" t="s">
        <v>184</v>
      </c>
      <c r="B995" s="24" t="s">
        <v>39</v>
      </c>
      <c r="C995" s="24" t="s">
        <v>36</v>
      </c>
      <c r="D995" s="24">
        <v>1.1000000000000001</v>
      </c>
      <c r="E995" s="24" t="s">
        <v>796</v>
      </c>
      <c r="F995" s="24" t="s">
        <v>850</v>
      </c>
      <c r="G995" s="24">
        <v>171814</v>
      </c>
    </row>
    <row r="996" spans="1:7" x14ac:dyDescent="0.25">
      <c r="A996" s="24" t="s">
        <v>184</v>
      </c>
      <c r="B996" s="24" t="s">
        <v>40</v>
      </c>
      <c r="C996" s="24" t="s">
        <v>31</v>
      </c>
      <c r="D996" s="24">
        <v>0.1</v>
      </c>
      <c r="E996" s="24" t="s">
        <v>796</v>
      </c>
      <c r="F996" s="24" t="s">
        <v>850</v>
      </c>
      <c r="G996" s="24">
        <v>171814</v>
      </c>
    </row>
    <row r="997" spans="1:7" x14ac:dyDescent="0.25">
      <c r="A997" s="24" t="s">
        <v>184</v>
      </c>
      <c r="B997" s="24" t="s">
        <v>41</v>
      </c>
      <c r="C997" s="24" t="s">
        <v>31</v>
      </c>
      <c r="D997" s="24">
        <v>0.1</v>
      </c>
      <c r="E997" s="24" t="s">
        <v>796</v>
      </c>
      <c r="F997" s="24" t="s">
        <v>850</v>
      </c>
      <c r="G997" s="24">
        <v>171814</v>
      </c>
    </row>
    <row r="998" spans="1:7" x14ac:dyDescent="0.25">
      <c r="A998" s="24" t="s">
        <v>184</v>
      </c>
      <c r="B998" s="24" t="s">
        <v>42</v>
      </c>
      <c r="C998" s="24" t="s">
        <v>43</v>
      </c>
      <c r="D998" s="24">
        <v>6.4</v>
      </c>
      <c r="E998" s="24" t="s">
        <v>796</v>
      </c>
      <c r="F998" s="24" t="s">
        <v>850</v>
      </c>
      <c r="G998" s="24">
        <v>171814</v>
      </c>
    </row>
    <row r="999" spans="1:7" x14ac:dyDescent="0.25">
      <c r="A999" s="24" t="s">
        <v>184</v>
      </c>
      <c r="B999" s="24" t="s">
        <v>44</v>
      </c>
      <c r="C999" s="24" t="s">
        <v>31</v>
      </c>
      <c r="D999" s="24">
        <v>0.6</v>
      </c>
      <c r="E999" s="24" t="s">
        <v>796</v>
      </c>
      <c r="F999" s="24" t="s">
        <v>850</v>
      </c>
      <c r="G999" s="24">
        <v>171814</v>
      </c>
    </row>
    <row r="1000" spans="1:7" x14ac:dyDescent="0.25">
      <c r="A1000" s="24" t="s">
        <v>184</v>
      </c>
      <c r="B1000" s="24" t="s">
        <v>45</v>
      </c>
      <c r="C1000" s="24" t="s">
        <v>31</v>
      </c>
      <c r="D1000" s="24">
        <v>0.6</v>
      </c>
      <c r="E1000" s="24" t="s">
        <v>796</v>
      </c>
      <c r="F1000" s="24" t="s">
        <v>850</v>
      </c>
      <c r="G1000" s="24">
        <v>171814</v>
      </c>
    </row>
    <row r="1001" spans="1:7" x14ac:dyDescent="0.25">
      <c r="A1001" s="24" t="s">
        <v>184</v>
      </c>
      <c r="B1001" s="24" t="s">
        <v>46</v>
      </c>
      <c r="C1001" s="24" t="s">
        <v>36</v>
      </c>
      <c r="D1001" s="24">
        <v>1</v>
      </c>
      <c r="E1001" s="24" t="s">
        <v>796</v>
      </c>
      <c r="F1001" s="24" t="s">
        <v>850</v>
      </c>
      <c r="G1001" s="24">
        <v>171814</v>
      </c>
    </row>
    <row r="1002" spans="1:7" x14ac:dyDescent="0.25">
      <c r="A1002" s="24" t="s">
        <v>184</v>
      </c>
      <c r="B1002" s="24" t="s">
        <v>47</v>
      </c>
      <c r="C1002" s="24" t="s">
        <v>48</v>
      </c>
      <c r="D1002" s="24">
        <v>11.7</v>
      </c>
      <c r="E1002" s="24" t="s">
        <v>796</v>
      </c>
      <c r="F1002" s="24" t="s">
        <v>850</v>
      </c>
      <c r="G1002" s="24">
        <v>171814</v>
      </c>
    </row>
    <row r="1003" spans="1:7" x14ac:dyDescent="0.25">
      <c r="A1003" s="24" t="s">
        <v>184</v>
      </c>
      <c r="B1003" s="24" t="s">
        <v>50</v>
      </c>
      <c r="C1003" s="24" t="s">
        <v>31</v>
      </c>
      <c r="D1003" s="24">
        <v>317.89999999999998</v>
      </c>
      <c r="E1003" s="24" t="s">
        <v>796</v>
      </c>
      <c r="F1003" s="24" t="s">
        <v>850</v>
      </c>
      <c r="G1003" s="24">
        <v>171814</v>
      </c>
    </row>
    <row r="1004" spans="1:7" x14ac:dyDescent="0.25">
      <c r="A1004" s="24" t="s">
        <v>184</v>
      </c>
      <c r="B1004" s="24" t="s">
        <v>51</v>
      </c>
      <c r="C1004" s="24" t="s">
        <v>31</v>
      </c>
      <c r="D1004" s="24">
        <v>22.4</v>
      </c>
      <c r="E1004" s="24" t="s">
        <v>796</v>
      </c>
      <c r="F1004" s="24" t="s">
        <v>850</v>
      </c>
      <c r="G1004" s="24">
        <v>171814</v>
      </c>
    </row>
    <row r="1005" spans="1:7" x14ac:dyDescent="0.25">
      <c r="A1005" s="24" t="s">
        <v>184</v>
      </c>
      <c r="B1005" s="24" t="s">
        <v>52</v>
      </c>
      <c r="C1005" s="24" t="s">
        <v>31</v>
      </c>
      <c r="D1005" s="24">
        <v>189.5</v>
      </c>
      <c r="E1005" s="24" t="s">
        <v>796</v>
      </c>
      <c r="F1005" s="24" t="s">
        <v>850</v>
      </c>
      <c r="G1005" s="24">
        <v>171814</v>
      </c>
    </row>
    <row r="1006" spans="1:7" x14ac:dyDescent="0.25">
      <c r="A1006" s="24" t="s">
        <v>184</v>
      </c>
      <c r="B1006" s="24" t="s">
        <v>53</v>
      </c>
      <c r="C1006" s="24" t="s">
        <v>31</v>
      </c>
      <c r="D1006" s="24">
        <v>21.6</v>
      </c>
      <c r="E1006" s="24" t="s">
        <v>796</v>
      </c>
      <c r="F1006" s="24" t="s">
        <v>850</v>
      </c>
      <c r="G1006" s="24">
        <v>171814</v>
      </c>
    </row>
    <row r="1007" spans="1:7" x14ac:dyDescent="0.25">
      <c r="A1007" s="24" t="s">
        <v>184</v>
      </c>
      <c r="B1007" s="24" t="s">
        <v>54</v>
      </c>
      <c r="C1007" s="24" t="s">
        <v>31</v>
      </c>
      <c r="D1007" s="24">
        <v>1.5</v>
      </c>
      <c r="E1007" s="24" t="s">
        <v>796</v>
      </c>
      <c r="F1007" s="24" t="s">
        <v>850</v>
      </c>
      <c r="G1007" s="24">
        <v>171814</v>
      </c>
    </row>
    <row r="1008" spans="1:7" x14ac:dyDescent="0.25">
      <c r="A1008" s="24" t="s">
        <v>184</v>
      </c>
      <c r="B1008" s="24" t="s">
        <v>55</v>
      </c>
      <c r="C1008" s="24" t="s">
        <v>31</v>
      </c>
      <c r="D1008" s="24">
        <v>3.7</v>
      </c>
      <c r="E1008" s="24" t="s">
        <v>796</v>
      </c>
      <c r="F1008" s="24" t="s">
        <v>850</v>
      </c>
      <c r="G1008" s="24">
        <v>171814</v>
      </c>
    </row>
    <row r="1009" spans="1:7" x14ac:dyDescent="0.25">
      <c r="A1009" s="24" t="s">
        <v>184</v>
      </c>
      <c r="B1009" s="24" t="s">
        <v>56</v>
      </c>
      <c r="C1009" s="24" t="s">
        <v>31</v>
      </c>
      <c r="D1009" s="24">
        <v>0.1</v>
      </c>
      <c r="E1009" s="24" t="s">
        <v>796</v>
      </c>
      <c r="F1009" s="24" t="s">
        <v>850</v>
      </c>
      <c r="G1009" s="24">
        <v>171814</v>
      </c>
    </row>
    <row r="1010" spans="1:7" x14ac:dyDescent="0.25">
      <c r="A1010" s="24" t="s">
        <v>184</v>
      </c>
      <c r="B1010" s="24" t="s">
        <v>57</v>
      </c>
      <c r="C1010" s="24" t="s">
        <v>36</v>
      </c>
      <c r="D1010" s="24">
        <v>24.7</v>
      </c>
      <c r="E1010" s="24" t="s">
        <v>796</v>
      </c>
      <c r="F1010" s="24" t="s">
        <v>850</v>
      </c>
      <c r="G1010" s="24">
        <v>171814</v>
      </c>
    </row>
    <row r="1011" spans="1:7" x14ac:dyDescent="0.25">
      <c r="A1011" s="24" t="s">
        <v>184</v>
      </c>
      <c r="B1011" s="24" t="s">
        <v>58</v>
      </c>
      <c r="C1011" s="24" t="s">
        <v>5</v>
      </c>
      <c r="D1011" s="24">
        <v>0</v>
      </c>
      <c r="E1011" s="24" t="s">
        <v>795</v>
      </c>
      <c r="F1011" s="24"/>
      <c r="G1011" s="24"/>
    </row>
    <row r="1012" spans="1:7" x14ac:dyDescent="0.25">
      <c r="A1012" s="24" t="s">
        <v>185</v>
      </c>
      <c r="B1012" s="24" t="s">
        <v>23</v>
      </c>
      <c r="C1012" s="24" t="s">
        <v>5</v>
      </c>
      <c r="D1012" s="24">
        <v>0</v>
      </c>
      <c r="E1012" s="24" t="s">
        <v>796</v>
      </c>
      <c r="F1012" s="24" t="s">
        <v>850</v>
      </c>
      <c r="G1012" s="24">
        <v>171814</v>
      </c>
    </row>
    <row r="1013" spans="1:7" x14ac:dyDescent="0.25">
      <c r="A1013" s="24" t="s">
        <v>185</v>
      </c>
      <c r="B1013" s="24" t="s">
        <v>30</v>
      </c>
      <c r="C1013" s="24" t="s">
        <v>31</v>
      </c>
      <c r="D1013" s="24">
        <v>53</v>
      </c>
      <c r="E1013" s="24" t="s">
        <v>801</v>
      </c>
      <c r="F1013" s="24" t="s">
        <v>850</v>
      </c>
      <c r="G1013" s="24">
        <v>171814</v>
      </c>
    </row>
    <row r="1014" spans="1:7" x14ac:dyDescent="0.25">
      <c r="A1014" s="24" t="s">
        <v>185</v>
      </c>
      <c r="B1014" s="24" t="s">
        <v>32</v>
      </c>
      <c r="C1014" s="24" t="s">
        <v>33</v>
      </c>
      <c r="D1014" s="24">
        <v>0</v>
      </c>
      <c r="E1014" s="24" t="s">
        <v>796</v>
      </c>
      <c r="F1014" s="24" t="s">
        <v>850</v>
      </c>
      <c r="G1014" s="24">
        <v>171814</v>
      </c>
    </row>
    <row r="1015" spans="1:7" x14ac:dyDescent="0.25">
      <c r="A1015" s="24" t="s">
        <v>185</v>
      </c>
      <c r="B1015" s="24" t="s">
        <v>34</v>
      </c>
      <c r="C1015" s="24" t="s">
        <v>31</v>
      </c>
      <c r="D1015" s="24">
        <v>0</v>
      </c>
      <c r="E1015" s="24" t="s">
        <v>796</v>
      </c>
      <c r="F1015" s="24" t="s">
        <v>850</v>
      </c>
      <c r="G1015" s="24">
        <v>171814</v>
      </c>
    </row>
    <row r="1016" spans="1:7" x14ac:dyDescent="0.25">
      <c r="A1016" s="24" t="s">
        <v>185</v>
      </c>
      <c r="B1016" s="24" t="s">
        <v>37</v>
      </c>
      <c r="C1016" s="24" t="s">
        <v>38</v>
      </c>
      <c r="D1016" s="24">
        <v>0.3</v>
      </c>
      <c r="E1016" s="24" t="s">
        <v>796</v>
      </c>
      <c r="F1016" s="24" t="s">
        <v>850</v>
      </c>
      <c r="G1016" s="24">
        <v>171814</v>
      </c>
    </row>
    <row r="1017" spans="1:7" x14ac:dyDescent="0.25">
      <c r="A1017" s="24" t="s">
        <v>185</v>
      </c>
      <c r="B1017" s="24" t="s">
        <v>39</v>
      </c>
      <c r="C1017" s="24" t="s">
        <v>36</v>
      </c>
      <c r="D1017" s="24">
        <v>1.3</v>
      </c>
      <c r="E1017" s="24" t="s">
        <v>796</v>
      </c>
      <c r="F1017" s="24" t="s">
        <v>850</v>
      </c>
      <c r="G1017" s="24">
        <v>171814</v>
      </c>
    </row>
    <row r="1018" spans="1:7" x14ac:dyDescent="0.25">
      <c r="A1018" s="24" t="s">
        <v>185</v>
      </c>
      <c r="B1018" s="24" t="s">
        <v>44</v>
      </c>
      <c r="C1018" s="24" t="s">
        <v>31</v>
      </c>
      <c r="D1018" s="24">
        <v>0.7</v>
      </c>
      <c r="E1018" s="24" t="s">
        <v>796</v>
      </c>
      <c r="F1018" s="24" t="s">
        <v>850</v>
      </c>
      <c r="G1018" s="24">
        <v>171814</v>
      </c>
    </row>
    <row r="1019" spans="1:7" x14ac:dyDescent="0.25">
      <c r="A1019" s="24" t="s">
        <v>185</v>
      </c>
      <c r="B1019" s="24" t="s">
        <v>45</v>
      </c>
      <c r="C1019" s="24" t="s">
        <v>31</v>
      </c>
      <c r="D1019" s="24">
        <v>0.7</v>
      </c>
      <c r="E1019" s="24" t="s">
        <v>796</v>
      </c>
      <c r="F1019" s="24" t="s">
        <v>850</v>
      </c>
      <c r="G1019" s="24">
        <v>171814</v>
      </c>
    </row>
    <row r="1020" spans="1:7" x14ac:dyDescent="0.25">
      <c r="A1020" s="24" t="s">
        <v>185</v>
      </c>
      <c r="B1020" s="24" t="s">
        <v>46</v>
      </c>
      <c r="C1020" s="24" t="s">
        <v>36</v>
      </c>
      <c r="D1020" s="24">
        <v>1.2</v>
      </c>
      <c r="E1020" s="24" t="s">
        <v>796</v>
      </c>
      <c r="F1020" s="24" t="s">
        <v>850</v>
      </c>
      <c r="G1020" s="24">
        <v>171814</v>
      </c>
    </row>
    <row r="1021" spans="1:7" x14ac:dyDescent="0.25">
      <c r="A1021" s="24" t="s">
        <v>185</v>
      </c>
      <c r="B1021" s="24" t="s">
        <v>47</v>
      </c>
      <c r="C1021" s="24" t="s">
        <v>48</v>
      </c>
      <c r="D1021" s="24">
        <v>13.7</v>
      </c>
      <c r="E1021" s="24" t="s">
        <v>796</v>
      </c>
      <c r="F1021" s="24" t="s">
        <v>850</v>
      </c>
      <c r="G1021" s="24">
        <v>171814</v>
      </c>
    </row>
    <row r="1022" spans="1:7" x14ac:dyDescent="0.25">
      <c r="A1022" s="24" t="s">
        <v>185</v>
      </c>
      <c r="B1022" s="24" t="s">
        <v>53</v>
      </c>
      <c r="C1022" s="24" t="s">
        <v>31</v>
      </c>
      <c r="D1022" s="24">
        <v>25.3</v>
      </c>
      <c r="E1022" s="24" t="s">
        <v>796</v>
      </c>
      <c r="F1022" s="24" t="s">
        <v>850</v>
      </c>
      <c r="G1022" s="24">
        <v>171814</v>
      </c>
    </row>
    <row r="1023" spans="1:7" x14ac:dyDescent="0.25">
      <c r="A1023" s="24" t="s">
        <v>185</v>
      </c>
      <c r="B1023" s="24" t="s">
        <v>55</v>
      </c>
      <c r="C1023" s="24" t="s">
        <v>31</v>
      </c>
      <c r="D1023" s="24">
        <v>4.3</v>
      </c>
      <c r="E1023" s="24" t="s">
        <v>796</v>
      </c>
      <c r="F1023" s="24" t="s">
        <v>850</v>
      </c>
      <c r="G1023" s="24">
        <v>171814</v>
      </c>
    </row>
    <row r="1024" spans="1:7" x14ac:dyDescent="0.25">
      <c r="A1024" s="24" t="s">
        <v>185</v>
      </c>
      <c r="B1024" s="24" t="s">
        <v>56</v>
      </c>
      <c r="C1024" s="24" t="s">
        <v>31</v>
      </c>
      <c r="D1024" s="24">
        <v>0.1</v>
      </c>
      <c r="E1024" s="24" t="s">
        <v>796</v>
      </c>
      <c r="F1024" s="24" t="s">
        <v>850</v>
      </c>
      <c r="G1024" s="24">
        <v>171814</v>
      </c>
    </row>
    <row r="1025" spans="1:7" x14ac:dyDescent="0.25">
      <c r="A1025" s="24" t="s">
        <v>185</v>
      </c>
      <c r="B1025" s="24" t="s">
        <v>57</v>
      </c>
      <c r="C1025" s="24" t="s">
        <v>36</v>
      </c>
      <c r="D1025" s="24">
        <v>28.9</v>
      </c>
      <c r="E1025" s="24" t="s">
        <v>796</v>
      </c>
      <c r="F1025" s="24" t="s">
        <v>850</v>
      </c>
      <c r="G1025" s="24">
        <v>171814</v>
      </c>
    </row>
    <row r="1026" spans="1:7" x14ac:dyDescent="0.25">
      <c r="A1026" s="24" t="s">
        <v>185</v>
      </c>
      <c r="B1026" s="24" t="s">
        <v>58</v>
      </c>
      <c r="C1026" s="24" t="s">
        <v>5</v>
      </c>
      <c r="D1026" s="24">
        <v>0</v>
      </c>
      <c r="E1026" s="24" t="s">
        <v>795</v>
      </c>
      <c r="F1026" s="24"/>
      <c r="G1026" s="24"/>
    </row>
    <row r="1027" spans="1:7" x14ac:dyDescent="0.25">
      <c r="A1027" s="24" t="s">
        <v>186</v>
      </c>
      <c r="B1027" s="24" t="s">
        <v>23</v>
      </c>
      <c r="C1027" s="24" t="s">
        <v>5</v>
      </c>
      <c r="D1027" s="24">
        <v>0</v>
      </c>
      <c r="E1027" s="24" t="s">
        <v>796</v>
      </c>
      <c r="F1027" s="24" t="s">
        <v>851</v>
      </c>
      <c r="G1027" s="24">
        <v>172143</v>
      </c>
    </row>
    <row r="1028" spans="1:7" x14ac:dyDescent="0.25">
      <c r="A1028" s="24" t="s">
        <v>186</v>
      </c>
      <c r="B1028" s="24" t="s">
        <v>29</v>
      </c>
      <c r="C1028" s="24" t="s">
        <v>5</v>
      </c>
      <c r="D1028" s="24">
        <v>0.21</v>
      </c>
      <c r="E1028" s="24" t="s">
        <v>799</v>
      </c>
      <c r="F1028" s="24" t="s">
        <v>851</v>
      </c>
      <c r="G1028" s="24">
        <v>172143</v>
      </c>
    </row>
    <row r="1029" spans="1:7" x14ac:dyDescent="0.25">
      <c r="A1029" s="24" t="s">
        <v>186</v>
      </c>
      <c r="B1029" s="24" t="s">
        <v>30</v>
      </c>
      <c r="C1029" s="24" t="s">
        <v>31</v>
      </c>
      <c r="D1029" s="24">
        <v>66</v>
      </c>
      <c r="E1029" s="24" t="s">
        <v>801</v>
      </c>
      <c r="F1029" s="24" t="s">
        <v>851</v>
      </c>
      <c r="G1029" s="24">
        <v>172143</v>
      </c>
    </row>
    <row r="1030" spans="1:7" x14ac:dyDescent="0.25">
      <c r="A1030" s="24" t="s">
        <v>186</v>
      </c>
      <c r="B1030" s="24" t="s">
        <v>35</v>
      </c>
      <c r="C1030" s="24" t="s">
        <v>36</v>
      </c>
      <c r="D1030" s="24">
        <v>0.1</v>
      </c>
      <c r="E1030" s="24" t="s">
        <v>796</v>
      </c>
      <c r="F1030" s="24" t="s">
        <v>851</v>
      </c>
      <c r="G1030" s="24">
        <v>172143</v>
      </c>
    </row>
    <row r="1031" spans="1:7" x14ac:dyDescent="0.25">
      <c r="A1031" s="24" t="s">
        <v>186</v>
      </c>
      <c r="B1031" s="24" t="s">
        <v>37</v>
      </c>
      <c r="C1031" s="24" t="s">
        <v>38</v>
      </c>
      <c r="D1031" s="24">
        <v>0.1</v>
      </c>
      <c r="E1031" s="24" t="s">
        <v>796</v>
      </c>
      <c r="F1031" s="24" t="s">
        <v>851</v>
      </c>
      <c r="G1031" s="24">
        <v>172143</v>
      </c>
    </row>
    <row r="1032" spans="1:7" x14ac:dyDescent="0.25">
      <c r="A1032" s="24" t="s">
        <v>186</v>
      </c>
      <c r="B1032" s="24" t="s">
        <v>39</v>
      </c>
      <c r="C1032" s="24" t="s">
        <v>36</v>
      </c>
      <c r="D1032" s="24">
        <v>1.5</v>
      </c>
      <c r="E1032" s="24" t="s">
        <v>796</v>
      </c>
      <c r="F1032" s="24" t="s">
        <v>851</v>
      </c>
      <c r="G1032" s="24">
        <v>172143</v>
      </c>
    </row>
    <row r="1033" spans="1:7" x14ac:dyDescent="0.25">
      <c r="A1033" s="24" t="s">
        <v>186</v>
      </c>
      <c r="B1033" s="24" t="s">
        <v>44</v>
      </c>
      <c r="C1033" s="24" t="s">
        <v>31</v>
      </c>
      <c r="D1033" s="24">
        <v>0.5</v>
      </c>
      <c r="E1033" s="24" t="s">
        <v>796</v>
      </c>
      <c r="F1033" s="24" t="s">
        <v>851</v>
      </c>
      <c r="G1033" s="24">
        <v>172143</v>
      </c>
    </row>
    <row r="1034" spans="1:7" x14ac:dyDescent="0.25">
      <c r="A1034" s="24" t="s">
        <v>186</v>
      </c>
      <c r="B1034" s="24" t="s">
        <v>45</v>
      </c>
      <c r="C1034" s="24" t="s">
        <v>31</v>
      </c>
      <c r="D1034" s="24">
        <v>0.5</v>
      </c>
      <c r="E1034" s="24" t="s">
        <v>796</v>
      </c>
      <c r="F1034" s="24" t="s">
        <v>851</v>
      </c>
      <c r="G1034" s="24">
        <v>172143</v>
      </c>
    </row>
    <row r="1035" spans="1:7" x14ac:dyDescent="0.25">
      <c r="A1035" s="24" t="s">
        <v>186</v>
      </c>
      <c r="B1035" s="24" t="s">
        <v>46</v>
      </c>
      <c r="C1035" s="24" t="s">
        <v>36</v>
      </c>
      <c r="D1035" s="24">
        <v>1.8</v>
      </c>
      <c r="E1035" s="24" t="s">
        <v>796</v>
      </c>
      <c r="F1035" s="24" t="s">
        <v>851</v>
      </c>
      <c r="G1035" s="24">
        <v>172143</v>
      </c>
    </row>
    <row r="1036" spans="1:7" x14ac:dyDescent="0.25">
      <c r="A1036" s="24" t="s">
        <v>186</v>
      </c>
      <c r="B1036" s="24" t="s">
        <v>47</v>
      </c>
      <c r="C1036" s="24" t="s">
        <v>48</v>
      </c>
      <c r="D1036" s="24">
        <v>3.9</v>
      </c>
      <c r="E1036" s="24" t="s">
        <v>796</v>
      </c>
      <c r="F1036" s="24" t="s">
        <v>851</v>
      </c>
      <c r="G1036" s="24">
        <v>172143</v>
      </c>
    </row>
    <row r="1037" spans="1:7" x14ac:dyDescent="0.25">
      <c r="A1037" s="24" t="s">
        <v>186</v>
      </c>
      <c r="B1037" s="24" t="s">
        <v>53</v>
      </c>
      <c r="C1037" s="24" t="s">
        <v>31</v>
      </c>
      <c r="D1037" s="24">
        <v>22.3</v>
      </c>
      <c r="E1037" s="24" t="s">
        <v>796</v>
      </c>
      <c r="F1037" s="24" t="s">
        <v>851</v>
      </c>
      <c r="G1037" s="24">
        <v>172143</v>
      </c>
    </row>
    <row r="1038" spans="1:7" x14ac:dyDescent="0.25">
      <c r="A1038" s="24" t="s">
        <v>186</v>
      </c>
      <c r="B1038" s="24" t="s">
        <v>55</v>
      </c>
      <c r="C1038" s="24" t="s">
        <v>31</v>
      </c>
      <c r="D1038" s="24">
        <v>5.5</v>
      </c>
      <c r="E1038" s="24" t="s">
        <v>796</v>
      </c>
      <c r="F1038" s="24" t="s">
        <v>851</v>
      </c>
      <c r="G1038" s="24">
        <v>172143</v>
      </c>
    </row>
    <row r="1039" spans="1:7" x14ac:dyDescent="0.25">
      <c r="A1039" s="24" t="s">
        <v>186</v>
      </c>
      <c r="B1039" s="24" t="s">
        <v>56</v>
      </c>
      <c r="C1039" s="24" t="s">
        <v>31</v>
      </c>
      <c r="D1039" s="24">
        <v>0.1</v>
      </c>
      <c r="E1039" s="24" t="s">
        <v>796</v>
      </c>
      <c r="F1039" s="24" t="s">
        <v>851</v>
      </c>
      <c r="G1039" s="24">
        <v>172143</v>
      </c>
    </row>
    <row r="1040" spans="1:7" x14ac:dyDescent="0.25">
      <c r="A1040" s="24" t="s">
        <v>186</v>
      </c>
      <c r="B1040" s="24" t="s">
        <v>57</v>
      </c>
      <c r="C1040" s="24" t="s">
        <v>36</v>
      </c>
      <c r="D1040" s="24">
        <v>26.5</v>
      </c>
      <c r="E1040" s="24" t="s">
        <v>796</v>
      </c>
      <c r="F1040" s="24" t="s">
        <v>851</v>
      </c>
      <c r="G1040" s="24">
        <v>172143</v>
      </c>
    </row>
    <row r="1041" spans="1:7" x14ac:dyDescent="0.25">
      <c r="A1041" s="24" t="s">
        <v>186</v>
      </c>
      <c r="B1041" s="24" t="s">
        <v>58</v>
      </c>
      <c r="C1041" s="24" t="s">
        <v>5</v>
      </c>
      <c r="D1041" s="24">
        <v>0</v>
      </c>
      <c r="E1041" s="24" t="s">
        <v>795</v>
      </c>
      <c r="F1041" s="24"/>
      <c r="G1041" s="24"/>
    </row>
    <row r="1042" spans="1:7" x14ac:dyDescent="0.25">
      <c r="A1042" s="24" t="s">
        <v>187</v>
      </c>
      <c r="B1042" s="24" t="s">
        <v>23</v>
      </c>
      <c r="C1042" s="24" t="s">
        <v>5</v>
      </c>
      <c r="D1042" s="24">
        <v>0</v>
      </c>
      <c r="E1042" s="24" t="s">
        <v>796</v>
      </c>
      <c r="F1042" s="24" t="s">
        <v>852</v>
      </c>
      <c r="G1042" s="24">
        <v>171760</v>
      </c>
    </row>
    <row r="1043" spans="1:7" x14ac:dyDescent="0.25">
      <c r="A1043" s="24" t="s">
        <v>187</v>
      </c>
      <c r="B1043" s="24" t="s">
        <v>29</v>
      </c>
      <c r="C1043" s="24" t="s">
        <v>5</v>
      </c>
      <c r="D1043" s="24">
        <v>0.15</v>
      </c>
      <c r="E1043" s="24" t="s">
        <v>799</v>
      </c>
      <c r="F1043" s="24" t="s">
        <v>852</v>
      </c>
      <c r="G1043" s="24">
        <v>171760</v>
      </c>
    </row>
    <row r="1044" spans="1:7" x14ac:dyDescent="0.25">
      <c r="A1044" s="24" t="s">
        <v>187</v>
      </c>
      <c r="B1044" s="24" t="s">
        <v>30</v>
      </c>
      <c r="C1044" s="24" t="s">
        <v>31</v>
      </c>
      <c r="D1044" s="24">
        <v>62</v>
      </c>
      <c r="E1044" s="24" t="s">
        <v>801</v>
      </c>
      <c r="F1044" s="24" t="s">
        <v>852</v>
      </c>
      <c r="G1044" s="24">
        <v>171760</v>
      </c>
    </row>
    <row r="1045" spans="1:7" x14ac:dyDescent="0.25">
      <c r="A1045" s="24" t="s">
        <v>187</v>
      </c>
      <c r="B1045" s="24" t="s">
        <v>32</v>
      </c>
      <c r="C1045" s="24" t="s">
        <v>33</v>
      </c>
      <c r="D1045" s="24">
        <v>2.1</v>
      </c>
      <c r="E1045" s="24" t="s">
        <v>796</v>
      </c>
      <c r="F1045" s="24" t="s">
        <v>852</v>
      </c>
      <c r="G1045" s="24">
        <v>171760</v>
      </c>
    </row>
    <row r="1046" spans="1:7" x14ac:dyDescent="0.25">
      <c r="A1046" s="24" t="s">
        <v>187</v>
      </c>
      <c r="B1046" s="24" t="s">
        <v>34</v>
      </c>
      <c r="C1046" s="24" t="s">
        <v>31</v>
      </c>
      <c r="D1046" s="24">
        <v>0</v>
      </c>
      <c r="E1046" s="24" t="s">
        <v>796</v>
      </c>
      <c r="F1046" s="24" t="s">
        <v>852</v>
      </c>
      <c r="G1046" s="24">
        <v>171760</v>
      </c>
    </row>
    <row r="1047" spans="1:7" x14ac:dyDescent="0.25">
      <c r="A1047" s="24" t="s">
        <v>187</v>
      </c>
      <c r="B1047" s="24" t="s">
        <v>35</v>
      </c>
      <c r="C1047" s="24" t="s">
        <v>36</v>
      </c>
      <c r="D1047" s="24">
        <v>0</v>
      </c>
      <c r="E1047" s="24" t="s">
        <v>796</v>
      </c>
      <c r="F1047" s="24" t="s">
        <v>852</v>
      </c>
      <c r="G1047" s="24">
        <v>171760</v>
      </c>
    </row>
    <row r="1048" spans="1:7" x14ac:dyDescent="0.25">
      <c r="A1048" s="24" t="s">
        <v>187</v>
      </c>
      <c r="B1048" s="24" t="s">
        <v>37</v>
      </c>
      <c r="C1048" s="24" t="s">
        <v>38</v>
      </c>
      <c r="D1048" s="24">
        <v>0.2</v>
      </c>
      <c r="E1048" s="24" t="s">
        <v>796</v>
      </c>
      <c r="F1048" s="24" t="s">
        <v>852</v>
      </c>
      <c r="G1048" s="24">
        <v>171760</v>
      </c>
    </row>
    <row r="1049" spans="1:7" x14ac:dyDescent="0.25">
      <c r="A1049" s="24" t="s">
        <v>187</v>
      </c>
      <c r="B1049" s="24" t="s">
        <v>39</v>
      </c>
      <c r="C1049" s="24" t="s">
        <v>36</v>
      </c>
      <c r="D1049" s="24">
        <v>1.6</v>
      </c>
      <c r="E1049" s="24" t="s">
        <v>796</v>
      </c>
      <c r="F1049" s="24" t="s">
        <v>852</v>
      </c>
      <c r="G1049" s="24">
        <v>171760</v>
      </c>
    </row>
    <row r="1050" spans="1:7" x14ac:dyDescent="0.25">
      <c r="A1050" s="24" t="s">
        <v>187</v>
      </c>
      <c r="B1050" s="24" t="s">
        <v>44</v>
      </c>
      <c r="C1050" s="24" t="s">
        <v>31</v>
      </c>
      <c r="D1050" s="24">
        <v>0.7</v>
      </c>
      <c r="E1050" s="24" t="s">
        <v>796</v>
      </c>
      <c r="F1050" s="24" t="s">
        <v>852</v>
      </c>
      <c r="G1050" s="24">
        <v>171760</v>
      </c>
    </row>
    <row r="1051" spans="1:7" x14ac:dyDescent="0.25">
      <c r="A1051" s="24" t="s">
        <v>187</v>
      </c>
      <c r="B1051" s="24" t="s">
        <v>45</v>
      </c>
      <c r="C1051" s="24" t="s">
        <v>31</v>
      </c>
      <c r="D1051" s="24">
        <v>0.4</v>
      </c>
      <c r="E1051" s="24" t="s">
        <v>796</v>
      </c>
      <c r="F1051" s="24" t="s">
        <v>852</v>
      </c>
      <c r="G1051" s="24">
        <v>171760</v>
      </c>
    </row>
    <row r="1052" spans="1:7" x14ac:dyDescent="0.25">
      <c r="A1052" s="24" t="s">
        <v>187</v>
      </c>
      <c r="B1052" s="24" t="s">
        <v>46</v>
      </c>
      <c r="C1052" s="24" t="s">
        <v>36</v>
      </c>
      <c r="D1052" s="24">
        <v>1.7</v>
      </c>
      <c r="E1052" s="24" t="s">
        <v>796</v>
      </c>
      <c r="F1052" s="24" t="s">
        <v>852</v>
      </c>
      <c r="G1052" s="24">
        <v>171760</v>
      </c>
    </row>
    <row r="1053" spans="1:7" x14ac:dyDescent="0.25">
      <c r="A1053" s="24" t="s">
        <v>187</v>
      </c>
      <c r="B1053" s="24" t="s">
        <v>47</v>
      </c>
      <c r="C1053" s="24" t="s">
        <v>48</v>
      </c>
      <c r="D1053" s="24">
        <v>4.0999999999999996</v>
      </c>
      <c r="E1053" s="24" t="s">
        <v>796</v>
      </c>
      <c r="F1053" s="24" t="s">
        <v>852</v>
      </c>
      <c r="G1053" s="24">
        <v>171760</v>
      </c>
    </row>
    <row r="1054" spans="1:7" x14ac:dyDescent="0.25">
      <c r="A1054" s="24" t="s">
        <v>187</v>
      </c>
      <c r="B1054" s="24" t="s">
        <v>53</v>
      </c>
      <c r="C1054" s="24" t="s">
        <v>31</v>
      </c>
      <c r="D1054" s="24">
        <v>12.4</v>
      </c>
      <c r="E1054" s="24" t="s">
        <v>796</v>
      </c>
      <c r="F1054" s="24" t="s">
        <v>852</v>
      </c>
      <c r="G1054" s="24">
        <v>171760</v>
      </c>
    </row>
    <row r="1055" spans="1:7" x14ac:dyDescent="0.25">
      <c r="A1055" s="24" t="s">
        <v>187</v>
      </c>
      <c r="B1055" s="24" t="s">
        <v>55</v>
      </c>
      <c r="C1055" s="24" t="s">
        <v>31</v>
      </c>
      <c r="D1055" s="24">
        <v>3.8</v>
      </c>
      <c r="E1055" s="24" t="s">
        <v>796</v>
      </c>
      <c r="F1055" s="24" t="s">
        <v>852</v>
      </c>
      <c r="G1055" s="24">
        <v>171760</v>
      </c>
    </row>
    <row r="1056" spans="1:7" x14ac:dyDescent="0.25">
      <c r="A1056" s="24" t="s">
        <v>187</v>
      </c>
      <c r="B1056" s="24" t="s">
        <v>56</v>
      </c>
      <c r="C1056" s="24" t="s">
        <v>31</v>
      </c>
      <c r="D1056" s="24">
        <v>0</v>
      </c>
      <c r="E1056" s="24" t="s">
        <v>796</v>
      </c>
      <c r="F1056" s="24" t="s">
        <v>852</v>
      </c>
      <c r="G1056" s="24">
        <v>171760</v>
      </c>
    </row>
    <row r="1057" spans="1:7" x14ac:dyDescent="0.25">
      <c r="A1057" s="24" t="s">
        <v>187</v>
      </c>
      <c r="B1057" s="24" t="s">
        <v>57</v>
      </c>
      <c r="C1057" s="24" t="s">
        <v>36</v>
      </c>
      <c r="D1057" s="24">
        <v>23</v>
      </c>
      <c r="E1057" s="24" t="s">
        <v>796</v>
      </c>
      <c r="F1057" s="24" t="s">
        <v>852</v>
      </c>
      <c r="G1057" s="24">
        <v>171760</v>
      </c>
    </row>
    <row r="1058" spans="1:7" x14ac:dyDescent="0.25">
      <c r="A1058" s="24" t="s">
        <v>187</v>
      </c>
      <c r="B1058" s="24" t="s">
        <v>58</v>
      </c>
      <c r="C1058" s="24" t="s">
        <v>5</v>
      </c>
      <c r="D1058" s="24">
        <v>0</v>
      </c>
      <c r="E1058" s="24" t="s">
        <v>795</v>
      </c>
      <c r="F1058" s="24"/>
      <c r="G1058" s="24"/>
    </row>
    <row r="1059" spans="1:7" x14ac:dyDescent="0.25">
      <c r="A1059" s="24" t="s">
        <v>188</v>
      </c>
      <c r="B1059" s="24" t="s">
        <v>23</v>
      </c>
      <c r="C1059" s="24" t="s">
        <v>5</v>
      </c>
      <c r="D1059" s="24">
        <v>0</v>
      </c>
      <c r="E1059" s="24" t="s">
        <v>796</v>
      </c>
      <c r="F1059" s="24" t="s">
        <v>853</v>
      </c>
      <c r="G1059" s="24">
        <v>174046</v>
      </c>
    </row>
    <row r="1060" spans="1:7" x14ac:dyDescent="0.25">
      <c r="A1060" s="24" t="s">
        <v>188</v>
      </c>
      <c r="B1060" s="24" t="s">
        <v>30</v>
      </c>
      <c r="C1060" s="24" t="s">
        <v>31</v>
      </c>
      <c r="D1060" s="24">
        <v>61</v>
      </c>
      <c r="E1060" s="24" t="s">
        <v>801</v>
      </c>
      <c r="F1060" s="24" t="s">
        <v>853</v>
      </c>
      <c r="G1060" s="24">
        <v>174046</v>
      </c>
    </row>
    <row r="1061" spans="1:7" x14ac:dyDescent="0.25">
      <c r="A1061" s="24" t="s">
        <v>188</v>
      </c>
      <c r="B1061" s="24" t="s">
        <v>37</v>
      </c>
      <c r="C1061" s="24" t="s">
        <v>38</v>
      </c>
      <c r="D1061" s="24">
        <v>0.3</v>
      </c>
      <c r="E1061" s="24" t="s">
        <v>796</v>
      </c>
      <c r="F1061" s="24" t="s">
        <v>853</v>
      </c>
      <c r="G1061" s="24">
        <v>174046</v>
      </c>
    </row>
    <row r="1062" spans="1:7" x14ac:dyDescent="0.25">
      <c r="A1062" s="24" t="s">
        <v>188</v>
      </c>
      <c r="B1062" s="24" t="s">
        <v>39</v>
      </c>
      <c r="C1062" s="24" t="s">
        <v>36</v>
      </c>
      <c r="D1062" s="24">
        <v>1.2</v>
      </c>
      <c r="E1062" s="24" t="s">
        <v>796</v>
      </c>
      <c r="F1062" s="24" t="s">
        <v>853</v>
      </c>
      <c r="G1062" s="24">
        <v>174046</v>
      </c>
    </row>
    <row r="1063" spans="1:7" x14ac:dyDescent="0.25">
      <c r="A1063" s="24" t="s">
        <v>188</v>
      </c>
      <c r="B1063" s="24" t="s">
        <v>44</v>
      </c>
      <c r="C1063" s="24" t="s">
        <v>31</v>
      </c>
      <c r="D1063" s="24">
        <v>0.7</v>
      </c>
      <c r="E1063" s="24" t="s">
        <v>796</v>
      </c>
      <c r="F1063" s="24" t="s">
        <v>853</v>
      </c>
      <c r="G1063" s="24">
        <v>174046</v>
      </c>
    </row>
    <row r="1064" spans="1:7" x14ac:dyDescent="0.25">
      <c r="A1064" s="24" t="s">
        <v>188</v>
      </c>
      <c r="B1064" s="24" t="s">
        <v>45</v>
      </c>
      <c r="C1064" s="24" t="s">
        <v>31</v>
      </c>
      <c r="D1064" s="24">
        <v>0.7</v>
      </c>
      <c r="E1064" s="24" t="s">
        <v>796</v>
      </c>
      <c r="F1064" s="24" t="s">
        <v>853</v>
      </c>
      <c r="G1064" s="24">
        <v>174046</v>
      </c>
    </row>
    <row r="1065" spans="1:7" x14ac:dyDescent="0.25">
      <c r="A1065" s="24" t="s">
        <v>188</v>
      </c>
      <c r="B1065" s="24" t="s">
        <v>46</v>
      </c>
      <c r="C1065" s="24" t="s">
        <v>36</v>
      </c>
      <c r="D1065" s="24">
        <v>1.6</v>
      </c>
      <c r="E1065" s="24" t="s">
        <v>796</v>
      </c>
      <c r="F1065" s="24" t="s">
        <v>853</v>
      </c>
      <c r="G1065" s="24">
        <v>174046</v>
      </c>
    </row>
    <row r="1066" spans="1:7" x14ac:dyDescent="0.25">
      <c r="A1066" s="24" t="s">
        <v>188</v>
      </c>
      <c r="B1066" s="24" t="s">
        <v>47</v>
      </c>
      <c r="C1066" s="24" t="s">
        <v>48</v>
      </c>
      <c r="D1066" s="24">
        <v>13.1</v>
      </c>
      <c r="E1066" s="24" t="s">
        <v>796</v>
      </c>
      <c r="F1066" s="24" t="s">
        <v>853</v>
      </c>
      <c r="G1066" s="24">
        <v>174046</v>
      </c>
    </row>
    <row r="1067" spans="1:7" x14ac:dyDescent="0.25">
      <c r="A1067" s="24" t="s">
        <v>188</v>
      </c>
      <c r="B1067" s="24" t="s">
        <v>53</v>
      </c>
      <c r="C1067" s="24" t="s">
        <v>31</v>
      </c>
      <c r="D1067" s="24">
        <v>24.2</v>
      </c>
      <c r="E1067" s="24" t="s">
        <v>796</v>
      </c>
      <c r="F1067" s="24" t="s">
        <v>853</v>
      </c>
      <c r="G1067" s="24">
        <v>174046</v>
      </c>
    </row>
    <row r="1068" spans="1:7" x14ac:dyDescent="0.25">
      <c r="A1068" s="24" t="s">
        <v>188</v>
      </c>
      <c r="B1068" s="24" t="s">
        <v>55</v>
      </c>
      <c r="C1068" s="24" t="s">
        <v>31</v>
      </c>
      <c r="D1068" s="24">
        <v>4.2</v>
      </c>
      <c r="E1068" s="24" t="s">
        <v>796</v>
      </c>
      <c r="F1068" s="24" t="s">
        <v>853</v>
      </c>
      <c r="G1068" s="24">
        <v>174046</v>
      </c>
    </row>
    <row r="1069" spans="1:7" x14ac:dyDescent="0.25">
      <c r="A1069" s="24" t="s">
        <v>188</v>
      </c>
      <c r="B1069" s="24" t="s">
        <v>56</v>
      </c>
      <c r="C1069" s="24" t="s">
        <v>31</v>
      </c>
      <c r="D1069" s="24">
        <v>0.1</v>
      </c>
      <c r="E1069" s="24" t="s">
        <v>796</v>
      </c>
      <c r="F1069" s="24" t="s">
        <v>853</v>
      </c>
      <c r="G1069" s="24">
        <v>174046</v>
      </c>
    </row>
    <row r="1070" spans="1:7" x14ac:dyDescent="0.25">
      <c r="A1070" s="24" t="s">
        <v>188</v>
      </c>
      <c r="B1070" s="24" t="s">
        <v>57</v>
      </c>
      <c r="C1070" s="24" t="s">
        <v>36</v>
      </c>
      <c r="D1070" s="24">
        <v>28.4</v>
      </c>
      <c r="E1070" s="24" t="s">
        <v>796</v>
      </c>
      <c r="F1070" s="24" t="s">
        <v>853</v>
      </c>
      <c r="G1070" s="24">
        <v>174046</v>
      </c>
    </row>
    <row r="1071" spans="1:7" x14ac:dyDescent="0.25">
      <c r="A1071" s="24" t="s">
        <v>188</v>
      </c>
      <c r="B1071" s="24" t="s">
        <v>58</v>
      </c>
      <c r="C1071" s="24" t="s">
        <v>5</v>
      </c>
      <c r="D1071" s="24">
        <v>0</v>
      </c>
      <c r="E1071" s="24" t="s">
        <v>795</v>
      </c>
      <c r="F1071" s="24"/>
      <c r="G1071" s="24"/>
    </row>
    <row r="1072" spans="1:7" x14ac:dyDescent="0.25">
      <c r="A1072" s="24" t="s">
        <v>189</v>
      </c>
      <c r="B1072" s="24" t="s">
        <v>23</v>
      </c>
      <c r="C1072" s="24" t="s">
        <v>5</v>
      </c>
      <c r="D1072" s="24">
        <v>0</v>
      </c>
      <c r="E1072" s="24" t="s">
        <v>796</v>
      </c>
      <c r="F1072" s="24" t="s">
        <v>854</v>
      </c>
      <c r="G1072" s="24">
        <v>174049</v>
      </c>
    </row>
    <row r="1073" spans="1:7" x14ac:dyDescent="0.25">
      <c r="A1073" s="24" t="s">
        <v>189</v>
      </c>
      <c r="B1073" s="24" t="s">
        <v>30</v>
      </c>
      <c r="C1073" s="24" t="s">
        <v>31</v>
      </c>
      <c r="D1073" s="24">
        <v>59</v>
      </c>
      <c r="E1073" s="24" t="s">
        <v>801</v>
      </c>
      <c r="F1073" s="24" t="s">
        <v>854</v>
      </c>
      <c r="G1073" s="24">
        <v>174049</v>
      </c>
    </row>
    <row r="1074" spans="1:7" x14ac:dyDescent="0.25">
      <c r="A1074" s="24" t="s">
        <v>189</v>
      </c>
      <c r="B1074" s="24" t="s">
        <v>32</v>
      </c>
      <c r="C1074" s="24" t="s">
        <v>33</v>
      </c>
      <c r="D1074" s="24">
        <v>0</v>
      </c>
      <c r="E1074" s="24" t="s">
        <v>796</v>
      </c>
      <c r="F1074" s="24" t="s">
        <v>854</v>
      </c>
      <c r="G1074" s="24">
        <v>174049</v>
      </c>
    </row>
    <row r="1075" spans="1:7" x14ac:dyDescent="0.25">
      <c r="A1075" s="24" t="s">
        <v>189</v>
      </c>
      <c r="B1075" s="24" t="s">
        <v>34</v>
      </c>
      <c r="C1075" s="24" t="s">
        <v>31</v>
      </c>
      <c r="D1075" s="24">
        <v>0</v>
      </c>
      <c r="E1075" s="24" t="s">
        <v>796</v>
      </c>
      <c r="F1075" s="24" t="s">
        <v>854</v>
      </c>
      <c r="G1075" s="24">
        <v>174049</v>
      </c>
    </row>
    <row r="1076" spans="1:7" x14ac:dyDescent="0.25">
      <c r="A1076" s="24" t="s">
        <v>189</v>
      </c>
      <c r="B1076" s="24" t="s">
        <v>37</v>
      </c>
      <c r="C1076" s="24" t="s">
        <v>38</v>
      </c>
      <c r="D1076" s="24">
        <v>0.3</v>
      </c>
      <c r="E1076" s="24" t="s">
        <v>796</v>
      </c>
      <c r="F1076" s="24" t="s">
        <v>854</v>
      </c>
      <c r="G1076" s="24">
        <v>174049</v>
      </c>
    </row>
    <row r="1077" spans="1:7" x14ac:dyDescent="0.25">
      <c r="A1077" s="24" t="s">
        <v>189</v>
      </c>
      <c r="B1077" s="24" t="s">
        <v>39</v>
      </c>
      <c r="C1077" s="24" t="s">
        <v>36</v>
      </c>
      <c r="D1077" s="24">
        <v>1.1000000000000001</v>
      </c>
      <c r="E1077" s="24" t="s">
        <v>796</v>
      </c>
      <c r="F1077" s="24" t="s">
        <v>854</v>
      </c>
      <c r="G1077" s="24">
        <v>174049</v>
      </c>
    </row>
    <row r="1078" spans="1:7" x14ac:dyDescent="0.25">
      <c r="A1078" s="24" t="s">
        <v>189</v>
      </c>
      <c r="B1078" s="24" t="s">
        <v>44</v>
      </c>
      <c r="C1078" s="24" t="s">
        <v>31</v>
      </c>
      <c r="D1078" s="24">
        <v>0.7</v>
      </c>
      <c r="E1078" s="24" t="s">
        <v>796</v>
      </c>
      <c r="F1078" s="24" t="s">
        <v>854</v>
      </c>
      <c r="G1078" s="24">
        <v>174049</v>
      </c>
    </row>
    <row r="1079" spans="1:7" x14ac:dyDescent="0.25">
      <c r="A1079" s="24" t="s">
        <v>189</v>
      </c>
      <c r="B1079" s="24" t="s">
        <v>45</v>
      </c>
      <c r="C1079" s="24" t="s">
        <v>31</v>
      </c>
      <c r="D1079" s="24">
        <v>0.7</v>
      </c>
      <c r="E1079" s="24" t="s">
        <v>796</v>
      </c>
      <c r="F1079" s="24" t="s">
        <v>854</v>
      </c>
      <c r="G1079" s="24">
        <v>174049</v>
      </c>
    </row>
    <row r="1080" spans="1:7" x14ac:dyDescent="0.25">
      <c r="A1080" s="24" t="s">
        <v>189</v>
      </c>
      <c r="B1080" s="24" t="s">
        <v>46</v>
      </c>
      <c r="C1080" s="24" t="s">
        <v>36</v>
      </c>
      <c r="D1080" s="24">
        <v>1.6</v>
      </c>
      <c r="E1080" s="24" t="s">
        <v>796</v>
      </c>
      <c r="F1080" s="24" t="s">
        <v>854</v>
      </c>
      <c r="G1080" s="24">
        <v>174049</v>
      </c>
    </row>
    <row r="1081" spans="1:7" x14ac:dyDescent="0.25">
      <c r="A1081" s="24" t="s">
        <v>189</v>
      </c>
      <c r="B1081" s="24" t="s">
        <v>47</v>
      </c>
      <c r="C1081" s="24" t="s">
        <v>48</v>
      </c>
      <c r="D1081" s="24">
        <v>12.9</v>
      </c>
      <c r="E1081" s="24" t="s">
        <v>796</v>
      </c>
      <c r="F1081" s="24" t="s">
        <v>854</v>
      </c>
      <c r="G1081" s="24">
        <v>174049</v>
      </c>
    </row>
    <row r="1082" spans="1:7" x14ac:dyDescent="0.25">
      <c r="A1082" s="24" t="s">
        <v>189</v>
      </c>
      <c r="B1082" s="24" t="s">
        <v>53</v>
      </c>
      <c r="C1082" s="24" t="s">
        <v>31</v>
      </c>
      <c r="D1082" s="24">
        <v>24.8</v>
      </c>
      <c r="E1082" s="24" t="s">
        <v>796</v>
      </c>
      <c r="F1082" s="24" t="s">
        <v>854</v>
      </c>
      <c r="G1082" s="24">
        <v>174049</v>
      </c>
    </row>
    <row r="1083" spans="1:7" x14ac:dyDescent="0.25">
      <c r="A1083" s="24" t="s">
        <v>189</v>
      </c>
      <c r="B1083" s="24" t="s">
        <v>55</v>
      </c>
      <c r="C1083" s="24" t="s">
        <v>31</v>
      </c>
      <c r="D1083" s="24">
        <v>4.3</v>
      </c>
      <c r="E1083" s="24" t="s">
        <v>796</v>
      </c>
      <c r="F1083" s="24" t="s">
        <v>854</v>
      </c>
      <c r="G1083" s="24">
        <v>174049</v>
      </c>
    </row>
    <row r="1084" spans="1:7" x14ac:dyDescent="0.25">
      <c r="A1084" s="24" t="s">
        <v>189</v>
      </c>
      <c r="B1084" s="24" t="s">
        <v>56</v>
      </c>
      <c r="C1084" s="24" t="s">
        <v>31</v>
      </c>
      <c r="D1084" s="24">
        <v>0.1</v>
      </c>
      <c r="E1084" s="24" t="s">
        <v>796</v>
      </c>
      <c r="F1084" s="24" t="s">
        <v>854</v>
      </c>
      <c r="G1084" s="24">
        <v>174049</v>
      </c>
    </row>
    <row r="1085" spans="1:7" x14ac:dyDescent="0.25">
      <c r="A1085" s="24" t="s">
        <v>189</v>
      </c>
      <c r="B1085" s="24" t="s">
        <v>57</v>
      </c>
      <c r="C1085" s="24" t="s">
        <v>36</v>
      </c>
      <c r="D1085" s="24">
        <v>28.6</v>
      </c>
      <c r="E1085" s="24" t="s">
        <v>796</v>
      </c>
      <c r="F1085" s="24" t="s">
        <v>854</v>
      </c>
      <c r="G1085" s="24">
        <v>174049</v>
      </c>
    </row>
    <row r="1086" spans="1:7" x14ac:dyDescent="0.25">
      <c r="A1086" s="24" t="s">
        <v>189</v>
      </c>
      <c r="B1086" s="24" t="s">
        <v>58</v>
      </c>
      <c r="C1086" s="24" t="s">
        <v>5</v>
      </c>
      <c r="D1086" s="24">
        <v>0</v>
      </c>
      <c r="E1086" s="24" t="s">
        <v>795</v>
      </c>
      <c r="F1086" s="24"/>
      <c r="G1086" s="24"/>
    </row>
    <row r="1087" spans="1:7" x14ac:dyDescent="0.25">
      <c r="A1087" s="24" t="s">
        <v>190</v>
      </c>
      <c r="B1087" s="24" t="s">
        <v>23</v>
      </c>
      <c r="C1087" s="24" t="s">
        <v>5</v>
      </c>
      <c r="D1087" s="24">
        <v>0</v>
      </c>
      <c r="E1087" s="24" t="s">
        <v>796</v>
      </c>
      <c r="F1087" s="24" t="s">
        <v>855</v>
      </c>
      <c r="G1087" s="24">
        <v>169519</v>
      </c>
    </row>
    <row r="1088" spans="1:7" x14ac:dyDescent="0.25">
      <c r="A1088" s="24" t="s">
        <v>190</v>
      </c>
      <c r="B1088" s="24" t="s">
        <v>30</v>
      </c>
      <c r="C1088" s="24" t="s">
        <v>31</v>
      </c>
      <c r="D1088" s="24">
        <v>73</v>
      </c>
      <c r="E1088" s="24" t="s">
        <v>801</v>
      </c>
      <c r="F1088" s="24" t="s">
        <v>855</v>
      </c>
      <c r="G1088" s="24">
        <v>169519</v>
      </c>
    </row>
    <row r="1089" spans="1:7" x14ac:dyDescent="0.25">
      <c r="A1089" s="24" t="s">
        <v>190</v>
      </c>
      <c r="B1089" s="24" t="s">
        <v>32</v>
      </c>
      <c r="C1089" s="24" t="s">
        <v>33</v>
      </c>
      <c r="D1089" s="24">
        <v>0</v>
      </c>
      <c r="E1089" s="24" t="s">
        <v>796</v>
      </c>
      <c r="F1089" s="24" t="s">
        <v>855</v>
      </c>
      <c r="G1089" s="24">
        <v>169519</v>
      </c>
    </row>
    <row r="1090" spans="1:7" x14ac:dyDescent="0.25">
      <c r="A1090" s="24" t="s">
        <v>190</v>
      </c>
      <c r="B1090" s="24" t="s">
        <v>34</v>
      </c>
      <c r="C1090" s="24" t="s">
        <v>31</v>
      </c>
      <c r="D1090" s="24">
        <v>0</v>
      </c>
      <c r="E1090" s="24" t="s">
        <v>796</v>
      </c>
      <c r="F1090" s="24" t="s">
        <v>855</v>
      </c>
      <c r="G1090" s="24">
        <v>169519</v>
      </c>
    </row>
    <row r="1091" spans="1:7" x14ac:dyDescent="0.25">
      <c r="A1091" s="24" t="s">
        <v>190</v>
      </c>
      <c r="B1091" s="24" t="s">
        <v>37</v>
      </c>
      <c r="C1091" s="24" t="s">
        <v>38</v>
      </c>
      <c r="D1091" s="24">
        <v>0.3</v>
      </c>
      <c r="E1091" s="24" t="s">
        <v>796</v>
      </c>
      <c r="F1091" s="24" t="s">
        <v>855</v>
      </c>
      <c r="G1091" s="24">
        <v>169519</v>
      </c>
    </row>
    <row r="1092" spans="1:7" x14ac:dyDescent="0.25">
      <c r="A1092" s="24" t="s">
        <v>190</v>
      </c>
      <c r="B1092" s="24" t="s">
        <v>39</v>
      </c>
      <c r="C1092" s="24" t="s">
        <v>36</v>
      </c>
      <c r="D1092" s="24">
        <v>1.2</v>
      </c>
      <c r="E1092" s="24" t="s">
        <v>796</v>
      </c>
      <c r="F1092" s="24" t="s">
        <v>855</v>
      </c>
      <c r="G1092" s="24">
        <v>169519</v>
      </c>
    </row>
    <row r="1093" spans="1:7" x14ac:dyDescent="0.25">
      <c r="A1093" s="24" t="s">
        <v>190</v>
      </c>
      <c r="B1093" s="24" t="s">
        <v>44</v>
      </c>
      <c r="C1093" s="24" t="s">
        <v>31</v>
      </c>
      <c r="D1093" s="24">
        <v>0.5</v>
      </c>
      <c r="E1093" s="24" t="s">
        <v>796</v>
      </c>
      <c r="F1093" s="24" t="s">
        <v>855</v>
      </c>
      <c r="G1093" s="24">
        <v>169519</v>
      </c>
    </row>
    <row r="1094" spans="1:7" x14ac:dyDescent="0.25">
      <c r="A1094" s="24" t="s">
        <v>190</v>
      </c>
      <c r="B1094" s="24" t="s">
        <v>45</v>
      </c>
      <c r="C1094" s="24" t="s">
        <v>31</v>
      </c>
      <c r="D1094" s="24">
        <v>0.5</v>
      </c>
      <c r="E1094" s="24" t="s">
        <v>796</v>
      </c>
      <c r="F1094" s="24" t="s">
        <v>855</v>
      </c>
      <c r="G1094" s="24">
        <v>169519</v>
      </c>
    </row>
    <row r="1095" spans="1:7" x14ac:dyDescent="0.25">
      <c r="A1095" s="24" t="s">
        <v>190</v>
      </c>
      <c r="B1095" s="24" t="s">
        <v>46</v>
      </c>
      <c r="C1095" s="24" t="s">
        <v>36</v>
      </c>
      <c r="D1095" s="24">
        <v>1.3</v>
      </c>
      <c r="E1095" s="24" t="s">
        <v>796</v>
      </c>
      <c r="F1095" s="24" t="s">
        <v>855</v>
      </c>
      <c r="G1095" s="24">
        <v>169519</v>
      </c>
    </row>
    <row r="1096" spans="1:7" x14ac:dyDescent="0.25">
      <c r="A1096" s="24" t="s">
        <v>190</v>
      </c>
      <c r="B1096" s="24" t="s">
        <v>47</v>
      </c>
      <c r="C1096" s="24" t="s">
        <v>48</v>
      </c>
      <c r="D1096" s="24">
        <v>9.6999999999999993</v>
      </c>
      <c r="E1096" s="24" t="s">
        <v>796</v>
      </c>
      <c r="F1096" s="24" t="s">
        <v>855</v>
      </c>
      <c r="G1096" s="24">
        <v>169519</v>
      </c>
    </row>
    <row r="1097" spans="1:7" x14ac:dyDescent="0.25">
      <c r="A1097" s="24" t="s">
        <v>190</v>
      </c>
      <c r="B1097" s="24" t="s">
        <v>53</v>
      </c>
      <c r="C1097" s="24" t="s">
        <v>31</v>
      </c>
      <c r="D1097" s="24">
        <v>19.5</v>
      </c>
      <c r="E1097" s="24" t="s">
        <v>796</v>
      </c>
      <c r="F1097" s="24" t="s">
        <v>855</v>
      </c>
      <c r="G1097" s="24">
        <v>169519</v>
      </c>
    </row>
    <row r="1098" spans="1:7" x14ac:dyDescent="0.25">
      <c r="A1098" s="24" t="s">
        <v>190</v>
      </c>
      <c r="B1098" s="24" t="s">
        <v>55</v>
      </c>
      <c r="C1098" s="24" t="s">
        <v>31</v>
      </c>
      <c r="D1098" s="24">
        <v>3.4</v>
      </c>
      <c r="E1098" s="24" t="s">
        <v>796</v>
      </c>
      <c r="F1098" s="24" t="s">
        <v>855</v>
      </c>
      <c r="G1098" s="24">
        <v>169519</v>
      </c>
    </row>
    <row r="1099" spans="1:7" x14ac:dyDescent="0.25">
      <c r="A1099" s="24" t="s">
        <v>190</v>
      </c>
      <c r="B1099" s="24" t="s">
        <v>56</v>
      </c>
      <c r="C1099" s="24" t="s">
        <v>31</v>
      </c>
      <c r="D1099" s="24">
        <v>0.1</v>
      </c>
      <c r="E1099" s="24" t="s">
        <v>796</v>
      </c>
      <c r="F1099" s="24" t="s">
        <v>855</v>
      </c>
      <c r="G1099" s="24">
        <v>169519</v>
      </c>
    </row>
    <row r="1100" spans="1:7" x14ac:dyDescent="0.25">
      <c r="A1100" s="24" t="s">
        <v>190</v>
      </c>
      <c r="B1100" s="24" t="s">
        <v>57</v>
      </c>
      <c r="C1100" s="24" t="s">
        <v>36</v>
      </c>
      <c r="D1100" s="24">
        <v>21.9</v>
      </c>
      <c r="E1100" s="24" t="s">
        <v>796</v>
      </c>
      <c r="F1100" s="24" t="s">
        <v>855</v>
      </c>
      <c r="G1100" s="24">
        <v>169519</v>
      </c>
    </row>
    <row r="1101" spans="1:7" x14ac:dyDescent="0.25">
      <c r="A1101" s="24" t="s">
        <v>190</v>
      </c>
      <c r="B1101" s="24" t="s">
        <v>58</v>
      </c>
      <c r="C1101" s="24" t="s">
        <v>5</v>
      </c>
      <c r="D1101" s="24">
        <v>0</v>
      </c>
      <c r="E1101" s="24" t="s">
        <v>795</v>
      </c>
      <c r="F1101" s="24"/>
      <c r="G1101" s="24"/>
    </row>
    <row r="1102" spans="1:7" x14ac:dyDescent="0.25">
      <c r="A1102" s="24" t="s">
        <v>191</v>
      </c>
      <c r="B1102" s="24" t="s">
        <v>23</v>
      </c>
      <c r="C1102" s="24" t="s">
        <v>5</v>
      </c>
      <c r="D1102" s="24">
        <v>0</v>
      </c>
      <c r="E1102" s="24" t="s">
        <v>796</v>
      </c>
      <c r="F1102" s="24" t="s">
        <v>856</v>
      </c>
      <c r="G1102" s="24">
        <v>173125</v>
      </c>
    </row>
    <row r="1103" spans="1:7" x14ac:dyDescent="0.25">
      <c r="A1103" s="24" t="s">
        <v>191</v>
      </c>
      <c r="B1103" s="24" t="s">
        <v>30</v>
      </c>
      <c r="C1103" s="24" t="s">
        <v>31</v>
      </c>
      <c r="D1103" s="24">
        <v>57</v>
      </c>
      <c r="E1103" s="24" t="s">
        <v>801</v>
      </c>
      <c r="F1103" s="24" t="s">
        <v>856</v>
      </c>
      <c r="G1103" s="24">
        <v>173125</v>
      </c>
    </row>
    <row r="1104" spans="1:7" x14ac:dyDescent="0.25">
      <c r="A1104" s="24" t="s">
        <v>191</v>
      </c>
      <c r="B1104" s="24" t="s">
        <v>32</v>
      </c>
      <c r="C1104" s="24" t="s">
        <v>33</v>
      </c>
      <c r="D1104" s="24">
        <v>0</v>
      </c>
      <c r="E1104" s="24" t="s">
        <v>796</v>
      </c>
      <c r="F1104" s="24" t="s">
        <v>856</v>
      </c>
      <c r="G1104" s="24">
        <v>173125</v>
      </c>
    </row>
    <row r="1105" spans="1:7" x14ac:dyDescent="0.25">
      <c r="A1105" s="24" t="s">
        <v>191</v>
      </c>
      <c r="B1105" s="24" t="s">
        <v>34</v>
      </c>
      <c r="C1105" s="24" t="s">
        <v>31</v>
      </c>
      <c r="D1105" s="24">
        <v>0</v>
      </c>
      <c r="E1105" s="24" t="s">
        <v>796</v>
      </c>
      <c r="F1105" s="24" t="s">
        <v>856</v>
      </c>
      <c r="G1105" s="24">
        <v>173125</v>
      </c>
    </row>
    <row r="1106" spans="1:7" x14ac:dyDescent="0.25">
      <c r="A1106" s="24" t="s">
        <v>191</v>
      </c>
      <c r="B1106" s="24" t="s">
        <v>37</v>
      </c>
      <c r="C1106" s="24" t="s">
        <v>38</v>
      </c>
      <c r="D1106" s="24">
        <v>0.3</v>
      </c>
      <c r="E1106" s="24" t="s">
        <v>796</v>
      </c>
      <c r="F1106" s="24" t="s">
        <v>856</v>
      </c>
      <c r="G1106" s="24">
        <v>173125</v>
      </c>
    </row>
    <row r="1107" spans="1:7" x14ac:dyDescent="0.25">
      <c r="A1107" s="24" t="s">
        <v>191</v>
      </c>
      <c r="B1107" s="24" t="s">
        <v>39</v>
      </c>
      <c r="C1107" s="24" t="s">
        <v>36</v>
      </c>
      <c r="D1107" s="24">
        <v>1.3</v>
      </c>
      <c r="E1107" s="24" t="s">
        <v>796</v>
      </c>
      <c r="F1107" s="24" t="s">
        <v>856</v>
      </c>
      <c r="G1107" s="24">
        <v>173125</v>
      </c>
    </row>
    <row r="1108" spans="1:7" x14ac:dyDescent="0.25">
      <c r="A1108" s="24" t="s">
        <v>191</v>
      </c>
      <c r="B1108" s="24" t="s">
        <v>44</v>
      </c>
      <c r="C1108" s="24" t="s">
        <v>31</v>
      </c>
      <c r="D1108" s="24">
        <v>0.7</v>
      </c>
      <c r="E1108" s="24" t="s">
        <v>796</v>
      </c>
      <c r="F1108" s="24" t="s">
        <v>856</v>
      </c>
      <c r="G1108" s="24">
        <v>173125</v>
      </c>
    </row>
    <row r="1109" spans="1:7" x14ac:dyDescent="0.25">
      <c r="A1109" s="24" t="s">
        <v>191</v>
      </c>
      <c r="B1109" s="24" t="s">
        <v>45</v>
      </c>
      <c r="C1109" s="24" t="s">
        <v>31</v>
      </c>
      <c r="D1109" s="24">
        <v>0.7</v>
      </c>
      <c r="E1109" s="24" t="s">
        <v>796</v>
      </c>
      <c r="F1109" s="24" t="s">
        <v>856</v>
      </c>
      <c r="G1109" s="24">
        <v>173125</v>
      </c>
    </row>
    <row r="1110" spans="1:7" x14ac:dyDescent="0.25">
      <c r="A1110" s="24" t="s">
        <v>191</v>
      </c>
      <c r="B1110" s="24" t="s">
        <v>46</v>
      </c>
      <c r="C1110" s="24" t="s">
        <v>36</v>
      </c>
      <c r="D1110" s="24">
        <v>1.7</v>
      </c>
      <c r="E1110" s="24" t="s">
        <v>796</v>
      </c>
      <c r="F1110" s="24" t="s">
        <v>856</v>
      </c>
      <c r="G1110" s="24">
        <v>173125</v>
      </c>
    </row>
    <row r="1111" spans="1:7" x14ac:dyDescent="0.25">
      <c r="A1111" s="24" t="s">
        <v>191</v>
      </c>
      <c r="B1111" s="24" t="s">
        <v>47</v>
      </c>
      <c r="C1111" s="24" t="s">
        <v>48</v>
      </c>
      <c r="D1111" s="24">
        <v>13.7</v>
      </c>
      <c r="E1111" s="24" t="s">
        <v>796</v>
      </c>
      <c r="F1111" s="24" t="s">
        <v>856</v>
      </c>
      <c r="G1111" s="24">
        <v>173125</v>
      </c>
    </row>
    <row r="1112" spans="1:7" x14ac:dyDescent="0.25">
      <c r="A1112" s="24" t="s">
        <v>191</v>
      </c>
      <c r="B1112" s="24" t="s">
        <v>53</v>
      </c>
      <c r="C1112" s="24" t="s">
        <v>31</v>
      </c>
      <c r="D1112" s="24">
        <v>25.2</v>
      </c>
      <c r="E1112" s="24" t="s">
        <v>796</v>
      </c>
      <c r="F1112" s="24" t="s">
        <v>856</v>
      </c>
      <c r="G1112" s="24">
        <v>173125</v>
      </c>
    </row>
    <row r="1113" spans="1:7" x14ac:dyDescent="0.25">
      <c r="A1113" s="24" t="s">
        <v>191</v>
      </c>
      <c r="B1113" s="24" t="s">
        <v>55</v>
      </c>
      <c r="C1113" s="24" t="s">
        <v>31</v>
      </c>
      <c r="D1113" s="24">
        <v>4.5</v>
      </c>
      <c r="E1113" s="24" t="s">
        <v>796</v>
      </c>
      <c r="F1113" s="24" t="s">
        <v>856</v>
      </c>
      <c r="G1113" s="24">
        <v>173125</v>
      </c>
    </row>
    <row r="1114" spans="1:7" x14ac:dyDescent="0.25">
      <c r="A1114" s="24" t="s">
        <v>191</v>
      </c>
      <c r="B1114" s="24" t="s">
        <v>56</v>
      </c>
      <c r="C1114" s="24" t="s">
        <v>31</v>
      </c>
      <c r="D1114" s="24">
        <v>0.1</v>
      </c>
      <c r="E1114" s="24" t="s">
        <v>796</v>
      </c>
      <c r="F1114" s="24" t="s">
        <v>856</v>
      </c>
      <c r="G1114" s="24">
        <v>173125</v>
      </c>
    </row>
    <row r="1115" spans="1:7" x14ac:dyDescent="0.25">
      <c r="A1115" s="24" t="s">
        <v>191</v>
      </c>
      <c r="B1115" s="24" t="s">
        <v>57</v>
      </c>
      <c r="C1115" s="24" t="s">
        <v>36</v>
      </c>
      <c r="D1115" s="24">
        <v>29.7</v>
      </c>
      <c r="E1115" s="24" t="s">
        <v>796</v>
      </c>
      <c r="F1115" s="24" t="s">
        <v>856</v>
      </c>
      <c r="G1115" s="24">
        <v>173125</v>
      </c>
    </row>
    <row r="1116" spans="1:7" x14ac:dyDescent="0.25">
      <c r="A1116" s="24" t="s">
        <v>191</v>
      </c>
      <c r="B1116" s="24" t="s">
        <v>58</v>
      </c>
      <c r="C1116" s="24" t="s">
        <v>5</v>
      </c>
      <c r="D1116" s="24">
        <v>0</v>
      </c>
      <c r="E1116" s="24" t="s">
        <v>795</v>
      </c>
      <c r="F1116" s="24"/>
      <c r="G1116" s="24"/>
    </row>
    <row r="1117" spans="1:7" x14ac:dyDescent="0.25">
      <c r="A1117" s="24" t="s">
        <v>192</v>
      </c>
      <c r="B1117" s="24" t="s">
        <v>30</v>
      </c>
      <c r="C1117" s="24" t="s">
        <v>31</v>
      </c>
      <c r="D1117" s="24">
        <v>39</v>
      </c>
      <c r="E1117" s="24" t="s">
        <v>801</v>
      </c>
      <c r="F1117" s="24" t="s">
        <v>857</v>
      </c>
      <c r="G1117" s="24">
        <v>169441</v>
      </c>
    </row>
    <row r="1118" spans="1:7" x14ac:dyDescent="0.25">
      <c r="A1118" s="24" t="s">
        <v>192</v>
      </c>
      <c r="B1118" s="24" t="s">
        <v>44</v>
      </c>
      <c r="C1118" s="24" t="s">
        <v>31</v>
      </c>
      <c r="D1118" s="24">
        <v>0.5</v>
      </c>
      <c r="E1118" s="24" t="s">
        <v>796</v>
      </c>
      <c r="F1118" s="24" t="s">
        <v>857</v>
      </c>
      <c r="G1118" s="24">
        <v>169441</v>
      </c>
    </row>
    <row r="1119" spans="1:7" x14ac:dyDescent="0.25">
      <c r="A1119" s="24" t="s">
        <v>192</v>
      </c>
      <c r="B1119" s="24" t="s">
        <v>45</v>
      </c>
      <c r="C1119" s="24" t="s">
        <v>31</v>
      </c>
      <c r="D1119" s="24">
        <v>0.4</v>
      </c>
      <c r="E1119" s="24" t="s">
        <v>796</v>
      </c>
      <c r="F1119" s="24" t="s">
        <v>857</v>
      </c>
      <c r="G1119" s="24">
        <v>169441</v>
      </c>
    </row>
    <row r="1120" spans="1:7" x14ac:dyDescent="0.25">
      <c r="A1120" s="24" t="s">
        <v>192</v>
      </c>
      <c r="B1120" s="24" t="s">
        <v>46</v>
      </c>
      <c r="C1120" s="24" t="s">
        <v>36</v>
      </c>
      <c r="D1120" s="24">
        <v>3.7</v>
      </c>
      <c r="E1120" s="24" t="s">
        <v>796</v>
      </c>
      <c r="F1120" s="24" t="s">
        <v>857</v>
      </c>
      <c r="G1120" s="24">
        <v>169441</v>
      </c>
    </row>
    <row r="1121" spans="1:7" x14ac:dyDescent="0.25">
      <c r="A1121" s="24" t="s">
        <v>192</v>
      </c>
      <c r="B1121" s="24" t="s">
        <v>47</v>
      </c>
      <c r="C1121" s="24" t="s">
        <v>48</v>
      </c>
      <c r="D1121" s="24">
        <v>8.9</v>
      </c>
      <c r="E1121" s="24" t="s">
        <v>796</v>
      </c>
      <c r="F1121" s="24" t="s">
        <v>857</v>
      </c>
      <c r="G1121" s="24">
        <v>169441</v>
      </c>
    </row>
    <row r="1122" spans="1:7" x14ac:dyDescent="0.25">
      <c r="A1122" s="24" t="s">
        <v>192</v>
      </c>
      <c r="B1122" s="24" t="s">
        <v>53</v>
      </c>
      <c r="C1122" s="24" t="s">
        <v>31</v>
      </c>
      <c r="D1122" s="24">
        <v>15.5</v>
      </c>
      <c r="E1122" s="24" t="s">
        <v>796</v>
      </c>
      <c r="F1122" s="24" t="s">
        <v>857</v>
      </c>
      <c r="G1122" s="24">
        <v>169441</v>
      </c>
    </row>
    <row r="1123" spans="1:7" x14ac:dyDescent="0.25">
      <c r="A1123" s="24" t="s">
        <v>192</v>
      </c>
      <c r="B1123" s="24" t="s">
        <v>55</v>
      </c>
      <c r="C1123" s="24" t="s">
        <v>31</v>
      </c>
      <c r="D1123" s="24">
        <v>7.7</v>
      </c>
      <c r="E1123" s="24" t="s">
        <v>796</v>
      </c>
      <c r="F1123" s="24" t="s">
        <v>857</v>
      </c>
      <c r="G1123" s="24">
        <v>169441</v>
      </c>
    </row>
    <row r="1124" spans="1:7" x14ac:dyDescent="0.25">
      <c r="A1124" s="24" t="s">
        <v>192</v>
      </c>
      <c r="B1124" s="24" t="s">
        <v>56</v>
      </c>
      <c r="C1124" s="24" t="s">
        <v>31</v>
      </c>
      <c r="D1124" s="24">
        <v>0.1</v>
      </c>
      <c r="E1124" s="24" t="s">
        <v>796</v>
      </c>
      <c r="F1124" s="24" t="s">
        <v>857</v>
      </c>
      <c r="G1124" s="24">
        <v>169441</v>
      </c>
    </row>
    <row r="1125" spans="1:7" x14ac:dyDescent="0.25">
      <c r="A1125" s="24" t="s">
        <v>192</v>
      </c>
      <c r="B1125" s="24" t="s">
        <v>57</v>
      </c>
      <c r="C1125" s="24" t="s">
        <v>36</v>
      </c>
      <c r="D1125" s="24">
        <v>19.600000000000001</v>
      </c>
      <c r="E1125" s="24" t="s">
        <v>796</v>
      </c>
      <c r="F1125" s="24" t="s">
        <v>857</v>
      </c>
      <c r="G1125" s="24">
        <v>169441</v>
      </c>
    </row>
    <row r="1126" spans="1:7" x14ac:dyDescent="0.25">
      <c r="A1126" s="24" t="s">
        <v>192</v>
      </c>
      <c r="B1126" s="24" t="s">
        <v>58</v>
      </c>
      <c r="C1126" s="24" t="s">
        <v>5</v>
      </c>
      <c r="D1126" s="24">
        <v>0</v>
      </c>
      <c r="E1126" s="24" t="s">
        <v>795</v>
      </c>
      <c r="F1126" s="24"/>
      <c r="G1126" s="24"/>
    </row>
    <row r="1127" spans="1:7" x14ac:dyDescent="0.25">
      <c r="A1127" s="24" t="s">
        <v>193</v>
      </c>
      <c r="B1127" s="24" t="s">
        <v>23</v>
      </c>
      <c r="C1127" s="24" t="s">
        <v>5</v>
      </c>
      <c r="D1127" s="24">
        <v>0</v>
      </c>
      <c r="E1127" s="24" t="s">
        <v>796</v>
      </c>
      <c r="F1127" s="24" t="s">
        <v>852</v>
      </c>
      <c r="G1127" s="24">
        <v>171760</v>
      </c>
    </row>
    <row r="1128" spans="1:7" x14ac:dyDescent="0.25">
      <c r="A1128" s="24" t="s">
        <v>193</v>
      </c>
      <c r="B1128" s="24" t="s">
        <v>29</v>
      </c>
      <c r="C1128" s="24" t="s">
        <v>5</v>
      </c>
      <c r="D1128" s="24">
        <v>0.15</v>
      </c>
      <c r="E1128" s="24" t="s">
        <v>799</v>
      </c>
      <c r="F1128" s="24" t="s">
        <v>852</v>
      </c>
      <c r="G1128" s="24">
        <v>171760</v>
      </c>
    </row>
    <row r="1129" spans="1:7" x14ac:dyDescent="0.25">
      <c r="A1129" s="24" t="s">
        <v>193</v>
      </c>
      <c r="B1129" s="24" t="s">
        <v>35</v>
      </c>
      <c r="C1129" s="24" t="s">
        <v>36</v>
      </c>
      <c r="D1129" s="24">
        <v>0</v>
      </c>
      <c r="E1129" s="24" t="s">
        <v>796</v>
      </c>
      <c r="F1129" s="24" t="s">
        <v>852</v>
      </c>
      <c r="G1129" s="24">
        <v>171760</v>
      </c>
    </row>
    <row r="1130" spans="1:7" x14ac:dyDescent="0.25">
      <c r="A1130" s="24" t="s">
        <v>193</v>
      </c>
      <c r="B1130" s="24" t="s">
        <v>39</v>
      </c>
      <c r="C1130" s="24" t="s">
        <v>36</v>
      </c>
      <c r="D1130" s="24">
        <v>1.6</v>
      </c>
      <c r="E1130" s="24" t="s">
        <v>796</v>
      </c>
      <c r="F1130" s="24" t="s">
        <v>852</v>
      </c>
      <c r="G1130" s="24">
        <v>171760</v>
      </c>
    </row>
    <row r="1131" spans="1:7" x14ac:dyDescent="0.25">
      <c r="A1131" s="24" t="s">
        <v>193</v>
      </c>
      <c r="B1131" s="24" t="s">
        <v>58</v>
      </c>
      <c r="C1131" s="24" t="s">
        <v>5</v>
      </c>
      <c r="D1131" s="24">
        <v>0</v>
      </c>
      <c r="E1131" s="24" t="s">
        <v>795</v>
      </c>
      <c r="F1131" s="24"/>
      <c r="G1131" s="24"/>
    </row>
    <row r="1132" spans="1:7" x14ac:dyDescent="0.25">
      <c r="A1132" s="24" t="s">
        <v>194</v>
      </c>
      <c r="B1132" s="24" t="s">
        <v>29</v>
      </c>
      <c r="C1132" s="24" t="s">
        <v>5</v>
      </c>
      <c r="D1132" s="24">
        <v>0.16</v>
      </c>
      <c r="E1132" s="24" t="s">
        <v>799</v>
      </c>
      <c r="F1132" s="24" t="s">
        <v>858</v>
      </c>
      <c r="G1132" s="24">
        <v>171791</v>
      </c>
    </row>
    <row r="1133" spans="1:7" x14ac:dyDescent="0.25">
      <c r="A1133" s="24" t="s">
        <v>194</v>
      </c>
      <c r="B1133" s="24" t="s">
        <v>58</v>
      </c>
      <c r="C1133" s="24" t="s">
        <v>5</v>
      </c>
      <c r="D1133" s="24">
        <v>0</v>
      </c>
      <c r="E1133" s="24" t="s">
        <v>795</v>
      </c>
      <c r="F1133" s="24"/>
      <c r="G1133" s="24"/>
    </row>
    <row r="1134" spans="1:7" x14ac:dyDescent="0.25">
      <c r="A1134" s="24" t="s">
        <v>195</v>
      </c>
      <c r="B1134" s="24" t="s">
        <v>29</v>
      </c>
      <c r="C1134" s="24" t="s">
        <v>5</v>
      </c>
      <c r="D1134" s="24">
        <v>0.54</v>
      </c>
      <c r="E1134" s="24" t="s">
        <v>799</v>
      </c>
      <c r="F1134" s="24" t="s">
        <v>859</v>
      </c>
      <c r="G1134" s="24">
        <v>174030</v>
      </c>
    </row>
    <row r="1135" spans="1:7" x14ac:dyDescent="0.25">
      <c r="A1135" s="24" t="s">
        <v>195</v>
      </c>
      <c r="B1135" s="24" t="s">
        <v>58</v>
      </c>
      <c r="C1135" s="24" t="s">
        <v>5</v>
      </c>
      <c r="D1135" s="24">
        <v>0</v>
      </c>
      <c r="E1135" s="24" t="s">
        <v>795</v>
      </c>
      <c r="F1135" s="24"/>
      <c r="G1135" s="24"/>
    </row>
    <row r="1136" spans="1:7" x14ac:dyDescent="0.25">
      <c r="A1136" s="24" t="s">
        <v>196</v>
      </c>
      <c r="B1136" s="24" t="s">
        <v>23</v>
      </c>
      <c r="C1136" s="24" t="s">
        <v>5</v>
      </c>
      <c r="D1136" s="24">
        <v>0</v>
      </c>
      <c r="E1136" s="24" t="s">
        <v>796</v>
      </c>
      <c r="F1136" s="24" t="s">
        <v>860</v>
      </c>
      <c r="G1136" s="24">
        <v>170599</v>
      </c>
    </row>
    <row r="1137" spans="1:7" x14ac:dyDescent="0.25">
      <c r="A1137" s="24" t="s">
        <v>196</v>
      </c>
      <c r="B1137" s="24" t="s">
        <v>29</v>
      </c>
      <c r="C1137" s="24" t="s">
        <v>5</v>
      </c>
      <c r="D1137" s="24">
        <v>0.16</v>
      </c>
      <c r="E1137" s="24" t="s">
        <v>799</v>
      </c>
      <c r="F1137" s="24" t="s">
        <v>860</v>
      </c>
      <c r="G1137" s="24">
        <v>170599</v>
      </c>
    </row>
    <row r="1138" spans="1:7" x14ac:dyDescent="0.25">
      <c r="A1138" s="24" t="s">
        <v>196</v>
      </c>
      <c r="B1138" s="24" t="s">
        <v>35</v>
      </c>
      <c r="C1138" s="24" t="s">
        <v>36</v>
      </c>
      <c r="D1138" s="24">
        <v>0</v>
      </c>
      <c r="E1138" s="24" t="s">
        <v>796</v>
      </c>
      <c r="F1138" s="24" t="s">
        <v>860</v>
      </c>
      <c r="G1138" s="24">
        <v>170599</v>
      </c>
    </row>
    <row r="1139" spans="1:7" x14ac:dyDescent="0.25">
      <c r="A1139" s="24" t="s">
        <v>196</v>
      </c>
      <c r="B1139" s="24" t="s">
        <v>37</v>
      </c>
      <c r="C1139" s="24" t="s">
        <v>38</v>
      </c>
      <c r="D1139" s="24">
        <v>0.1</v>
      </c>
      <c r="E1139" s="24" t="s">
        <v>796</v>
      </c>
      <c r="F1139" s="24" t="s">
        <v>860</v>
      </c>
      <c r="G1139" s="24">
        <v>170599</v>
      </c>
    </row>
    <row r="1140" spans="1:7" x14ac:dyDescent="0.25">
      <c r="A1140" s="24" t="s">
        <v>196</v>
      </c>
      <c r="B1140" s="24" t="s">
        <v>39</v>
      </c>
      <c r="C1140" s="24" t="s">
        <v>36</v>
      </c>
      <c r="D1140" s="24">
        <v>0</v>
      </c>
      <c r="E1140" s="24" t="s">
        <v>796</v>
      </c>
      <c r="F1140" s="24" t="s">
        <v>860</v>
      </c>
      <c r="G1140" s="24">
        <v>170599</v>
      </c>
    </row>
    <row r="1141" spans="1:7" x14ac:dyDescent="0.25">
      <c r="A1141" s="24" t="s">
        <v>196</v>
      </c>
      <c r="B1141" s="24" t="s">
        <v>57</v>
      </c>
      <c r="C1141" s="24" t="s">
        <v>36</v>
      </c>
      <c r="D1141" s="24">
        <v>14.7</v>
      </c>
      <c r="E1141" s="24" t="s">
        <v>796</v>
      </c>
      <c r="F1141" s="24" t="s">
        <v>860</v>
      </c>
      <c r="G1141" s="24">
        <v>170599</v>
      </c>
    </row>
    <row r="1142" spans="1:7" x14ac:dyDescent="0.25">
      <c r="A1142" s="24" t="s">
        <v>196</v>
      </c>
      <c r="B1142" s="24" t="s">
        <v>58</v>
      </c>
      <c r="C1142" s="24" t="s">
        <v>5</v>
      </c>
      <c r="D1142" s="24">
        <v>0</v>
      </c>
      <c r="E1142" s="24" t="s">
        <v>795</v>
      </c>
      <c r="F1142" s="24"/>
      <c r="G1142" s="24"/>
    </row>
    <row r="1143" spans="1:7" x14ac:dyDescent="0.25">
      <c r="A1143" s="24" t="s">
        <v>197</v>
      </c>
      <c r="B1143" s="24" t="s">
        <v>23</v>
      </c>
      <c r="C1143" s="24" t="s">
        <v>5</v>
      </c>
      <c r="D1143" s="24">
        <v>0</v>
      </c>
      <c r="E1143" s="24" t="s">
        <v>796</v>
      </c>
      <c r="F1143" s="24" t="s">
        <v>861</v>
      </c>
      <c r="G1143" s="24">
        <v>171457</v>
      </c>
    </row>
    <row r="1144" spans="1:7" x14ac:dyDescent="0.25">
      <c r="A1144" s="24" t="s">
        <v>197</v>
      </c>
      <c r="B1144" s="24" t="s">
        <v>29</v>
      </c>
      <c r="C1144" s="24" t="s">
        <v>5</v>
      </c>
      <c r="D1144" s="24">
        <v>0.18</v>
      </c>
      <c r="E1144" s="24" t="s">
        <v>799</v>
      </c>
      <c r="F1144" s="24" t="s">
        <v>861</v>
      </c>
      <c r="G1144" s="24">
        <v>171457</v>
      </c>
    </row>
    <row r="1145" spans="1:7" x14ac:dyDescent="0.25">
      <c r="A1145" s="24" t="s">
        <v>197</v>
      </c>
      <c r="B1145" s="24" t="s">
        <v>35</v>
      </c>
      <c r="C1145" s="24" t="s">
        <v>36</v>
      </c>
      <c r="D1145" s="24">
        <v>0</v>
      </c>
      <c r="E1145" s="24" t="s">
        <v>796</v>
      </c>
      <c r="F1145" s="24" t="s">
        <v>861</v>
      </c>
      <c r="G1145" s="24">
        <v>171457</v>
      </c>
    </row>
    <row r="1146" spans="1:7" x14ac:dyDescent="0.25">
      <c r="A1146" s="24" t="s">
        <v>197</v>
      </c>
      <c r="B1146" s="24" t="s">
        <v>37</v>
      </c>
      <c r="C1146" s="24" t="s">
        <v>38</v>
      </c>
      <c r="D1146" s="24">
        <v>0.2</v>
      </c>
      <c r="E1146" s="24" t="s">
        <v>796</v>
      </c>
      <c r="F1146" s="24" t="s">
        <v>861</v>
      </c>
      <c r="G1146" s="24">
        <v>171457</v>
      </c>
    </row>
    <row r="1147" spans="1:7" x14ac:dyDescent="0.25">
      <c r="A1147" s="24" t="s">
        <v>197</v>
      </c>
      <c r="B1147" s="24" t="s">
        <v>39</v>
      </c>
      <c r="C1147" s="24" t="s">
        <v>36</v>
      </c>
      <c r="D1147" s="24">
        <v>0</v>
      </c>
      <c r="E1147" s="24" t="s">
        <v>796</v>
      </c>
      <c r="F1147" s="24" t="s">
        <v>861</v>
      </c>
      <c r="G1147" s="24">
        <v>171457</v>
      </c>
    </row>
    <row r="1148" spans="1:7" x14ac:dyDescent="0.25">
      <c r="A1148" s="24" t="s">
        <v>197</v>
      </c>
      <c r="B1148" s="24" t="s">
        <v>58</v>
      </c>
      <c r="C1148" s="24" t="s">
        <v>5</v>
      </c>
      <c r="D1148" s="24">
        <v>0</v>
      </c>
      <c r="E1148" s="24" t="s">
        <v>795</v>
      </c>
      <c r="F1148" s="24"/>
      <c r="G1148" s="24"/>
    </row>
    <row r="1149" spans="1:7" x14ac:dyDescent="0.25">
      <c r="A1149" s="24" t="s">
        <v>198</v>
      </c>
      <c r="B1149" s="24" t="s">
        <v>58</v>
      </c>
      <c r="C1149" s="24" t="s">
        <v>5</v>
      </c>
      <c r="D1149" s="24">
        <v>0</v>
      </c>
      <c r="E1149" s="24" t="s">
        <v>795</v>
      </c>
      <c r="F1149" s="24"/>
      <c r="G1149" s="24"/>
    </row>
    <row r="1150" spans="1:7" x14ac:dyDescent="0.25">
      <c r="A1150" s="24" t="s">
        <v>199</v>
      </c>
      <c r="B1150" s="24" t="s">
        <v>23</v>
      </c>
      <c r="C1150" s="24" t="s">
        <v>5</v>
      </c>
      <c r="D1150" s="24">
        <v>0</v>
      </c>
      <c r="E1150" s="24" t="s">
        <v>796</v>
      </c>
      <c r="F1150" s="24" t="s">
        <v>862</v>
      </c>
      <c r="G1150" s="24">
        <v>169450</v>
      </c>
    </row>
    <row r="1151" spans="1:7" x14ac:dyDescent="0.25">
      <c r="A1151" s="24" t="s">
        <v>199</v>
      </c>
      <c r="B1151" s="24" t="s">
        <v>29</v>
      </c>
      <c r="C1151" s="24" t="s">
        <v>5</v>
      </c>
      <c r="D1151" s="24">
        <v>0.2</v>
      </c>
      <c r="E1151" s="24" t="s">
        <v>799</v>
      </c>
      <c r="F1151" s="24" t="s">
        <v>862</v>
      </c>
      <c r="G1151" s="24">
        <v>169450</v>
      </c>
    </row>
    <row r="1152" spans="1:7" x14ac:dyDescent="0.25">
      <c r="A1152" s="24" t="s">
        <v>199</v>
      </c>
      <c r="B1152" s="24" t="s">
        <v>35</v>
      </c>
      <c r="C1152" s="24" t="s">
        <v>36</v>
      </c>
      <c r="D1152" s="24">
        <v>1</v>
      </c>
      <c r="E1152" s="24" t="s">
        <v>796</v>
      </c>
      <c r="F1152" s="24" t="s">
        <v>862</v>
      </c>
      <c r="G1152" s="24">
        <v>169450</v>
      </c>
    </row>
    <row r="1153" spans="1:7" x14ac:dyDescent="0.25">
      <c r="A1153" s="24" t="s">
        <v>199</v>
      </c>
      <c r="B1153" s="24" t="s">
        <v>39</v>
      </c>
      <c r="C1153" s="24" t="s">
        <v>36</v>
      </c>
      <c r="D1153" s="24">
        <v>0</v>
      </c>
      <c r="E1153" s="24" t="s">
        <v>796</v>
      </c>
      <c r="F1153" s="24" t="s">
        <v>862</v>
      </c>
      <c r="G1153" s="24">
        <v>169450</v>
      </c>
    </row>
    <row r="1154" spans="1:7" x14ac:dyDescent="0.25">
      <c r="A1154" s="24" t="s">
        <v>199</v>
      </c>
      <c r="B1154" s="24" t="s">
        <v>58</v>
      </c>
      <c r="C1154" s="24" t="s">
        <v>5</v>
      </c>
      <c r="D1154" s="24">
        <v>0</v>
      </c>
      <c r="E1154" s="24" t="s">
        <v>795</v>
      </c>
      <c r="F1154" s="24"/>
      <c r="G1154" s="24"/>
    </row>
    <row r="1155" spans="1:7" x14ac:dyDescent="0.25">
      <c r="A1155" s="24" t="s">
        <v>200</v>
      </c>
      <c r="B1155" s="24" t="s">
        <v>23</v>
      </c>
      <c r="C1155" s="24" t="s">
        <v>5</v>
      </c>
      <c r="D1155" s="24">
        <v>0</v>
      </c>
      <c r="E1155" s="24" t="s">
        <v>796</v>
      </c>
      <c r="F1155" s="24" t="s">
        <v>863</v>
      </c>
      <c r="G1155" s="24">
        <v>172619</v>
      </c>
    </row>
    <row r="1156" spans="1:7" x14ac:dyDescent="0.25">
      <c r="A1156" s="24" t="s">
        <v>200</v>
      </c>
      <c r="B1156" s="24" t="s">
        <v>26</v>
      </c>
      <c r="C1156" s="24" t="s">
        <v>5</v>
      </c>
      <c r="D1156" s="24">
        <v>0.4</v>
      </c>
      <c r="E1156" s="24" t="s">
        <v>799</v>
      </c>
      <c r="F1156" s="24" t="s">
        <v>863</v>
      </c>
      <c r="G1156" s="24">
        <v>172619</v>
      </c>
    </row>
    <row r="1157" spans="1:7" x14ac:dyDescent="0.25">
      <c r="A1157" s="24" t="s">
        <v>200</v>
      </c>
      <c r="B1157" s="24" t="s">
        <v>27</v>
      </c>
      <c r="C1157" s="24" t="s">
        <v>5</v>
      </c>
      <c r="D1157" s="24">
        <v>0.18</v>
      </c>
      <c r="E1157" s="24" t="s">
        <v>799</v>
      </c>
      <c r="F1157" s="24" t="s">
        <v>863</v>
      </c>
      <c r="G1157" s="24">
        <v>172619</v>
      </c>
    </row>
    <row r="1158" spans="1:7" x14ac:dyDescent="0.25">
      <c r="A1158" s="24" t="s">
        <v>200</v>
      </c>
      <c r="B1158" s="24" t="s">
        <v>28</v>
      </c>
      <c r="C1158" s="24" t="s">
        <v>5</v>
      </c>
      <c r="D1158" s="24">
        <v>0.18</v>
      </c>
      <c r="E1158" s="24" t="s">
        <v>799</v>
      </c>
      <c r="F1158" s="24" t="s">
        <v>863</v>
      </c>
      <c r="G1158" s="24">
        <v>172619</v>
      </c>
    </row>
    <row r="1159" spans="1:7" x14ac:dyDescent="0.25">
      <c r="A1159" s="24" t="s">
        <v>200</v>
      </c>
      <c r="B1159" s="24" t="s">
        <v>29</v>
      </c>
      <c r="C1159" s="24" t="s">
        <v>5</v>
      </c>
      <c r="D1159" s="24">
        <v>0.01</v>
      </c>
      <c r="E1159" s="24" t="s">
        <v>799</v>
      </c>
      <c r="F1159" s="24" t="s">
        <v>863</v>
      </c>
      <c r="G1159" s="24">
        <v>172619</v>
      </c>
    </row>
    <row r="1160" spans="1:7" x14ac:dyDescent="0.25">
      <c r="A1160" s="24" t="s">
        <v>200</v>
      </c>
      <c r="B1160" s="24" t="s">
        <v>30</v>
      </c>
      <c r="C1160" s="24" t="s">
        <v>31</v>
      </c>
      <c r="D1160" s="24">
        <v>393</v>
      </c>
      <c r="E1160" s="24" t="s">
        <v>801</v>
      </c>
      <c r="F1160" s="24" t="s">
        <v>863</v>
      </c>
      <c r="G1160" s="24">
        <v>172619</v>
      </c>
    </row>
    <row r="1161" spans="1:7" x14ac:dyDescent="0.25">
      <c r="A1161" s="24" t="s">
        <v>200</v>
      </c>
      <c r="B1161" s="24" t="s">
        <v>32</v>
      </c>
      <c r="C1161" s="24" t="s">
        <v>33</v>
      </c>
      <c r="D1161" s="24">
        <v>10.7</v>
      </c>
      <c r="E1161" s="24" t="s">
        <v>796</v>
      </c>
      <c r="F1161" s="24" t="s">
        <v>863</v>
      </c>
      <c r="G1161" s="24">
        <v>172619</v>
      </c>
    </row>
    <row r="1162" spans="1:7" x14ac:dyDescent="0.25">
      <c r="A1162" s="24" t="s">
        <v>200</v>
      </c>
      <c r="B1162" s="24" t="s">
        <v>34</v>
      </c>
      <c r="C1162" s="24" t="s">
        <v>31</v>
      </c>
      <c r="D1162" s="24">
        <v>0</v>
      </c>
      <c r="E1162" s="24" t="s">
        <v>796</v>
      </c>
      <c r="F1162" s="24" t="s">
        <v>863</v>
      </c>
      <c r="G1162" s="24">
        <v>172619</v>
      </c>
    </row>
    <row r="1163" spans="1:7" x14ac:dyDescent="0.25">
      <c r="A1163" s="24" t="s">
        <v>200</v>
      </c>
      <c r="B1163" s="24" t="s">
        <v>35</v>
      </c>
      <c r="C1163" s="24" t="s">
        <v>36</v>
      </c>
      <c r="D1163" s="24">
        <v>0</v>
      </c>
      <c r="E1163" s="24" t="s">
        <v>796</v>
      </c>
      <c r="F1163" s="24" t="s">
        <v>863</v>
      </c>
      <c r="G1163" s="24">
        <v>172619</v>
      </c>
    </row>
    <row r="1164" spans="1:7" x14ac:dyDescent="0.25">
      <c r="A1164" s="24" t="s">
        <v>200</v>
      </c>
      <c r="B1164" s="24" t="s">
        <v>37</v>
      </c>
      <c r="C1164" s="24" t="s">
        <v>38</v>
      </c>
      <c r="D1164" s="24">
        <v>0.3</v>
      </c>
      <c r="E1164" s="24" t="s">
        <v>796</v>
      </c>
      <c r="F1164" s="24" t="s">
        <v>863</v>
      </c>
      <c r="G1164" s="24">
        <v>172619</v>
      </c>
    </row>
    <row r="1165" spans="1:7" x14ac:dyDescent="0.25">
      <c r="A1165" s="24" t="s">
        <v>200</v>
      </c>
      <c r="B1165" s="24" t="s">
        <v>40</v>
      </c>
      <c r="C1165" s="24" t="s">
        <v>31</v>
      </c>
      <c r="D1165" s="24">
        <v>0.3</v>
      </c>
      <c r="E1165" s="24" t="s">
        <v>796</v>
      </c>
      <c r="F1165" s="24" t="s">
        <v>863</v>
      </c>
      <c r="G1165" s="24">
        <v>172619</v>
      </c>
    </row>
    <row r="1166" spans="1:7" x14ac:dyDescent="0.25">
      <c r="A1166" s="24" t="s">
        <v>200</v>
      </c>
      <c r="B1166" s="24" t="s">
        <v>41</v>
      </c>
      <c r="C1166" s="24" t="s">
        <v>31</v>
      </c>
      <c r="D1166" s="24">
        <v>0.2</v>
      </c>
      <c r="E1166" s="24" t="s">
        <v>796</v>
      </c>
      <c r="F1166" s="24" t="s">
        <v>863</v>
      </c>
      <c r="G1166" s="24">
        <v>172619</v>
      </c>
    </row>
    <row r="1167" spans="1:7" x14ac:dyDescent="0.25">
      <c r="A1167" s="24" t="s">
        <v>200</v>
      </c>
      <c r="B1167" s="24" t="s">
        <v>42</v>
      </c>
      <c r="C1167" s="24" t="s">
        <v>43</v>
      </c>
      <c r="D1167" s="24">
        <v>1.9</v>
      </c>
      <c r="E1167" s="24" t="s">
        <v>796</v>
      </c>
      <c r="F1167" s="24" t="s">
        <v>863</v>
      </c>
      <c r="G1167" s="24">
        <v>172619</v>
      </c>
    </row>
    <row r="1168" spans="1:7" x14ac:dyDescent="0.25">
      <c r="A1168" s="24" t="s">
        <v>200</v>
      </c>
      <c r="B1168" s="24" t="s">
        <v>44</v>
      </c>
      <c r="C1168" s="24" t="s">
        <v>31</v>
      </c>
      <c r="D1168" s="24">
        <v>0</v>
      </c>
      <c r="E1168" s="24" t="s">
        <v>796</v>
      </c>
      <c r="F1168" s="24" t="s">
        <v>863</v>
      </c>
      <c r="G1168" s="24">
        <v>172619</v>
      </c>
    </row>
    <row r="1169" spans="1:7" x14ac:dyDescent="0.25">
      <c r="A1169" s="24" t="s">
        <v>200</v>
      </c>
      <c r="B1169" s="24" t="s">
        <v>45</v>
      </c>
      <c r="C1169" s="24" t="s">
        <v>31</v>
      </c>
      <c r="D1169" s="24">
        <v>0.9</v>
      </c>
      <c r="E1169" s="24" t="s">
        <v>796</v>
      </c>
      <c r="F1169" s="24" t="s">
        <v>863</v>
      </c>
      <c r="G1169" s="24">
        <v>172619</v>
      </c>
    </row>
    <row r="1170" spans="1:7" x14ac:dyDescent="0.25">
      <c r="A1170" s="24" t="s">
        <v>200</v>
      </c>
      <c r="B1170" s="24" t="s">
        <v>46</v>
      </c>
      <c r="C1170" s="24" t="s">
        <v>36</v>
      </c>
      <c r="D1170" s="24">
        <v>10.6</v>
      </c>
      <c r="E1170" s="24" t="s">
        <v>796</v>
      </c>
      <c r="F1170" s="24" t="s">
        <v>863</v>
      </c>
      <c r="G1170" s="24">
        <v>172619</v>
      </c>
    </row>
    <row r="1171" spans="1:7" x14ac:dyDescent="0.25">
      <c r="A1171" s="24" t="s">
        <v>200</v>
      </c>
      <c r="B1171" s="24" t="s">
        <v>53</v>
      </c>
      <c r="C1171" s="24" t="s">
        <v>31</v>
      </c>
      <c r="D1171" s="24">
        <v>11.7</v>
      </c>
      <c r="E1171" s="24" t="s">
        <v>796</v>
      </c>
      <c r="F1171" s="24" t="s">
        <v>863</v>
      </c>
      <c r="G1171" s="24">
        <v>172619</v>
      </c>
    </row>
    <row r="1172" spans="1:7" x14ac:dyDescent="0.25">
      <c r="A1172" s="24" t="s">
        <v>200</v>
      </c>
      <c r="B1172" s="24" t="s">
        <v>55</v>
      </c>
      <c r="C1172" s="24" t="s">
        <v>31</v>
      </c>
      <c r="D1172" s="24">
        <v>1.2</v>
      </c>
      <c r="E1172" s="24" t="s">
        <v>796</v>
      </c>
      <c r="F1172" s="24" t="s">
        <v>863</v>
      </c>
      <c r="G1172" s="24">
        <v>172619</v>
      </c>
    </row>
    <row r="1173" spans="1:7" x14ac:dyDescent="0.25">
      <c r="A1173" s="24" t="s">
        <v>200</v>
      </c>
      <c r="B1173" s="24" t="s">
        <v>56</v>
      </c>
      <c r="C1173" s="24" t="s">
        <v>31</v>
      </c>
      <c r="D1173" s="24">
        <v>0.1</v>
      </c>
      <c r="E1173" s="24" t="s">
        <v>796</v>
      </c>
      <c r="F1173" s="24" t="s">
        <v>863</v>
      </c>
      <c r="G1173" s="24">
        <v>172619</v>
      </c>
    </row>
    <row r="1174" spans="1:7" x14ac:dyDescent="0.25">
      <c r="A1174" s="24" t="s">
        <v>200</v>
      </c>
      <c r="B1174" s="24" t="s">
        <v>57</v>
      </c>
      <c r="C1174" s="24" t="s">
        <v>36</v>
      </c>
      <c r="D1174" s="24">
        <v>28</v>
      </c>
      <c r="E1174" s="24" t="s">
        <v>796</v>
      </c>
      <c r="F1174" s="24" t="s">
        <v>863</v>
      </c>
      <c r="G1174" s="24">
        <v>172619</v>
      </c>
    </row>
    <row r="1175" spans="1:7" x14ac:dyDescent="0.25">
      <c r="A1175" s="24" t="s">
        <v>200</v>
      </c>
      <c r="B1175" s="24" t="s">
        <v>58</v>
      </c>
      <c r="C1175" s="24" t="s">
        <v>5</v>
      </c>
      <c r="D1175" s="24">
        <v>0</v>
      </c>
      <c r="E1175" s="24" t="s">
        <v>795</v>
      </c>
      <c r="F1175" s="24"/>
      <c r="G1175" s="24"/>
    </row>
    <row r="1176" spans="1:7" x14ac:dyDescent="0.25">
      <c r="A1176" s="24" t="s">
        <v>201</v>
      </c>
      <c r="B1176" s="24" t="s">
        <v>32</v>
      </c>
      <c r="C1176" s="24" t="s">
        <v>33</v>
      </c>
      <c r="D1176" s="24">
        <v>2.9</v>
      </c>
      <c r="E1176" s="24" t="s">
        <v>796</v>
      </c>
      <c r="F1176" s="24" t="s">
        <v>864</v>
      </c>
      <c r="G1176" s="24">
        <v>167812</v>
      </c>
    </row>
    <row r="1177" spans="1:7" x14ac:dyDescent="0.25">
      <c r="A1177" s="24" t="s">
        <v>201</v>
      </c>
      <c r="B1177" s="24" t="s">
        <v>34</v>
      </c>
      <c r="C1177" s="24" t="s">
        <v>31</v>
      </c>
      <c r="D1177" s="24">
        <v>0.3</v>
      </c>
      <c r="E1177" s="24" t="s">
        <v>796</v>
      </c>
      <c r="F1177" s="24" t="s">
        <v>864</v>
      </c>
      <c r="G1177" s="24">
        <v>167812</v>
      </c>
    </row>
    <row r="1178" spans="1:7" x14ac:dyDescent="0.25">
      <c r="A1178" s="24" t="s">
        <v>201</v>
      </c>
      <c r="B1178" s="24" t="s">
        <v>37</v>
      </c>
      <c r="C1178" s="24" t="s">
        <v>38</v>
      </c>
      <c r="D1178" s="24">
        <v>0.4</v>
      </c>
      <c r="E1178" s="24" t="s">
        <v>796</v>
      </c>
      <c r="F1178" s="24" t="s">
        <v>864</v>
      </c>
      <c r="G1178" s="24">
        <v>167812</v>
      </c>
    </row>
    <row r="1179" spans="1:7" x14ac:dyDescent="0.25">
      <c r="A1179" s="24" t="s">
        <v>201</v>
      </c>
      <c r="B1179" s="24" t="s">
        <v>39</v>
      </c>
      <c r="C1179" s="24" t="s">
        <v>36</v>
      </c>
      <c r="D1179" s="24">
        <v>0</v>
      </c>
      <c r="E1179" s="24" t="s">
        <v>796</v>
      </c>
      <c r="F1179" s="24" t="s">
        <v>864</v>
      </c>
      <c r="G1179" s="24">
        <v>167812</v>
      </c>
    </row>
    <row r="1180" spans="1:7" x14ac:dyDescent="0.25">
      <c r="A1180" s="24" t="s">
        <v>201</v>
      </c>
      <c r="B1180" s="24" t="s">
        <v>40</v>
      </c>
      <c r="C1180" s="24" t="s">
        <v>31</v>
      </c>
      <c r="D1180" s="24">
        <v>0.4</v>
      </c>
      <c r="E1180" s="24" t="s">
        <v>796</v>
      </c>
      <c r="F1180" s="24" t="s">
        <v>864</v>
      </c>
      <c r="G1180" s="24">
        <v>167812</v>
      </c>
    </row>
    <row r="1181" spans="1:7" x14ac:dyDescent="0.25">
      <c r="A1181" s="24" t="s">
        <v>201</v>
      </c>
      <c r="B1181" s="24" t="s">
        <v>41</v>
      </c>
      <c r="C1181" s="24" t="s">
        <v>31</v>
      </c>
      <c r="D1181" s="24">
        <v>0.2</v>
      </c>
      <c r="E1181" s="24" t="s">
        <v>796</v>
      </c>
      <c r="F1181" s="24" t="s">
        <v>864</v>
      </c>
      <c r="G1181" s="24">
        <v>167812</v>
      </c>
    </row>
    <row r="1182" spans="1:7" x14ac:dyDescent="0.25">
      <c r="A1182" s="24" t="s">
        <v>201</v>
      </c>
      <c r="B1182" s="24" t="s">
        <v>42</v>
      </c>
      <c r="C1182" s="24" t="s">
        <v>43</v>
      </c>
      <c r="D1182" s="24">
        <v>4.5</v>
      </c>
      <c r="E1182" s="24" t="s">
        <v>796</v>
      </c>
      <c r="F1182" s="24" t="s">
        <v>864</v>
      </c>
      <c r="G1182" s="24">
        <v>167812</v>
      </c>
    </row>
    <row r="1183" spans="1:7" x14ac:dyDescent="0.25">
      <c r="A1183" s="24" t="s">
        <v>201</v>
      </c>
      <c r="B1183" s="24" t="s">
        <v>44</v>
      </c>
      <c r="C1183" s="24" t="s">
        <v>31</v>
      </c>
      <c r="D1183" s="24">
        <v>0.1</v>
      </c>
      <c r="E1183" s="24" t="s">
        <v>796</v>
      </c>
      <c r="F1183" s="24" t="s">
        <v>864</v>
      </c>
      <c r="G1183" s="24">
        <v>167812</v>
      </c>
    </row>
    <row r="1184" spans="1:7" x14ac:dyDescent="0.25">
      <c r="A1184" s="24" t="s">
        <v>201</v>
      </c>
      <c r="B1184" s="24" t="s">
        <v>45</v>
      </c>
      <c r="C1184" s="24" t="s">
        <v>31</v>
      </c>
      <c r="D1184" s="24">
        <v>0.2</v>
      </c>
      <c r="E1184" s="24" t="s">
        <v>796</v>
      </c>
      <c r="F1184" s="24" t="s">
        <v>864</v>
      </c>
      <c r="G1184" s="24">
        <v>167812</v>
      </c>
    </row>
    <row r="1185" spans="1:7" x14ac:dyDescent="0.25">
      <c r="A1185" s="24" t="s">
        <v>201</v>
      </c>
      <c r="B1185" s="24" t="s">
        <v>46</v>
      </c>
      <c r="C1185" s="24" t="s">
        <v>36</v>
      </c>
      <c r="D1185" s="24">
        <v>0.8</v>
      </c>
      <c r="E1185" s="24" t="s">
        <v>796</v>
      </c>
      <c r="F1185" s="24" t="s">
        <v>864</v>
      </c>
      <c r="G1185" s="24">
        <v>167812</v>
      </c>
    </row>
    <row r="1186" spans="1:7" x14ac:dyDescent="0.25">
      <c r="A1186" s="24" t="s">
        <v>201</v>
      </c>
      <c r="B1186" s="24" t="s">
        <v>47</v>
      </c>
      <c r="C1186" s="24" t="s">
        <v>48</v>
      </c>
      <c r="D1186" s="24">
        <v>1</v>
      </c>
      <c r="E1186" s="24" t="s">
        <v>796</v>
      </c>
      <c r="F1186" s="24" t="s">
        <v>864</v>
      </c>
      <c r="G1186" s="24">
        <v>167812</v>
      </c>
    </row>
    <row r="1187" spans="1:7" x14ac:dyDescent="0.25">
      <c r="A1187" s="24" t="s">
        <v>201</v>
      </c>
      <c r="B1187" s="24" t="s">
        <v>50</v>
      </c>
      <c r="C1187" s="24" t="s">
        <v>31</v>
      </c>
      <c r="D1187" s="24">
        <v>180.1</v>
      </c>
      <c r="E1187" s="24" t="s">
        <v>796</v>
      </c>
      <c r="F1187" s="24" t="s">
        <v>864</v>
      </c>
      <c r="G1187" s="24">
        <v>167812</v>
      </c>
    </row>
    <row r="1188" spans="1:7" x14ac:dyDescent="0.25">
      <c r="A1188" s="24" t="s">
        <v>201</v>
      </c>
      <c r="B1188" s="24" t="s">
        <v>51</v>
      </c>
      <c r="C1188" s="24" t="s">
        <v>31</v>
      </c>
      <c r="D1188" s="24">
        <v>4.9000000000000004</v>
      </c>
      <c r="E1188" s="24" t="s">
        <v>796</v>
      </c>
      <c r="F1188" s="24" t="s">
        <v>864</v>
      </c>
      <c r="G1188" s="24">
        <v>167812</v>
      </c>
    </row>
    <row r="1189" spans="1:7" x14ac:dyDescent="0.25">
      <c r="A1189" s="24" t="s">
        <v>201</v>
      </c>
      <c r="B1189" s="24" t="s">
        <v>52</v>
      </c>
      <c r="C1189" s="24" t="s">
        <v>31</v>
      </c>
      <c r="D1189" s="24">
        <v>105.2</v>
      </c>
      <c r="E1189" s="24" t="s">
        <v>796</v>
      </c>
      <c r="F1189" s="24" t="s">
        <v>864</v>
      </c>
      <c r="G1189" s="24">
        <v>167812</v>
      </c>
    </row>
    <row r="1190" spans="1:7" x14ac:dyDescent="0.25">
      <c r="A1190" s="24" t="s">
        <v>201</v>
      </c>
      <c r="B1190" s="24" t="s">
        <v>53</v>
      </c>
      <c r="C1190" s="24" t="s">
        <v>31</v>
      </c>
      <c r="D1190" s="24">
        <v>3.9</v>
      </c>
      <c r="E1190" s="24" t="s">
        <v>796</v>
      </c>
      <c r="F1190" s="24" t="s">
        <v>864</v>
      </c>
      <c r="G1190" s="24">
        <v>167812</v>
      </c>
    </row>
    <row r="1191" spans="1:7" x14ac:dyDescent="0.25">
      <c r="A1191" s="24" t="s">
        <v>201</v>
      </c>
      <c r="B1191" s="24" t="s">
        <v>54</v>
      </c>
      <c r="C1191" s="24" t="s">
        <v>31</v>
      </c>
      <c r="D1191" s="24">
        <v>0.5</v>
      </c>
      <c r="E1191" s="24" t="s">
        <v>796</v>
      </c>
      <c r="F1191" s="24" t="s">
        <v>864</v>
      </c>
      <c r="G1191" s="24">
        <v>167812</v>
      </c>
    </row>
    <row r="1192" spans="1:7" x14ac:dyDescent="0.25">
      <c r="A1192" s="24" t="s">
        <v>201</v>
      </c>
      <c r="B1192" s="24" t="s">
        <v>55</v>
      </c>
      <c r="C1192" s="24" t="s">
        <v>31</v>
      </c>
      <c r="D1192" s="24">
        <v>1</v>
      </c>
      <c r="E1192" s="24" t="s">
        <v>796</v>
      </c>
      <c r="F1192" s="24" t="s">
        <v>864</v>
      </c>
      <c r="G1192" s="24">
        <v>167812</v>
      </c>
    </row>
    <row r="1193" spans="1:7" x14ac:dyDescent="0.25">
      <c r="A1193" s="24" t="s">
        <v>201</v>
      </c>
      <c r="B1193" s="24" t="s">
        <v>56</v>
      </c>
      <c r="C1193" s="24" t="s">
        <v>31</v>
      </c>
      <c r="D1193" s="24">
        <v>0.1</v>
      </c>
      <c r="E1193" s="24" t="s">
        <v>796</v>
      </c>
      <c r="F1193" s="24" t="s">
        <v>864</v>
      </c>
      <c r="G1193" s="24">
        <v>167812</v>
      </c>
    </row>
    <row r="1194" spans="1:7" x14ac:dyDescent="0.25">
      <c r="A1194" s="24" t="s">
        <v>201</v>
      </c>
      <c r="B1194" s="24" t="s">
        <v>57</v>
      </c>
      <c r="C1194" s="24" t="s">
        <v>36</v>
      </c>
      <c r="D1194" s="24">
        <v>7.8</v>
      </c>
      <c r="E1194" s="24" t="s">
        <v>796</v>
      </c>
      <c r="F1194" s="24" t="s">
        <v>864</v>
      </c>
      <c r="G1194" s="24">
        <v>167812</v>
      </c>
    </row>
    <row r="1195" spans="1:7" x14ac:dyDescent="0.25">
      <c r="A1195" s="24" t="s">
        <v>201</v>
      </c>
      <c r="B1195" s="24" t="s">
        <v>58</v>
      </c>
      <c r="C1195" s="24" t="s">
        <v>5</v>
      </c>
      <c r="D1195" s="24">
        <v>0</v>
      </c>
      <c r="E1195" s="24" t="s">
        <v>795</v>
      </c>
      <c r="F1195" s="24"/>
      <c r="G1195" s="24"/>
    </row>
    <row r="1196" spans="1:7" x14ac:dyDescent="0.25">
      <c r="A1196" s="24" t="s">
        <v>202</v>
      </c>
      <c r="B1196" s="24" t="s">
        <v>20</v>
      </c>
      <c r="C1196" s="24" t="s">
        <v>5</v>
      </c>
      <c r="D1196" s="24">
        <v>4.7</v>
      </c>
      <c r="E1196" s="24" t="s">
        <v>796</v>
      </c>
      <c r="F1196" s="24" t="s">
        <v>865</v>
      </c>
      <c r="G1196" s="24">
        <v>172447</v>
      </c>
    </row>
    <row r="1197" spans="1:7" x14ac:dyDescent="0.25">
      <c r="A1197" s="24" t="s">
        <v>202</v>
      </c>
      <c r="B1197" s="24" t="s">
        <v>26</v>
      </c>
      <c r="C1197" s="24" t="s">
        <v>5</v>
      </c>
      <c r="D1197" s="24">
        <v>0.23</v>
      </c>
      <c r="E1197" s="24" t="s">
        <v>799</v>
      </c>
      <c r="F1197" s="24" t="s">
        <v>865</v>
      </c>
      <c r="G1197" s="24">
        <v>172447</v>
      </c>
    </row>
    <row r="1198" spans="1:7" x14ac:dyDescent="0.25">
      <c r="A1198" s="24" t="s">
        <v>202</v>
      </c>
      <c r="B1198" s="24" t="s">
        <v>27</v>
      </c>
      <c r="C1198" s="24" t="s">
        <v>5</v>
      </c>
      <c r="D1198" s="24">
        <v>0.34</v>
      </c>
      <c r="E1198" s="24" t="s">
        <v>799</v>
      </c>
      <c r="F1198" s="24" t="s">
        <v>865</v>
      </c>
      <c r="G1198" s="24">
        <v>172447</v>
      </c>
    </row>
    <row r="1199" spans="1:7" x14ac:dyDescent="0.25">
      <c r="A1199" s="24" t="s">
        <v>202</v>
      </c>
      <c r="B1199" s="24" t="s">
        <v>28</v>
      </c>
      <c r="C1199" s="24" t="s">
        <v>5</v>
      </c>
      <c r="D1199" s="24">
        <v>0.87</v>
      </c>
      <c r="E1199" s="24" t="s">
        <v>799</v>
      </c>
      <c r="F1199" s="24" t="s">
        <v>865</v>
      </c>
      <c r="G1199" s="24">
        <v>172447</v>
      </c>
    </row>
    <row r="1200" spans="1:7" x14ac:dyDescent="0.25">
      <c r="A1200" s="24" t="s">
        <v>202</v>
      </c>
      <c r="B1200" s="24" t="s">
        <v>29</v>
      </c>
      <c r="C1200" s="24" t="s">
        <v>5</v>
      </c>
      <c r="D1200" s="24">
        <v>0</v>
      </c>
      <c r="E1200" s="24" t="s">
        <v>799</v>
      </c>
      <c r="F1200" s="24" t="s">
        <v>865</v>
      </c>
      <c r="G1200" s="24">
        <v>172447</v>
      </c>
    </row>
    <row r="1201" spans="1:7" x14ac:dyDescent="0.25">
      <c r="A1201" s="24" t="s">
        <v>202</v>
      </c>
      <c r="B1201" s="24" t="s">
        <v>32</v>
      </c>
      <c r="C1201" s="24" t="s">
        <v>33</v>
      </c>
      <c r="D1201" s="24">
        <v>0</v>
      </c>
      <c r="E1201" s="24" t="s">
        <v>801</v>
      </c>
      <c r="F1201" s="24" t="s">
        <v>865</v>
      </c>
      <c r="G1201" s="24">
        <v>172447</v>
      </c>
    </row>
    <row r="1202" spans="1:7" x14ac:dyDescent="0.25">
      <c r="A1202" s="24" t="s">
        <v>202</v>
      </c>
      <c r="B1202" s="24" t="s">
        <v>34</v>
      </c>
      <c r="C1202" s="24" t="s">
        <v>31</v>
      </c>
      <c r="D1202" s="24">
        <v>0</v>
      </c>
      <c r="E1202" s="24" t="s">
        <v>801</v>
      </c>
      <c r="F1202" s="24" t="s">
        <v>865</v>
      </c>
      <c r="G1202" s="24">
        <v>172447</v>
      </c>
    </row>
    <row r="1203" spans="1:7" x14ac:dyDescent="0.25">
      <c r="A1203" s="24" t="s">
        <v>202</v>
      </c>
      <c r="B1203" s="24" t="s">
        <v>35</v>
      </c>
      <c r="C1203" s="24" t="s">
        <v>36</v>
      </c>
      <c r="D1203" s="24">
        <v>0</v>
      </c>
      <c r="E1203" s="24" t="s">
        <v>801</v>
      </c>
      <c r="F1203" s="24" t="s">
        <v>865</v>
      </c>
      <c r="G1203" s="24">
        <v>172447</v>
      </c>
    </row>
    <row r="1204" spans="1:7" x14ac:dyDescent="0.25">
      <c r="A1204" s="24" t="s">
        <v>202</v>
      </c>
      <c r="B1204" s="24" t="s">
        <v>37</v>
      </c>
      <c r="C1204" s="24" t="s">
        <v>38</v>
      </c>
      <c r="D1204" s="24">
        <v>0</v>
      </c>
      <c r="E1204" s="24" t="s">
        <v>801</v>
      </c>
      <c r="F1204" s="24" t="s">
        <v>865</v>
      </c>
      <c r="G1204" s="24">
        <v>172447</v>
      </c>
    </row>
    <row r="1205" spans="1:7" x14ac:dyDescent="0.25">
      <c r="A1205" s="24" t="s">
        <v>202</v>
      </c>
      <c r="B1205" s="24" t="s">
        <v>39</v>
      </c>
      <c r="C1205" s="24" t="s">
        <v>36</v>
      </c>
      <c r="D1205" s="24">
        <v>0</v>
      </c>
      <c r="E1205" s="24" t="s">
        <v>801</v>
      </c>
      <c r="F1205" s="24" t="s">
        <v>865</v>
      </c>
      <c r="G1205" s="24">
        <v>172447</v>
      </c>
    </row>
    <row r="1206" spans="1:7" x14ac:dyDescent="0.25">
      <c r="A1206" s="24" t="s">
        <v>202</v>
      </c>
      <c r="B1206" s="24" t="s">
        <v>46</v>
      </c>
      <c r="C1206" s="24" t="s">
        <v>36</v>
      </c>
      <c r="D1206" s="24">
        <v>0</v>
      </c>
      <c r="E1206" s="24" t="s">
        <v>801</v>
      </c>
      <c r="F1206" s="24" t="s">
        <v>865</v>
      </c>
      <c r="G1206" s="24">
        <v>172447</v>
      </c>
    </row>
    <row r="1207" spans="1:7" x14ac:dyDescent="0.25">
      <c r="A1207" s="24" t="s">
        <v>202</v>
      </c>
      <c r="B1207" s="24" t="s">
        <v>50</v>
      </c>
      <c r="C1207" s="24" t="s">
        <v>31</v>
      </c>
      <c r="D1207" s="24">
        <v>2202</v>
      </c>
      <c r="E1207" s="24" t="s">
        <v>801</v>
      </c>
      <c r="F1207" s="24" t="s">
        <v>865</v>
      </c>
      <c r="G1207" s="24">
        <v>172447</v>
      </c>
    </row>
    <row r="1208" spans="1:7" x14ac:dyDescent="0.25">
      <c r="A1208" s="24" t="s">
        <v>202</v>
      </c>
      <c r="B1208" s="24" t="s">
        <v>51</v>
      </c>
      <c r="C1208" s="24" t="s">
        <v>31</v>
      </c>
      <c r="D1208" s="24">
        <v>363</v>
      </c>
      <c r="E1208" s="24" t="s">
        <v>801</v>
      </c>
      <c r="F1208" s="24" t="s">
        <v>865</v>
      </c>
      <c r="G1208" s="24">
        <v>172447</v>
      </c>
    </row>
    <row r="1209" spans="1:7" x14ac:dyDescent="0.25">
      <c r="A1209" s="24" t="s">
        <v>202</v>
      </c>
      <c r="B1209" s="24" t="s">
        <v>52</v>
      </c>
      <c r="C1209" s="24" t="s">
        <v>31</v>
      </c>
      <c r="D1209" s="24">
        <v>839</v>
      </c>
      <c r="E1209" s="24" t="s">
        <v>801</v>
      </c>
      <c r="F1209" s="24" t="s">
        <v>865</v>
      </c>
      <c r="G1209" s="24">
        <v>172447</v>
      </c>
    </row>
    <row r="1210" spans="1:7" x14ac:dyDescent="0.25">
      <c r="A1210" s="24" t="s">
        <v>202</v>
      </c>
      <c r="B1210" s="24" t="s">
        <v>53</v>
      </c>
      <c r="C1210" s="24" t="s">
        <v>31</v>
      </c>
      <c r="D1210" s="24">
        <v>315</v>
      </c>
      <c r="E1210" s="24" t="s">
        <v>801</v>
      </c>
      <c r="F1210" s="24" t="s">
        <v>865</v>
      </c>
      <c r="G1210" s="24">
        <v>172447</v>
      </c>
    </row>
    <row r="1211" spans="1:7" x14ac:dyDescent="0.25">
      <c r="A1211" s="24" t="s">
        <v>202</v>
      </c>
      <c r="B1211" s="24" t="s">
        <v>54</v>
      </c>
      <c r="C1211" s="24" t="s">
        <v>31</v>
      </c>
      <c r="D1211" s="24">
        <v>10.8</v>
      </c>
      <c r="E1211" s="24" t="s">
        <v>801</v>
      </c>
      <c r="F1211" s="24" t="s">
        <v>865</v>
      </c>
      <c r="G1211" s="24">
        <v>172447</v>
      </c>
    </row>
    <row r="1212" spans="1:7" x14ac:dyDescent="0.25">
      <c r="A1212" s="24" t="s">
        <v>202</v>
      </c>
      <c r="B1212" s="24" t="s">
        <v>55</v>
      </c>
      <c r="C1212" s="24" t="s">
        <v>31</v>
      </c>
      <c r="D1212" s="24">
        <v>4.4000000000000004</v>
      </c>
      <c r="E1212" s="24" t="s">
        <v>801</v>
      </c>
      <c r="F1212" s="24" t="s">
        <v>865</v>
      </c>
      <c r="G1212" s="24">
        <v>172447</v>
      </c>
    </row>
    <row r="1213" spans="1:7" x14ac:dyDescent="0.25">
      <c r="A1213" s="24" t="s">
        <v>202</v>
      </c>
      <c r="B1213" s="24" t="s">
        <v>56</v>
      </c>
      <c r="C1213" s="24" t="s">
        <v>31</v>
      </c>
      <c r="D1213" s="24">
        <v>1</v>
      </c>
      <c r="E1213" s="24" t="s">
        <v>801</v>
      </c>
      <c r="F1213" s="24" t="s">
        <v>865</v>
      </c>
      <c r="G1213" s="24">
        <v>172447</v>
      </c>
    </row>
    <row r="1214" spans="1:7" x14ac:dyDescent="0.25">
      <c r="A1214" s="24" t="s">
        <v>202</v>
      </c>
      <c r="B1214" s="24" t="s">
        <v>57</v>
      </c>
      <c r="C1214" s="24" t="s">
        <v>36</v>
      </c>
      <c r="D1214" s="24">
        <v>0.8</v>
      </c>
      <c r="E1214" s="24" t="s">
        <v>801</v>
      </c>
      <c r="F1214" s="24" t="s">
        <v>865</v>
      </c>
      <c r="G1214" s="24">
        <v>172447</v>
      </c>
    </row>
    <row r="1215" spans="1:7" x14ac:dyDescent="0.25">
      <c r="A1215" s="24" t="s">
        <v>202</v>
      </c>
      <c r="B1215" s="24" t="s">
        <v>58</v>
      </c>
      <c r="C1215" s="24" t="s">
        <v>5</v>
      </c>
      <c r="D1215" s="24">
        <v>0</v>
      </c>
      <c r="E1215" s="24" t="s">
        <v>795</v>
      </c>
      <c r="F1215" s="24"/>
      <c r="G1215" s="24"/>
    </row>
    <row r="1216" spans="1:7" x14ac:dyDescent="0.25">
      <c r="A1216" s="24" t="s">
        <v>202</v>
      </c>
      <c r="B1216" s="24" t="s">
        <v>18</v>
      </c>
      <c r="C1216" s="24" t="s">
        <v>5</v>
      </c>
      <c r="D1216" s="24">
        <v>12.3</v>
      </c>
      <c r="E1216" s="24" t="s">
        <v>803</v>
      </c>
      <c r="F1216" s="24"/>
      <c r="G1216" s="24"/>
    </row>
    <row r="1217" spans="1:7" x14ac:dyDescent="0.25">
      <c r="A1217" s="24" t="s">
        <v>203</v>
      </c>
      <c r="B1217" s="24" t="s">
        <v>32</v>
      </c>
      <c r="C1217" s="24" t="s">
        <v>33</v>
      </c>
      <c r="D1217" s="24">
        <v>0</v>
      </c>
      <c r="E1217" s="24" t="s">
        <v>796</v>
      </c>
      <c r="F1217" s="24" t="s">
        <v>866</v>
      </c>
      <c r="G1217" s="24">
        <v>170604</v>
      </c>
    </row>
    <row r="1218" spans="1:7" x14ac:dyDescent="0.25">
      <c r="A1218" s="24" t="s">
        <v>203</v>
      </c>
      <c r="B1218" s="24" t="s">
        <v>34</v>
      </c>
      <c r="C1218" s="24" t="s">
        <v>31</v>
      </c>
      <c r="D1218" s="24">
        <v>0</v>
      </c>
      <c r="E1218" s="24" t="s">
        <v>796</v>
      </c>
      <c r="F1218" s="24" t="s">
        <v>866</v>
      </c>
      <c r="G1218" s="24">
        <v>170604</v>
      </c>
    </row>
    <row r="1219" spans="1:7" x14ac:dyDescent="0.25">
      <c r="A1219" s="24" t="s">
        <v>203</v>
      </c>
      <c r="B1219" s="24" t="s">
        <v>35</v>
      </c>
      <c r="C1219" s="24" t="s">
        <v>36</v>
      </c>
      <c r="D1219" s="24">
        <v>0</v>
      </c>
      <c r="E1219" s="24" t="s">
        <v>796</v>
      </c>
      <c r="F1219" s="24" t="s">
        <v>866</v>
      </c>
      <c r="G1219" s="24">
        <v>170604</v>
      </c>
    </row>
    <row r="1220" spans="1:7" x14ac:dyDescent="0.25">
      <c r="A1220" s="24" t="s">
        <v>203</v>
      </c>
      <c r="B1220" s="24" t="s">
        <v>37</v>
      </c>
      <c r="C1220" s="24" t="s">
        <v>38</v>
      </c>
      <c r="D1220" s="24">
        <v>0.8</v>
      </c>
      <c r="E1220" s="24" t="s">
        <v>796</v>
      </c>
      <c r="F1220" s="24" t="s">
        <v>866</v>
      </c>
      <c r="G1220" s="24">
        <v>170604</v>
      </c>
    </row>
    <row r="1221" spans="1:7" x14ac:dyDescent="0.25">
      <c r="A1221" s="24" t="s">
        <v>203</v>
      </c>
      <c r="B1221" s="24" t="s">
        <v>39</v>
      </c>
      <c r="C1221" s="24" t="s">
        <v>36</v>
      </c>
      <c r="D1221" s="24">
        <v>2.6</v>
      </c>
      <c r="E1221" s="24" t="s">
        <v>796</v>
      </c>
      <c r="F1221" s="24" t="s">
        <v>866</v>
      </c>
      <c r="G1221" s="24">
        <v>170604</v>
      </c>
    </row>
    <row r="1222" spans="1:7" x14ac:dyDescent="0.25">
      <c r="A1222" s="24" t="s">
        <v>203</v>
      </c>
      <c r="B1222" s="24" t="s">
        <v>40</v>
      </c>
      <c r="C1222" s="24" t="s">
        <v>31</v>
      </c>
      <c r="D1222" s="24">
        <v>0.1</v>
      </c>
      <c r="E1222" s="24" t="s">
        <v>796</v>
      </c>
      <c r="F1222" s="24" t="s">
        <v>866</v>
      </c>
      <c r="G1222" s="24">
        <v>170604</v>
      </c>
    </row>
    <row r="1223" spans="1:7" x14ac:dyDescent="0.25">
      <c r="A1223" s="24" t="s">
        <v>203</v>
      </c>
      <c r="B1223" s="24" t="s">
        <v>41</v>
      </c>
      <c r="C1223" s="24" t="s">
        <v>31</v>
      </c>
      <c r="D1223" s="24">
        <v>0.3</v>
      </c>
      <c r="E1223" s="24" t="s">
        <v>796</v>
      </c>
      <c r="F1223" s="24" t="s">
        <v>866</v>
      </c>
      <c r="G1223" s="24">
        <v>170604</v>
      </c>
    </row>
    <row r="1224" spans="1:7" x14ac:dyDescent="0.25">
      <c r="A1224" s="24" t="s">
        <v>203</v>
      </c>
      <c r="B1224" s="24" t="s">
        <v>42</v>
      </c>
      <c r="C1224" s="24" t="s">
        <v>43</v>
      </c>
      <c r="D1224" s="24">
        <v>10.4</v>
      </c>
      <c r="E1224" s="24" t="s">
        <v>796</v>
      </c>
      <c r="F1224" s="24" t="s">
        <v>866</v>
      </c>
      <c r="G1224" s="24">
        <v>170604</v>
      </c>
    </row>
    <row r="1225" spans="1:7" x14ac:dyDescent="0.25">
      <c r="A1225" s="24" t="s">
        <v>203</v>
      </c>
      <c r="B1225" s="24" t="s">
        <v>44</v>
      </c>
      <c r="C1225" s="24" t="s">
        <v>31</v>
      </c>
      <c r="D1225" s="24">
        <v>0.8</v>
      </c>
      <c r="E1225" s="24" t="s">
        <v>796</v>
      </c>
      <c r="F1225" s="24" t="s">
        <v>866</v>
      </c>
      <c r="G1225" s="24">
        <v>170604</v>
      </c>
    </row>
    <row r="1226" spans="1:7" x14ac:dyDescent="0.25">
      <c r="A1226" s="24" t="s">
        <v>203</v>
      </c>
      <c r="B1226" s="24" t="s">
        <v>45</v>
      </c>
      <c r="C1226" s="24" t="s">
        <v>31</v>
      </c>
      <c r="D1226" s="24">
        <v>1.1000000000000001</v>
      </c>
      <c r="E1226" s="24" t="s">
        <v>796</v>
      </c>
      <c r="F1226" s="24" t="s">
        <v>866</v>
      </c>
      <c r="G1226" s="24">
        <v>170604</v>
      </c>
    </row>
    <row r="1227" spans="1:7" x14ac:dyDescent="0.25">
      <c r="A1227" s="24" t="s">
        <v>203</v>
      </c>
      <c r="B1227" s="24" t="s">
        <v>46</v>
      </c>
      <c r="C1227" s="24" t="s">
        <v>36</v>
      </c>
      <c r="D1227" s="24">
        <v>3.2</v>
      </c>
      <c r="E1227" s="24" t="s">
        <v>796</v>
      </c>
      <c r="F1227" s="24" t="s">
        <v>866</v>
      </c>
      <c r="G1227" s="24">
        <v>170604</v>
      </c>
    </row>
    <row r="1228" spans="1:7" x14ac:dyDescent="0.25">
      <c r="A1228" s="24" t="s">
        <v>203</v>
      </c>
      <c r="B1228" s="24" t="s">
        <v>47</v>
      </c>
      <c r="C1228" s="24" t="s">
        <v>48</v>
      </c>
      <c r="D1228" s="24">
        <v>20.100000000000001</v>
      </c>
      <c r="E1228" s="24" t="s">
        <v>796</v>
      </c>
      <c r="F1228" s="24" t="s">
        <v>866</v>
      </c>
      <c r="G1228" s="24">
        <v>170604</v>
      </c>
    </row>
    <row r="1229" spans="1:7" x14ac:dyDescent="0.25">
      <c r="A1229" s="24" t="s">
        <v>203</v>
      </c>
      <c r="B1229" s="24" t="s">
        <v>50</v>
      </c>
      <c r="C1229" s="24" t="s">
        <v>31</v>
      </c>
      <c r="D1229" s="24">
        <v>471.5</v>
      </c>
      <c r="E1229" s="24" t="s">
        <v>796</v>
      </c>
      <c r="F1229" s="24" t="s">
        <v>866</v>
      </c>
      <c r="G1229" s="24">
        <v>170604</v>
      </c>
    </row>
    <row r="1230" spans="1:7" x14ac:dyDescent="0.25">
      <c r="A1230" s="24" t="s">
        <v>203</v>
      </c>
      <c r="B1230" s="24" t="s">
        <v>51</v>
      </c>
      <c r="C1230" s="24" t="s">
        <v>31</v>
      </c>
      <c r="D1230" s="24">
        <v>16.100000000000001</v>
      </c>
      <c r="E1230" s="24" t="s">
        <v>796</v>
      </c>
      <c r="F1230" s="24" t="s">
        <v>866</v>
      </c>
      <c r="G1230" s="24">
        <v>170604</v>
      </c>
    </row>
    <row r="1231" spans="1:7" x14ac:dyDescent="0.25">
      <c r="A1231" s="24" t="s">
        <v>203</v>
      </c>
      <c r="B1231" s="24" t="s">
        <v>52</v>
      </c>
      <c r="C1231" s="24" t="s">
        <v>31</v>
      </c>
      <c r="D1231" s="24">
        <v>363.2</v>
      </c>
      <c r="E1231" s="24" t="s">
        <v>796</v>
      </c>
      <c r="F1231" s="24" t="s">
        <v>866</v>
      </c>
      <c r="G1231" s="24">
        <v>170604</v>
      </c>
    </row>
    <row r="1232" spans="1:7" x14ac:dyDescent="0.25">
      <c r="A1232" s="24" t="s">
        <v>203</v>
      </c>
      <c r="B1232" s="24" t="s">
        <v>53</v>
      </c>
      <c r="C1232" s="24" t="s">
        <v>31</v>
      </c>
      <c r="D1232" s="24">
        <v>38.1</v>
      </c>
      <c r="E1232" s="24" t="s">
        <v>796</v>
      </c>
      <c r="F1232" s="24" t="s">
        <v>866</v>
      </c>
      <c r="G1232" s="24">
        <v>170604</v>
      </c>
    </row>
    <row r="1233" spans="1:7" x14ac:dyDescent="0.25">
      <c r="A1233" s="24" t="s">
        <v>203</v>
      </c>
      <c r="B1233" s="24" t="s">
        <v>54</v>
      </c>
      <c r="C1233" s="24" t="s">
        <v>31</v>
      </c>
      <c r="D1233" s="24">
        <v>4.9000000000000004</v>
      </c>
      <c r="E1233" s="24" t="s">
        <v>796</v>
      </c>
      <c r="F1233" s="24" t="s">
        <v>866</v>
      </c>
      <c r="G1233" s="24">
        <v>170604</v>
      </c>
    </row>
    <row r="1234" spans="1:7" x14ac:dyDescent="0.25">
      <c r="A1234" s="24" t="s">
        <v>203</v>
      </c>
      <c r="B1234" s="24" t="s">
        <v>55</v>
      </c>
      <c r="C1234" s="24" t="s">
        <v>31</v>
      </c>
      <c r="D1234" s="24">
        <v>9.9</v>
      </c>
      <c r="E1234" s="24" t="s">
        <v>796</v>
      </c>
      <c r="F1234" s="24" t="s">
        <v>866</v>
      </c>
      <c r="G1234" s="24">
        <v>170604</v>
      </c>
    </row>
    <row r="1235" spans="1:7" x14ac:dyDescent="0.25">
      <c r="A1235" s="24" t="s">
        <v>203</v>
      </c>
      <c r="B1235" s="24" t="s">
        <v>56</v>
      </c>
      <c r="C1235" s="24" t="s">
        <v>31</v>
      </c>
      <c r="D1235" s="24">
        <v>0.1</v>
      </c>
      <c r="E1235" s="24" t="s">
        <v>796</v>
      </c>
      <c r="F1235" s="24" t="s">
        <v>866</v>
      </c>
      <c r="G1235" s="24">
        <v>170604</v>
      </c>
    </row>
    <row r="1236" spans="1:7" x14ac:dyDescent="0.25">
      <c r="A1236" s="24" t="s">
        <v>203</v>
      </c>
      <c r="B1236" s="24" t="s">
        <v>57</v>
      </c>
      <c r="C1236" s="24" t="s">
        <v>36</v>
      </c>
      <c r="D1236" s="24">
        <v>65</v>
      </c>
      <c r="E1236" s="24" t="s">
        <v>796</v>
      </c>
      <c r="F1236" s="24" t="s">
        <v>866</v>
      </c>
      <c r="G1236" s="24">
        <v>170604</v>
      </c>
    </row>
    <row r="1237" spans="1:7" x14ac:dyDescent="0.25">
      <c r="A1237" s="24" t="s">
        <v>203</v>
      </c>
      <c r="B1237" s="24" t="s">
        <v>58</v>
      </c>
      <c r="C1237" s="24" t="s">
        <v>5</v>
      </c>
      <c r="D1237" s="24">
        <v>0</v>
      </c>
      <c r="E1237" s="24" t="s">
        <v>795</v>
      </c>
      <c r="F1237" s="24"/>
      <c r="G1237" s="24"/>
    </row>
    <row r="1238" spans="1:7" x14ac:dyDescent="0.25">
      <c r="A1238" s="24" t="s">
        <v>204</v>
      </c>
      <c r="B1238" s="24" t="s">
        <v>23</v>
      </c>
      <c r="C1238" s="24" t="s">
        <v>5</v>
      </c>
      <c r="D1238" s="24">
        <v>0</v>
      </c>
      <c r="E1238" s="24" t="s">
        <v>796</v>
      </c>
      <c r="F1238" s="24" t="s">
        <v>867</v>
      </c>
      <c r="G1238" s="24">
        <v>174579</v>
      </c>
    </row>
    <row r="1239" spans="1:7" x14ac:dyDescent="0.25">
      <c r="A1239" s="24" t="s">
        <v>204</v>
      </c>
      <c r="B1239" s="24" t="s">
        <v>32</v>
      </c>
      <c r="C1239" s="24" t="s">
        <v>33</v>
      </c>
      <c r="D1239" s="24">
        <v>0</v>
      </c>
      <c r="E1239" s="24" t="s">
        <v>796</v>
      </c>
      <c r="F1239" s="24" t="s">
        <v>867</v>
      </c>
      <c r="G1239" s="24">
        <v>174579</v>
      </c>
    </row>
    <row r="1240" spans="1:7" x14ac:dyDescent="0.25">
      <c r="A1240" s="24" t="s">
        <v>204</v>
      </c>
      <c r="B1240" s="24" t="s">
        <v>34</v>
      </c>
      <c r="C1240" s="24" t="s">
        <v>31</v>
      </c>
      <c r="D1240" s="24">
        <v>0</v>
      </c>
      <c r="E1240" s="24" t="s">
        <v>796</v>
      </c>
      <c r="F1240" s="24" t="s">
        <v>867</v>
      </c>
      <c r="G1240" s="24">
        <v>174579</v>
      </c>
    </row>
    <row r="1241" spans="1:7" x14ac:dyDescent="0.25">
      <c r="A1241" s="24" t="s">
        <v>204</v>
      </c>
      <c r="B1241" s="24" t="s">
        <v>35</v>
      </c>
      <c r="C1241" s="24" t="s">
        <v>36</v>
      </c>
      <c r="D1241" s="24">
        <v>0.4</v>
      </c>
      <c r="E1241" s="24" t="s">
        <v>796</v>
      </c>
      <c r="F1241" s="24" t="s">
        <v>867</v>
      </c>
      <c r="G1241" s="24">
        <v>174579</v>
      </c>
    </row>
    <row r="1242" spans="1:7" x14ac:dyDescent="0.25">
      <c r="A1242" s="24" t="s">
        <v>204</v>
      </c>
      <c r="B1242" s="24" t="s">
        <v>37</v>
      </c>
      <c r="C1242" s="24" t="s">
        <v>38</v>
      </c>
      <c r="D1242" s="24">
        <v>0.1</v>
      </c>
      <c r="E1242" s="24" t="s">
        <v>796</v>
      </c>
      <c r="F1242" s="24" t="s">
        <v>867</v>
      </c>
      <c r="G1242" s="24">
        <v>174579</v>
      </c>
    </row>
    <row r="1243" spans="1:7" x14ac:dyDescent="0.25">
      <c r="A1243" s="24" t="s">
        <v>204</v>
      </c>
      <c r="B1243" s="24" t="s">
        <v>39</v>
      </c>
      <c r="C1243" s="24" t="s">
        <v>36</v>
      </c>
      <c r="D1243" s="24">
        <v>1</v>
      </c>
      <c r="E1243" s="24" t="s">
        <v>796</v>
      </c>
      <c r="F1243" s="24" t="s">
        <v>867</v>
      </c>
      <c r="G1243" s="24">
        <v>174579</v>
      </c>
    </row>
    <row r="1244" spans="1:7" x14ac:dyDescent="0.25">
      <c r="A1244" s="24" t="s">
        <v>204</v>
      </c>
      <c r="B1244" s="24" t="s">
        <v>40</v>
      </c>
      <c r="C1244" s="24" t="s">
        <v>31</v>
      </c>
      <c r="D1244" s="24">
        <v>0.2</v>
      </c>
      <c r="E1244" s="24" t="s">
        <v>796</v>
      </c>
      <c r="F1244" s="24" t="s">
        <v>867</v>
      </c>
      <c r="G1244" s="24">
        <v>174579</v>
      </c>
    </row>
    <row r="1245" spans="1:7" x14ac:dyDescent="0.25">
      <c r="A1245" s="24" t="s">
        <v>204</v>
      </c>
      <c r="B1245" s="24" t="s">
        <v>41</v>
      </c>
      <c r="C1245" s="24" t="s">
        <v>31</v>
      </c>
      <c r="D1245" s="24">
        <v>0.1</v>
      </c>
      <c r="E1245" s="24" t="s">
        <v>796</v>
      </c>
      <c r="F1245" s="24" t="s">
        <v>867</v>
      </c>
      <c r="G1245" s="24">
        <v>174579</v>
      </c>
    </row>
    <row r="1246" spans="1:7" x14ac:dyDescent="0.25">
      <c r="A1246" s="24" t="s">
        <v>204</v>
      </c>
      <c r="B1246" s="24" t="s">
        <v>42</v>
      </c>
      <c r="C1246" s="24" t="s">
        <v>43</v>
      </c>
      <c r="D1246" s="24">
        <v>2.1</v>
      </c>
      <c r="E1246" s="24" t="s">
        <v>796</v>
      </c>
      <c r="F1246" s="24" t="s">
        <v>867</v>
      </c>
      <c r="G1246" s="24">
        <v>174579</v>
      </c>
    </row>
    <row r="1247" spans="1:7" x14ac:dyDescent="0.25">
      <c r="A1247" s="24" t="s">
        <v>204</v>
      </c>
      <c r="B1247" s="24" t="s">
        <v>44</v>
      </c>
      <c r="C1247" s="24" t="s">
        <v>31</v>
      </c>
      <c r="D1247" s="24">
        <v>0</v>
      </c>
      <c r="E1247" s="24" t="s">
        <v>796</v>
      </c>
      <c r="F1247" s="24" t="s">
        <v>867</v>
      </c>
      <c r="G1247" s="24">
        <v>174579</v>
      </c>
    </row>
    <row r="1248" spans="1:7" x14ac:dyDescent="0.25">
      <c r="A1248" s="24" t="s">
        <v>204</v>
      </c>
      <c r="B1248" s="24" t="s">
        <v>45</v>
      </c>
      <c r="C1248" s="24" t="s">
        <v>31</v>
      </c>
      <c r="D1248" s="24">
        <v>0.3</v>
      </c>
      <c r="E1248" s="24" t="s">
        <v>796</v>
      </c>
      <c r="F1248" s="24" t="s">
        <v>867</v>
      </c>
      <c r="G1248" s="24">
        <v>174579</v>
      </c>
    </row>
    <row r="1249" spans="1:7" x14ac:dyDescent="0.25">
      <c r="A1249" s="24" t="s">
        <v>204</v>
      </c>
      <c r="B1249" s="24" t="s">
        <v>46</v>
      </c>
      <c r="C1249" s="24" t="s">
        <v>36</v>
      </c>
      <c r="D1249" s="24">
        <v>0.3</v>
      </c>
      <c r="E1249" s="24" t="s">
        <v>796</v>
      </c>
      <c r="F1249" s="24" t="s">
        <v>867</v>
      </c>
      <c r="G1249" s="24">
        <v>174579</v>
      </c>
    </row>
    <row r="1250" spans="1:7" x14ac:dyDescent="0.25">
      <c r="A1250" s="24" t="s">
        <v>204</v>
      </c>
      <c r="B1250" s="24" t="s">
        <v>47</v>
      </c>
      <c r="C1250" s="24" t="s">
        <v>48</v>
      </c>
      <c r="D1250" s="24">
        <v>1.3</v>
      </c>
      <c r="E1250" s="24" t="s">
        <v>796</v>
      </c>
      <c r="F1250" s="24" t="s">
        <v>867</v>
      </c>
      <c r="G1250" s="24">
        <v>174579</v>
      </c>
    </row>
    <row r="1251" spans="1:7" x14ac:dyDescent="0.25">
      <c r="A1251" s="24" t="s">
        <v>204</v>
      </c>
      <c r="B1251" s="24" t="s">
        <v>50</v>
      </c>
      <c r="C1251" s="24" t="s">
        <v>31</v>
      </c>
      <c r="D1251" s="24">
        <v>119.6</v>
      </c>
      <c r="E1251" s="24" t="s">
        <v>796</v>
      </c>
      <c r="F1251" s="24" t="s">
        <v>867</v>
      </c>
      <c r="G1251" s="24">
        <v>174579</v>
      </c>
    </row>
    <row r="1252" spans="1:7" x14ac:dyDescent="0.25">
      <c r="A1252" s="24" t="s">
        <v>204</v>
      </c>
      <c r="B1252" s="24" t="s">
        <v>51</v>
      </c>
      <c r="C1252" s="24" t="s">
        <v>31</v>
      </c>
      <c r="D1252" s="24">
        <v>6.3</v>
      </c>
      <c r="E1252" s="24" t="s">
        <v>796</v>
      </c>
      <c r="F1252" s="24" t="s">
        <v>867</v>
      </c>
      <c r="G1252" s="24">
        <v>174579</v>
      </c>
    </row>
    <row r="1253" spans="1:7" x14ac:dyDescent="0.25">
      <c r="A1253" s="24" t="s">
        <v>204</v>
      </c>
      <c r="B1253" s="24" t="s">
        <v>52</v>
      </c>
      <c r="C1253" s="24" t="s">
        <v>31</v>
      </c>
      <c r="D1253" s="24">
        <v>67.7</v>
      </c>
      <c r="E1253" s="24" t="s">
        <v>796</v>
      </c>
      <c r="F1253" s="24" t="s">
        <v>867</v>
      </c>
      <c r="G1253" s="24">
        <v>174579</v>
      </c>
    </row>
    <row r="1254" spans="1:7" x14ac:dyDescent="0.25">
      <c r="A1254" s="24" t="s">
        <v>204</v>
      </c>
      <c r="B1254" s="24" t="s">
        <v>53</v>
      </c>
      <c r="C1254" s="24" t="s">
        <v>31</v>
      </c>
      <c r="D1254" s="24">
        <v>7.6</v>
      </c>
      <c r="E1254" s="24" t="s">
        <v>796</v>
      </c>
      <c r="F1254" s="24" t="s">
        <v>867</v>
      </c>
      <c r="G1254" s="24">
        <v>174579</v>
      </c>
    </row>
    <row r="1255" spans="1:7" x14ac:dyDescent="0.25">
      <c r="A1255" s="24" t="s">
        <v>204</v>
      </c>
      <c r="B1255" s="24" t="s">
        <v>54</v>
      </c>
      <c r="C1255" s="24" t="s">
        <v>31</v>
      </c>
      <c r="D1255" s="24">
        <v>0.7</v>
      </c>
      <c r="E1255" s="24" t="s">
        <v>796</v>
      </c>
      <c r="F1255" s="24" t="s">
        <v>867</v>
      </c>
      <c r="G1255" s="24">
        <v>174579</v>
      </c>
    </row>
    <row r="1256" spans="1:7" x14ac:dyDescent="0.25">
      <c r="A1256" s="24" t="s">
        <v>204</v>
      </c>
      <c r="B1256" s="24" t="s">
        <v>55</v>
      </c>
      <c r="C1256" s="24" t="s">
        <v>31</v>
      </c>
      <c r="D1256" s="24">
        <v>1.2</v>
      </c>
      <c r="E1256" s="24" t="s">
        <v>796</v>
      </c>
      <c r="F1256" s="24" t="s">
        <v>867</v>
      </c>
      <c r="G1256" s="24">
        <v>174579</v>
      </c>
    </row>
    <row r="1257" spans="1:7" x14ac:dyDescent="0.25">
      <c r="A1257" s="24" t="s">
        <v>204</v>
      </c>
      <c r="B1257" s="24" t="s">
        <v>56</v>
      </c>
      <c r="C1257" s="24" t="s">
        <v>31</v>
      </c>
      <c r="D1257" s="24">
        <v>0</v>
      </c>
      <c r="E1257" s="24" t="s">
        <v>796</v>
      </c>
      <c r="F1257" s="24" t="s">
        <v>867</v>
      </c>
      <c r="G1257" s="24">
        <v>174579</v>
      </c>
    </row>
    <row r="1258" spans="1:7" x14ac:dyDescent="0.25">
      <c r="A1258" s="24" t="s">
        <v>204</v>
      </c>
      <c r="B1258" s="24" t="s">
        <v>57</v>
      </c>
      <c r="C1258" s="24" t="s">
        <v>36</v>
      </c>
      <c r="D1258" s="24">
        <v>9.1</v>
      </c>
      <c r="E1258" s="24" t="s">
        <v>796</v>
      </c>
      <c r="F1258" s="24" t="s">
        <v>867</v>
      </c>
      <c r="G1258" s="24">
        <v>174579</v>
      </c>
    </row>
    <row r="1259" spans="1:7" x14ac:dyDescent="0.25">
      <c r="A1259" s="24" t="s">
        <v>204</v>
      </c>
      <c r="B1259" s="24" t="s">
        <v>58</v>
      </c>
      <c r="C1259" s="24" t="s">
        <v>5</v>
      </c>
      <c r="D1259" s="24">
        <v>0</v>
      </c>
      <c r="E1259" s="24" t="s">
        <v>795</v>
      </c>
      <c r="F1259" s="24"/>
      <c r="G1259" s="24"/>
    </row>
    <row r="1260" spans="1:7" x14ac:dyDescent="0.25">
      <c r="A1260" s="24" t="s">
        <v>205</v>
      </c>
      <c r="B1260" s="24" t="s">
        <v>32</v>
      </c>
      <c r="C1260" s="24" t="s">
        <v>33</v>
      </c>
      <c r="D1260" s="24">
        <v>0</v>
      </c>
      <c r="E1260" s="24" t="s">
        <v>796</v>
      </c>
      <c r="F1260" s="24" t="s">
        <v>868</v>
      </c>
      <c r="G1260" s="24">
        <v>173859</v>
      </c>
    </row>
    <row r="1261" spans="1:7" x14ac:dyDescent="0.25">
      <c r="A1261" s="24" t="s">
        <v>205</v>
      </c>
      <c r="B1261" s="24" t="s">
        <v>34</v>
      </c>
      <c r="C1261" s="24" t="s">
        <v>31</v>
      </c>
      <c r="D1261" s="24">
        <v>0</v>
      </c>
      <c r="E1261" s="24" t="s">
        <v>796</v>
      </c>
      <c r="F1261" s="24" t="s">
        <v>868</v>
      </c>
      <c r="G1261" s="24">
        <v>173859</v>
      </c>
    </row>
    <row r="1262" spans="1:7" x14ac:dyDescent="0.25">
      <c r="A1262" s="24" t="s">
        <v>205</v>
      </c>
      <c r="B1262" s="24" t="s">
        <v>35</v>
      </c>
      <c r="C1262" s="24" t="s">
        <v>36</v>
      </c>
      <c r="D1262" s="24">
        <v>1.9</v>
      </c>
      <c r="E1262" s="24" t="s">
        <v>796</v>
      </c>
      <c r="F1262" s="24" t="s">
        <v>868</v>
      </c>
      <c r="G1262" s="24">
        <v>173859</v>
      </c>
    </row>
    <row r="1263" spans="1:7" x14ac:dyDescent="0.25">
      <c r="A1263" s="24" t="s">
        <v>205</v>
      </c>
      <c r="B1263" s="24" t="s">
        <v>37</v>
      </c>
      <c r="C1263" s="24" t="s">
        <v>38</v>
      </c>
      <c r="D1263" s="24">
        <v>0.3</v>
      </c>
      <c r="E1263" s="24" t="s">
        <v>796</v>
      </c>
      <c r="F1263" s="24" t="s">
        <v>868</v>
      </c>
      <c r="G1263" s="24">
        <v>173859</v>
      </c>
    </row>
    <row r="1264" spans="1:7" x14ac:dyDescent="0.25">
      <c r="A1264" s="24" t="s">
        <v>205</v>
      </c>
      <c r="B1264" s="24" t="s">
        <v>39</v>
      </c>
      <c r="C1264" s="24" t="s">
        <v>36</v>
      </c>
      <c r="D1264" s="24">
        <v>0</v>
      </c>
      <c r="E1264" s="24" t="s">
        <v>796</v>
      </c>
      <c r="F1264" s="24" t="s">
        <v>868</v>
      </c>
      <c r="G1264" s="24">
        <v>173859</v>
      </c>
    </row>
    <row r="1265" spans="1:7" x14ac:dyDescent="0.25">
      <c r="A1265" s="24" t="s">
        <v>205</v>
      </c>
      <c r="B1265" s="24" t="s">
        <v>40</v>
      </c>
      <c r="C1265" s="24" t="s">
        <v>31</v>
      </c>
      <c r="D1265" s="24">
        <v>0.3</v>
      </c>
      <c r="E1265" s="24" t="s">
        <v>796</v>
      </c>
      <c r="F1265" s="24" t="s">
        <v>868</v>
      </c>
      <c r="G1265" s="24">
        <v>173859</v>
      </c>
    </row>
    <row r="1266" spans="1:7" x14ac:dyDescent="0.25">
      <c r="A1266" s="24" t="s">
        <v>205</v>
      </c>
      <c r="B1266" s="24" t="s">
        <v>41</v>
      </c>
      <c r="C1266" s="24" t="s">
        <v>31</v>
      </c>
      <c r="D1266" s="24">
        <v>0.4</v>
      </c>
      <c r="E1266" s="24" t="s">
        <v>796</v>
      </c>
      <c r="F1266" s="24" t="s">
        <v>868</v>
      </c>
      <c r="G1266" s="24">
        <v>173859</v>
      </c>
    </row>
    <row r="1267" spans="1:7" x14ac:dyDescent="0.25">
      <c r="A1267" s="24" t="s">
        <v>205</v>
      </c>
      <c r="B1267" s="24" t="s">
        <v>42</v>
      </c>
      <c r="C1267" s="24" t="s">
        <v>43</v>
      </c>
      <c r="D1267" s="24">
        <v>6.9</v>
      </c>
      <c r="E1267" s="24" t="s">
        <v>796</v>
      </c>
      <c r="F1267" s="24" t="s">
        <v>868</v>
      </c>
      <c r="G1267" s="24">
        <v>173859</v>
      </c>
    </row>
    <row r="1268" spans="1:7" x14ac:dyDescent="0.25">
      <c r="A1268" s="24" t="s">
        <v>205</v>
      </c>
      <c r="B1268" s="24" t="s">
        <v>44</v>
      </c>
      <c r="C1268" s="24" t="s">
        <v>31</v>
      </c>
      <c r="D1268" s="24">
        <v>0.4</v>
      </c>
      <c r="E1268" s="24" t="s">
        <v>796</v>
      </c>
      <c r="F1268" s="24" t="s">
        <v>868</v>
      </c>
      <c r="G1268" s="24">
        <v>173859</v>
      </c>
    </row>
    <row r="1269" spans="1:7" x14ac:dyDescent="0.25">
      <c r="A1269" s="24" t="s">
        <v>205</v>
      </c>
      <c r="B1269" s="24" t="s">
        <v>46</v>
      </c>
      <c r="C1269" s="24" t="s">
        <v>36</v>
      </c>
      <c r="D1269" s="24">
        <v>2.5</v>
      </c>
      <c r="E1269" s="24" t="s">
        <v>796</v>
      </c>
      <c r="F1269" s="24" t="s">
        <v>868</v>
      </c>
      <c r="G1269" s="24">
        <v>173859</v>
      </c>
    </row>
    <row r="1270" spans="1:7" x14ac:dyDescent="0.25">
      <c r="A1270" s="24" t="s">
        <v>205</v>
      </c>
      <c r="B1270" s="24" t="s">
        <v>47</v>
      </c>
      <c r="C1270" s="24" t="s">
        <v>48</v>
      </c>
      <c r="D1270" s="24">
        <v>0</v>
      </c>
      <c r="E1270" s="24" t="s">
        <v>796</v>
      </c>
      <c r="F1270" s="24" t="s">
        <v>868</v>
      </c>
      <c r="G1270" s="24">
        <v>173859</v>
      </c>
    </row>
    <row r="1271" spans="1:7" x14ac:dyDescent="0.25">
      <c r="A1271" s="24" t="s">
        <v>205</v>
      </c>
      <c r="B1271" s="24" t="s">
        <v>50</v>
      </c>
      <c r="C1271" s="24" t="s">
        <v>31</v>
      </c>
      <c r="D1271" s="24">
        <v>388.1</v>
      </c>
      <c r="E1271" s="24" t="s">
        <v>796</v>
      </c>
      <c r="F1271" s="24" t="s">
        <v>868</v>
      </c>
      <c r="G1271" s="24">
        <v>173859</v>
      </c>
    </row>
    <row r="1272" spans="1:7" x14ac:dyDescent="0.25">
      <c r="A1272" s="24" t="s">
        <v>205</v>
      </c>
      <c r="B1272" s="24" t="s">
        <v>51</v>
      </c>
      <c r="C1272" s="24" t="s">
        <v>31</v>
      </c>
      <c r="D1272" s="24">
        <v>23.9</v>
      </c>
      <c r="E1272" s="24" t="s">
        <v>796</v>
      </c>
      <c r="F1272" s="24" t="s">
        <v>868</v>
      </c>
      <c r="G1272" s="24">
        <v>173859</v>
      </c>
    </row>
    <row r="1273" spans="1:7" x14ac:dyDescent="0.25">
      <c r="A1273" s="24" t="s">
        <v>205</v>
      </c>
      <c r="B1273" s="24" t="s">
        <v>52</v>
      </c>
      <c r="C1273" s="24" t="s">
        <v>31</v>
      </c>
      <c r="D1273" s="24">
        <v>187.8</v>
      </c>
      <c r="E1273" s="24" t="s">
        <v>796</v>
      </c>
      <c r="F1273" s="24" t="s">
        <v>868</v>
      </c>
      <c r="G1273" s="24">
        <v>173859</v>
      </c>
    </row>
    <row r="1274" spans="1:7" x14ac:dyDescent="0.25">
      <c r="A1274" s="24" t="s">
        <v>205</v>
      </c>
      <c r="B1274" s="24" t="s">
        <v>53</v>
      </c>
      <c r="C1274" s="24" t="s">
        <v>31</v>
      </c>
      <c r="D1274" s="24">
        <v>25.2</v>
      </c>
      <c r="E1274" s="24" t="s">
        <v>796</v>
      </c>
      <c r="F1274" s="24" t="s">
        <v>868</v>
      </c>
      <c r="G1274" s="24">
        <v>173859</v>
      </c>
    </row>
    <row r="1275" spans="1:7" x14ac:dyDescent="0.25">
      <c r="A1275" s="24" t="s">
        <v>205</v>
      </c>
      <c r="B1275" s="24" t="s">
        <v>54</v>
      </c>
      <c r="C1275" s="24" t="s">
        <v>31</v>
      </c>
      <c r="D1275" s="24">
        <v>1.8</v>
      </c>
      <c r="E1275" s="24" t="s">
        <v>796</v>
      </c>
      <c r="F1275" s="24" t="s">
        <v>868</v>
      </c>
      <c r="G1275" s="24">
        <v>173859</v>
      </c>
    </row>
    <row r="1276" spans="1:7" x14ac:dyDescent="0.25">
      <c r="A1276" s="24" t="s">
        <v>205</v>
      </c>
      <c r="B1276" s="24" t="s">
        <v>55</v>
      </c>
      <c r="C1276" s="24" t="s">
        <v>31</v>
      </c>
      <c r="D1276" s="24">
        <v>2.1</v>
      </c>
      <c r="E1276" s="24" t="s">
        <v>796</v>
      </c>
      <c r="F1276" s="24" t="s">
        <v>868</v>
      </c>
      <c r="G1276" s="24">
        <v>173859</v>
      </c>
    </row>
    <row r="1277" spans="1:7" x14ac:dyDescent="0.25">
      <c r="A1277" s="24" t="s">
        <v>205</v>
      </c>
      <c r="B1277" s="24" t="s">
        <v>56</v>
      </c>
      <c r="C1277" s="24" t="s">
        <v>31</v>
      </c>
      <c r="D1277" s="24">
        <v>0.1</v>
      </c>
      <c r="E1277" s="24" t="s">
        <v>796</v>
      </c>
      <c r="F1277" s="24" t="s">
        <v>868</v>
      </c>
      <c r="G1277" s="24">
        <v>173859</v>
      </c>
    </row>
    <row r="1278" spans="1:7" x14ac:dyDescent="0.25">
      <c r="A1278" s="24" t="s">
        <v>205</v>
      </c>
      <c r="B1278" s="24" t="s">
        <v>57</v>
      </c>
      <c r="C1278" s="24" t="s">
        <v>36</v>
      </c>
      <c r="D1278" s="24">
        <v>23.4</v>
      </c>
      <c r="E1278" s="24" t="s">
        <v>796</v>
      </c>
      <c r="F1278" s="24" t="s">
        <v>868</v>
      </c>
      <c r="G1278" s="24">
        <v>173859</v>
      </c>
    </row>
    <row r="1279" spans="1:7" x14ac:dyDescent="0.25">
      <c r="A1279" s="24" t="s">
        <v>205</v>
      </c>
      <c r="B1279" s="24" t="s">
        <v>58</v>
      </c>
      <c r="C1279" s="24" t="s">
        <v>5</v>
      </c>
      <c r="D1279" s="24">
        <v>0</v>
      </c>
      <c r="E1279" s="24" t="s">
        <v>795</v>
      </c>
      <c r="F1279" s="24"/>
      <c r="G1279" s="24"/>
    </row>
    <row r="1280" spans="1:7" x14ac:dyDescent="0.25">
      <c r="A1280" s="24" t="s">
        <v>206</v>
      </c>
      <c r="B1280" s="24" t="s">
        <v>58</v>
      </c>
      <c r="C1280" s="24" t="s">
        <v>5</v>
      </c>
      <c r="D1280" s="24">
        <v>0</v>
      </c>
      <c r="E1280" s="24" t="s">
        <v>795</v>
      </c>
      <c r="F1280" s="24"/>
      <c r="G1280" s="24"/>
    </row>
    <row r="1281" spans="1:7" x14ac:dyDescent="0.25">
      <c r="A1281" s="24" t="s">
        <v>207</v>
      </c>
      <c r="B1281" s="24" t="s">
        <v>29</v>
      </c>
      <c r="C1281" s="24" t="s">
        <v>5</v>
      </c>
      <c r="D1281" s="24">
        <v>0.09</v>
      </c>
      <c r="E1281" s="24" t="s">
        <v>799</v>
      </c>
      <c r="F1281" s="24" t="s">
        <v>869</v>
      </c>
      <c r="G1281" s="24">
        <v>171061</v>
      </c>
    </row>
    <row r="1282" spans="1:7" x14ac:dyDescent="0.25">
      <c r="A1282" s="24" t="s">
        <v>207</v>
      </c>
      <c r="B1282" s="24" t="s">
        <v>58</v>
      </c>
      <c r="C1282" s="24" t="s">
        <v>5</v>
      </c>
      <c r="D1282" s="24">
        <v>0</v>
      </c>
      <c r="E1282" s="24" t="s">
        <v>795</v>
      </c>
      <c r="F1282" s="24"/>
      <c r="G1282" s="24"/>
    </row>
    <row r="1283" spans="1:7" x14ac:dyDescent="0.25">
      <c r="A1283" s="24" t="s">
        <v>208</v>
      </c>
      <c r="B1283" s="24" t="s">
        <v>29</v>
      </c>
      <c r="C1283" s="24" t="s">
        <v>5</v>
      </c>
      <c r="D1283" s="24">
        <v>0.37</v>
      </c>
      <c r="E1283" s="24" t="s">
        <v>799</v>
      </c>
      <c r="F1283" s="24" t="s">
        <v>870</v>
      </c>
      <c r="G1283" s="24">
        <v>168626</v>
      </c>
    </row>
    <row r="1284" spans="1:7" x14ac:dyDescent="0.25">
      <c r="A1284" s="24" t="s">
        <v>208</v>
      </c>
      <c r="B1284" s="24" t="s">
        <v>58</v>
      </c>
      <c r="C1284" s="24" t="s">
        <v>5</v>
      </c>
      <c r="D1284" s="24">
        <v>0</v>
      </c>
      <c r="E1284" s="24" t="s">
        <v>795</v>
      </c>
      <c r="F1284" s="24"/>
      <c r="G1284" s="24"/>
    </row>
    <row r="1285" spans="1:7" x14ac:dyDescent="0.25">
      <c r="A1285" s="24" t="s">
        <v>209</v>
      </c>
      <c r="B1285" s="24" t="s">
        <v>32</v>
      </c>
      <c r="C1285" s="24" t="s">
        <v>33</v>
      </c>
      <c r="D1285" s="24">
        <v>0</v>
      </c>
      <c r="E1285" s="24" t="s">
        <v>796</v>
      </c>
      <c r="F1285" s="24" t="s">
        <v>871</v>
      </c>
      <c r="G1285" s="24">
        <v>170196</v>
      </c>
    </row>
    <row r="1286" spans="1:7" x14ac:dyDescent="0.25">
      <c r="A1286" s="24" t="s">
        <v>209</v>
      </c>
      <c r="B1286" s="24" t="s">
        <v>34</v>
      </c>
      <c r="C1286" s="24" t="s">
        <v>31</v>
      </c>
      <c r="D1286" s="24">
        <v>3.9</v>
      </c>
      <c r="E1286" s="24" t="s">
        <v>796</v>
      </c>
      <c r="F1286" s="24" t="s">
        <v>871</v>
      </c>
      <c r="G1286" s="24">
        <v>170196</v>
      </c>
    </row>
    <row r="1287" spans="1:7" x14ac:dyDescent="0.25">
      <c r="A1287" s="24" t="s">
        <v>209</v>
      </c>
      <c r="B1287" s="24" t="s">
        <v>40</v>
      </c>
      <c r="C1287" s="24" t="s">
        <v>31</v>
      </c>
      <c r="D1287" s="24">
        <v>0.2</v>
      </c>
      <c r="E1287" s="24" t="s">
        <v>796</v>
      </c>
      <c r="F1287" s="24" t="s">
        <v>871</v>
      </c>
      <c r="G1287" s="24">
        <v>170196</v>
      </c>
    </row>
    <row r="1288" spans="1:7" x14ac:dyDescent="0.25">
      <c r="A1288" s="24" t="s">
        <v>209</v>
      </c>
      <c r="B1288" s="24" t="s">
        <v>41</v>
      </c>
      <c r="C1288" s="24" t="s">
        <v>31</v>
      </c>
      <c r="D1288" s="24">
        <v>0.4</v>
      </c>
      <c r="E1288" s="24" t="s">
        <v>796</v>
      </c>
      <c r="F1288" s="24" t="s">
        <v>871</v>
      </c>
      <c r="G1288" s="24">
        <v>170196</v>
      </c>
    </row>
    <row r="1289" spans="1:7" x14ac:dyDescent="0.25">
      <c r="A1289" s="24" t="s">
        <v>209</v>
      </c>
      <c r="B1289" s="24" t="s">
        <v>42</v>
      </c>
      <c r="C1289" s="24" t="s">
        <v>43</v>
      </c>
      <c r="D1289" s="24">
        <v>5.3</v>
      </c>
      <c r="E1289" s="24" t="s">
        <v>796</v>
      </c>
      <c r="F1289" s="24" t="s">
        <v>871</v>
      </c>
      <c r="G1289" s="24">
        <v>170196</v>
      </c>
    </row>
    <row r="1290" spans="1:7" x14ac:dyDescent="0.25">
      <c r="A1290" s="24" t="s">
        <v>209</v>
      </c>
      <c r="B1290" s="24" t="s">
        <v>44</v>
      </c>
      <c r="C1290" s="24" t="s">
        <v>31</v>
      </c>
      <c r="D1290" s="24">
        <v>0.4</v>
      </c>
      <c r="E1290" s="24" t="s">
        <v>796</v>
      </c>
      <c r="F1290" s="24" t="s">
        <v>871</v>
      </c>
      <c r="G1290" s="24">
        <v>170196</v>
      </c>
    </row>
    <row r="1291" spans="1:7" x14ac:dyDescent="0.25">
      <c r="A1291" s="24" t="s">
        <v>209</v>
      </c>
      <c r="B1291" s="24" t="s">
        <v>45</v>
      </c>
      <c r="C1291" s="24" t="s">
        <v>31</v>
      </c>
      <c r="D1291" s="24">
        <v>0.8</v>
      </c>
      <c r="E1291" s="24" t="s">
        <v>796</v>
      </c>
      <c r="F1291" s="24" t="s">
        <v>871</v>
      </c>
      <c r="G1291" s="24">
        <v>170196</v>
      </c>
    </row>
    <row r="1292" spans="1:7" x14ac:dyDescent="0.25">
      <c r="A1292" s="24" t="s">
        <v>209</v>
      </c>
      <c r="B1292" s="24" t="s">
        <v>46</v>
      </c>
      <c r="C1292" s="24" t="s">
        <v>36</v>
      </c>
      <c r="D1292" s="24">
        <v>4.7</v>
      </c>
      <c r="E1292" s="24" t="s">
        <v>796</v>
      </c>
      <c r="F1292" s="24" t="s">
        <v>871</v>
      </c>
      <c r="G1292" s="24">
        <v>170196</v>
      </c>
    </row>
    <row r="1293" spans="1:7" x14ac:dyDescent="0.25">
      <c r="A1293" s="24" t="s">
        <v>209</v>
      </c>
      <c r="B1293" s="24" t="s">
        <v>47</v>
      </c>
      <c r="C1293" s="24" t="s">
        <v>48</v>
      </c>
      <c r="D1293" s="24">
        <v>8.6999999999999993</v>
      </c>
      <c r="E1293" s="24" t="s">
        <v>796</v>
      </c>
      <c r="F1293" s="24" t="s">
        <v>871</v>
      </c>
      <c r="G1293" s="24">
        <v>170196</v>
      </c>
    </row>
    <row r="1294" spans="1:7" x14ac:dyDescent="0.25">
      <c r="A1294" s="24" t="s">
        <v>209</v>
      </c>
      <c r="B1294" s="24" t="s">
        <v>50</v>
      </c>
      <c r="C1294" s="24" t="s">
        <v>31</v>
      </c>
      <c r="D1294" s="24">
        <v>392.5</v>
      </c>
      <c r="E1294" s="24" t="s">
        <v>796</v>
      </c>
      <c r="F1294" s="24" t="s">
        <v>871</v>
      </c>
      <c r="G1294" s="24">
        <v>170196</v>
      </c>
    </row>
    <row r="1295" spans="1:7" x14ac:dyDescent="0.25">
      <c r="A1295" s="24" t="s">
        <v>209</v>
      </c>
      <c r="B1295" s="24" t="s">
        <v>51</v>
      </c>
      <c r="C1295" s="24" t="s">
        <v>31</v>
      </c>
      <c r="D1295" s="24">
        <v>7.5</v>
      </c>
      <c r="E1295" s="24" t="s">
        <v>796</v>
      </c>
      <c r="F1295" s="24" t="s">
        <v>871</v>
      </c>
      <c r="G1295" s="24">
        <v>170196</v>
      </c>
    </row>
    <row r="1296" spans="1:7" x14ac:dyDescent="0.25">
      <c r="A1296" s="24" t="s">
        <v>209</v>
      </c>
      <c r="B1296" s="24" t="s">
        <v>52</v>
      </c>
      <c r="C1296" s="24" t="s">
        <v>31</v>
      </c>
      <c r="D1296" s="24">
        <v>165.7</v>
      </c>
      <c r="E1296" s="24" t="s">
        <v>796</v>
      </c>
      <c r="F1296" s="24" t="s">
        <v>871</v>
      </c>
      <c r="G1296" s="24">
        <v>170196</v>
      </c>
    </row>
    <row r="1297" spans="1:7" x14ac:dyDescent="0.25">
      <c r="A1297" s="24" t="s">
        <v>209</v>
      </c>
      <c r="B1297" s="24" t="s">
        <v>53</v>
      </c>
      <c r="C1297" s="24" t="s">
        <v>31</v>
      </c>
      <c r="D1297" s="24">
        <v>19.899999999999999</v>
      </c>
      <c r="E1297" s="24" t="s">
        <v>796</v>
      </c>
      <c r="F1297" s="24" t="s">
        <v>871</v>
      </c>
      <c r="G1297" s="24">
        <v>170196</v>
      </c>
    </row>
    <row r="1298" spans="1:7" x14ac:dyDescent="0.25">
      <c r="A1298" s="24" t="s">
        <v>209</v>
      </c>
      <c r="B1298" s="24" t="s">
        <v>54</v>
      </c>
      <c r="C1298" s="24" t="s">
        <v>31</v>
      </c>
      <c r="D1298" s="24">
        <v>3.7</v>
      </c>
      <c r="E1298" s="24" t="s">
        <v>796</v>
      </c>
      <c r="F1298" s="24" t="s">
        <v>871</v>
      </c>
      <c r="G1298" s="24">
        <v>170196</v>
      </c>
    </row>
    <row r="1299" spans="1:7" x14ac:dyDescent="0.25">
      <c r="A1299" s="24" t="s">
        <v>209</v>
      </c>
      <c r="B1299" s="24" t="s">
        <v>55</v>
      </c>
      <c r="C1299" s="24" t="s">
        <v>31</v>
      </c>
      <c r="D1299" s="24">
        <v>3.6</v>
      </c>
      <c r="E1299" s="24" t="s">
        <v>796</v>
      </c>
      <c r="F1299" s="24" t="s">
        <v>871</v>
      </c>
      <c r="G1299" s="24">
        <v>170196</v>
      </c>
    </row>
    <row r="1300" spans="1:7" x14ac:dyDescent="0.25">
      <c r="A1300" s="24" t="s">
        <v>209</v>
      </c>
      <c r="B1300" s="24" t="s">
        <v>56</v>
      </c>
      <c r="C1300" s="24" t="s">
        <v>31</v>
      </c>
      <c r="D1300" s="24">
        <v>0.2</v>
      </c>
      <c r="E1300" s="24" t="s">
        <v>796</v>
      </c>
      <c r="F1300" s="24" t="s">
        <v>871</v>
      </c>
      <c r="G1300" s="24">
        <v>170196</v>
      </c>
    </row>
    <row r="1301" spans="1:7" x14ac:dyDescent="0.25">
      <c r="A1301" s="24" t="s">
        <v>209</v>
      </c>
      <c r="B1301" s="24" t="s">
        <v>57</v>
      </c>
      <c r="C1301" s="24" t="s">
        <v>36</v>
      </c>
      <c r="D1301" s="24">
        <v>11.7</v>
      </c>
      <c r="E1301" s="24" t="s">
        <v>796</v>
      </c>
      <c r="F1301" s="24" t="s">
        <v>871</v>
      </c>
      <c r="G1301" s="24">
        <v>170196</v>
      </c>
    </row>
    <row r="1302" spans="1:7" x14ac:dyDescent="0.25">
      <c r="A1302" s="24" t="s">
        <v>209</v>
      </c>
      <c r="B1302" s="24" t="s">
        <v>58</v>
      </c>
      <c r="C1302" s="24" t="s">
        <v>5</v>
      </c>
      <c r="D1302" s="24">
        <v>0</v>
      </c>
      <c r="E1302" s="24" t="s">
        <v>795</v>
      </c>
      <c r="F1302" s="24"/>
      <c r="G1302" s="24"/>
    </row>
    <row r="1303" spans="1:7" x14ac:dyDescent="0.25">
      <c r="A1303" s="24" t="s">
        <v>210</v>
      </c>
      <c r="B1303" s="24" t="s">
        <v>29</v>
      </c>
      <c r="C1303" s="24" t="s">
        <v>5</v>
      </c>
      <c r="D1303" s="24">
        <v>0.84</v>
      </c>
      <c r="E1303" s="24" t="s">
        <v>799</v>
      </c>
      <c r="F1303" s="24" t="s">
        <v>872</v>
      </c>
      <c r="G1303" s="24">
        <v>170598</v>
      </c>
    </row>
    <row r="1304" spans="1:7" x14ac:dyDescent="0.25">
      <c r="A1304" s="24" t="s">
        <v>210</v>
      </c>
      <c r="B1304" s="24" t="s">
        <v>58</v>
      </c>
      <c r="C1304" s="24" t="s">
        <v>5</v>
      </c>
      <c r="D1304" s="24">
        <v>0</v>
      </c>
      <c r="E1304" s="24" t="s">
        <v>795</v>
      </c>
      <c r="F1304" s="24"/>
      <c r="G1304" s="24"/>
    </row>
    <row r="1305" spans="1:7" x14ac:dyDescent="0.25">
      <c r="A1305" s="24" t="s">
        <v>211</v>
      </c>
      <c r="B1305" s="24" t="s">
        <v>58</v>
      </c>
      <c r="C1305" s="24" t="s">
        <v>5</v>
      </c>
      <c r="D1305" s="24">
        <v>0</v>
      </c>
      <c r="E1305" s="24" t="s">
        <v>795</v>
      </c>
      <c r="F1305" s="24"/>
      <c r="G1305" s="24"/>
    </row>
    <row r="1306" spans="1:7" x14ac:dyDescent="0.25">
      <c r="A1306" s="24" t="s">
        <v>212</v>
      </c>
      <c r="B1306" s="24" t="s">
        <v>45</v>
      </c>
      <c r="C1306" s="24" t="s">
        <v>31</v>
      </c>
      <c r="D1306" s="24">
        <v>0.5</v>
      </c>
      <c r="E1306" s="24" t="s">
        <v>796</v>
      </c>
      <c r="F1306" s="24" t="s">
        <v>873</v>
      </c>
      <c r="G1306" s="24">
        <v>173864</v>
      </c>
    </row>
    <row r="1307" spans="1:7" x14ac:dyDescent="0.25">
      <c r="A1307" s="24" t="s">
        <v>212</v>
      </c>
      <c r="B1307" s="24" t="s">
        <v>58</v>
      </c>
      <c r="C1307" s="24" t="s">
        <v>5</v>
      </c>
      <c r="D1307" s="24">
        <v>0</v>
      </c>
      <c r="E1307" s="24" t="s">
        <v>795</v>
      </c>
      <c r="F1307" s="24"/>
      <c r="G1307" s="24"/>
    </row>
    <row r="1308" spans="1:7" x14ac:dyDescent="0.25">
      <c r="A1308" s="24" t="s">
        <v>213</v>
      </c>
      <c r="B1308" s="24" t="s">
        <v>32</v>
      </c>
      <c r="C1308" s="24" t="s">
        <v>33</v>
      </c>
      <c r="D1308" s="24">
        <v>0</v>
      </c>
      <c r="E1308" s="24" t="s">
        <v>796</v>
      </c>
      <c r="F1308" s="24" t="s">
        <v>874</v>
      </c>
      <c r="G1308" s="24">
        <v>167874</v>
      </c>
    </row>
    <row r="1309" spans="1:7" x14ac:dyDescent="0.25">
      <c r="A1309" s="24" t="s">
        <v>213</v>
      </c>
      <c r="B1309" s="24" t="s">
        <v>34</v>
      </c>
      <c r="C1309" s="24" t="s">
        <v>31</v>
      </c>
      <c r="D1309" s="24">
        <v>31</v>
      </c>
      <c r="E1309" s="24" t="s">
        <v>796</v>
      </c>
      <c r="F1309" s="24" t="s">
        <v>874</v>
      </c>
      <c r="G1309" s="24">
        <v>167874</v>
      </c>
    </row>
    <row r="1310" spans="1:7" x14ac:dyDescent="0.25">
      <c r="A1310" s="24" t="s">
        <v>213</v>
      </c>
      <c r="B1310" s="24" t="s">
        <v>40</v>
      </c>
      <c r="C1310" s="24" t="s">
        <v>31</v>
      </c>
      <c r="D1310" s="24">
        <v>0.8</v>
      </c>
      <c r="E1310" s="24" t="s">
        <v>796</v>
      </c>
      <c r="F1310" s="24" t="s">
        <v>874</v>
      </c>
      <c r="G1310" s="24">
        <v>167874</v>
      </c>
    </row>
    <row r="1311" spans="1:7" x14ac:dyDescent="0.25">
      <c r="A1311" s="24" t="s">
        <v>213</v>
      </c>
      <c r="B1311" s="24" t="s">
        <v>41</v>
      </c>
      <c r="C1311" s="24" t="s">
        <v>31</v>
      </c>
      <c r="D1311" s="24">
        <v>0.2</v>
      </c>
      <c r="E1311" s="24" t="s">
        <v>796</v>
      </c>
      <c r="F1311" s="24" t="s">
        <v>874</v>
      </c>
      <c r="G1311" s="24">
        <v>167874</v>
      </c>
    </row>
    <row r="1312" spans="1:7" x14ac:dyDescent="0.25">
      <c r="A1312" s="24" t="s">
        <v>213</v>
      </c>
      <c r="B1312" s="24" t="s">
        <v>42</v>
      </c>
      <c r="C1312" s="24" t="s">
        <v>43</v>
      </c>
      <c r="D1312" s="24">
        <v>4.9000000000000004</v>
      </c>
      <c r="E1312" s="24" t="s">
        <v>796</v>
      </c>
      <c r="F1312" s="24" t="s">
        <v>874</v>
      </c>
      <c r="G1312" s="24">
        <v>167874</v>
      </c>
    </row>
    <row r="1313" spans="1:7" x14ac:dyDescent="0.25">
      <c r="A1313" s="24" t="s">
        <v>213</v>
      </c>
      <c r="B1313" s="24" t="s">
        <v>44</v>
      </c>
      <c r="C1313" s="24" t="s">
        <v>31</v>
      </c>
      <c r="D1313" s="24">
        <v>0.4</v>
      </c>
      <c r="E1313" s="24" t="s">
        <v>796</v>
      </c>
      <c r="F1313" s="24" t="s">
        <v>874</v>
      </c>
      <c r="G1313" s="24">
        <v>167874</v>
      </c>
    </row>
    <row r="1314" spans="1:7" x14ac:dyDescent="0.25">
      <c r="A1314" s="24" t="s">
        <v>213</v>
      </c>
      <c r="B1314" s="24" t="s">
        <v>45</v>
      </c>
      <c r="C1314" s="24" t="s">
        <v>31</v>
      </c>
      <c r="D1314" s="24">
        <v>0.6</v>
      </c>
      <c r="E1314" s="24" t="s">
        <v>796</v>
      </c>
      <c r="F1314" s="24" t="s">
        <v>874</v>
      </c>
      <c r="G1314" s="24">
        <v>167874</v>
      </c>
    </row>
    <row r="1315" spans="1:7" x14ac:dyDescent="0.25">
      <c r="A1315" s="24" t="s">
        <v>213</v>
      </c>
      <c r="B1315" s="24" t="s">
        <v>46</v>
      </c>
      <c r="C1315" s="24" t="s">
        <v>36</v>
      </c>
      <c r="D1315" s="24">
        <v>0.8</v>
      </c>
      <c r="E1315" s="24" t="s">
        <v>796</v>
      </c>
      <c r="F1315" s="24" t="s">
        <v>874</v>
      </c>
      <c r="G1315" s="24">
        <v>167874</v>
      </c>
    </row>
    <row r="1316" spans="1:7" x14ac:dyDescent="0.25">
      <c r="A1316" s="24" t="s">
        <v>213</v>
      </c>
      <c r="B1316" s="24" t="s">
        <v>47</v>
      </c>
      <c r="C1316" s="24" t="s">
        <v>48</v>
      </c>
      <c r="D1316" s="24">
        <v>3.8</v>
      </c>
      <c r="E1316" s="24" t="s">
        <v>796</v>
      </c>
      <c r="F1316" s="24" t="s">
        <v>874</v>
      </c>
      <c r="G1316" s="24">
        <v>167874</v>
      </c>
    </row>
    <row r="1317" spans="1:7" x14ac:dyDescent="0.25">
      <c r="A1317" s="24" t="s">
        <v>213</v>
      </c>
      <c r="B1317" s="24" t="s">
        <v>50</v>
      </c>
      <c r="C1317" s="24" t="s">
        <v>31</v>
      </c>
      <c r="D1317" s="24">
        <v>311.39999999999998</v>
      </c>
      <c r="E1317" s="24" t="s">
        <v>796</v>
      </c>
      <c r="F1317" s="24" t="s">
        <v>874</v>
      </c>
      <c r="G1317" s="24">
        <v>167874</v>
      </c>
    </row>
    <row r="1318" spans="1:7" x14ac:dyDescent="0.25">
      <c r="A1318" s="24" t="s">
        <v>213</v>
      </c>
      <c r="B1318" s="24" t="s">
        <v>51</v>
      </c>
      <c r="C1318" s="24" t="s">
        <v>31</v>
      </c>
      <c r="D1318" s="24">
        <v>3.8</v>
      </c>
      <c r="E1318" s="24" t="s">
        <v>796</v>
      </c>
      <c r="F1318" s="24" t="s">
        <v>874</v>
      </c>
      <c r="G1318" s="24">
        <v>167874</v>
      </c>
    </row>
    <row r="1319" spans="1:7" x14ac:dyDescent="0.25">
      <c r="A1319" s="24" t="s">
        <v>213</v>
      </c>
      <c r="B1319" s="24" t="s">
        <v>52</v>
      </c>
      <c r="C1319" s="24" t="s">
        <v>31</v>
      </c>
      <c r="D1319" s="24">
        <v>249.1</v>
      </c>
      <c r="E1319" s="24" t="s">
        <v>796</v>
      </c>
      <c r="F1319" s="24" t="s">
        <v>874</v>
      </c>
      <c r="G1319" s="24">
        <v>167874</v>
      </c>
    </row>
    <row r="1320" spans="1:7" x14ac:dyDescent="0.25">
      <c r="A1320" s="24" t="s">
        <v>213</v>
      </c>
      <c r="B1320" s="24" t="s">
        <v>53</v>
      </c>
      <c r="C1320" s="24" t="s">
        <v>31</v>
      </c>
      <c r="D1320" s="24">
        <v>18.2</v>
      </c>
      <c r="E1320" s="24" t="s">
        <v>796</v>
      </c>
      <c r="F1320" s="24" t="s">
        <v>874</v>
      </c>
      <c r="G1320" s="24">
        <v>167874</v>
      </c>
    </row>
    <row r="1321" spans="1:7" x14ac:dyDescent="0.25">
      <c r="A1321" s="24" t="s">
        <v>213</v>
      </c>
      <c r="B1321" s="24" t="s">
        <v>54</v>
      </c>
      <c r="C1321" s="24" t="s">
        <v>31</v>
      </c>
      <c r="D1321" s="24">
        <v>1</v>
      </c>
      <c r="E1321" s="24" t="s">
        <v>796</v>
      </c>
      <c r="F1321" s="24" t="s">
        <v>874</v>
      </c>
      <c r="G1321" s="24">
        <v>167874</v>
      </c>
    </row>
    <row r="1322" spans="1:7" x14ac:dyDescent="0.25">
      <c r="A1322" s="24" t="s">
        <v>213</v>
      </c>
      <c r="B1322" s="24" t="s">
        <v>55</v>
      </c>
      <c r="C1322" s="24" t="s">
        <v>31</v>
      </c>
      <c r="D1322" s="24">
        <v>1.9</v>
      </c>
      <c r="E1322" s="24" t="s">
        <v>796</v>
      </c>
      <c r="F1322" s="24" t="s">
        <v>874</v>
      </c>
      <c r="G1322" s="24">
        <v>167874</v>
      </c>
    </row>
    <row r="1323" spans="1:7" x14ac:dyDescent="0.25">
      <c r="A1323" s="24" t="s">
        <v>213</v>
      </c>
      <c r="B1323" s="24" t="s">
        <v>56</v>
      </c>
      <c r="C1323" s="24" t="s">
        <v>31</v>
      </c>
      <c r="D1323" s="24">
        <v>0.1</v>
      </c>
      <c r="E1323" s="24" t="s">
        <v>796</v>
      </c>
      <c r="F1323" s="24" t="s">
        <v>874</v>
      </c>
      <c r="G1323" s="24">
        <v>167874</v>
      </c>
    </row>
    <row r="1324" spans="1:7" x14ac:dyDescent="0.25">
      <c r="A1324" s="24" t="s">
        <v>213</v>
      </c>
      <c r="B1324" s="24" t="s">
        <v>57</v>
      </c>
      <c r="C1324" s="24" t="s">
        <v>36</v>
      </c>
      <c r="D1324" s="24">
        <v>14.9</v>
      </c>
      <c r="E1324" s="24" t="s">
        <v>796</v>
      </c>
      <c r="F1324" s="24" t="s">
        <v>874</v>
      </c>
      <c r="G1324" s="24">
        <v>167874</v>
      </c>
    </row>
    <row r="1325" spans="1:7" x14ac:dyDescent="0.25">
      <c r="A1325" s="24" t="s">
        <v>213</v>
      </c>
      <c r="B1325" s="24" t="s">
        <v>58</v>
      </c>
      <c r="C1325" s="24" t="s">
        <v>5</v>
      </c>
      <c r="D1325" s="24">
        <v>0</v>
      </c>
      <c r="E1325" s="24" t="s">
        <v>795</v>
      </c>
      <c r="F1325" s="24"/>
      <c r="G1325" s="24"/>
    </row>
    <row r="1326" spans="1:7" x14ac:dyDescent="0.25">
      <c r="A1326" s="24" t="s">
        <v>214</v>
      </c>
      <c r="B1326" s="24" t="s">
        <v>23</v>
      </c>
      <c r="C1326" s="24" t="s">
        <v>5</v>
      </c>
      <c r="D1326" s="24">
        <v>0</v>
      </c>
      <c r="E1326" s="24" t="s">
        <v>796</v>
      </c>
      <c r="F1326" s="24" t="s">
        <v>875</v>
      </c>
      <c r="G1326" s="24">
        <v>167872</v>
      </c>
    </row>
    <row r="1327" spans="1:7" x14ac:dyDescent="0.25">
      <c r="A1327" s="24" t="s">
        <v>214</v>
      </c>
      <c r="B1327" s="24" t="s">
        <v>32</v>
      </c>
      <c r="C1327" s="24" t="s">
        <v>33</v>
      </c>
      <c r="D1327" s="24">
        <v>0</v>
      </c>
      <c r="E1327" s="24" t="s">
        <v>796</v>
      </c>
      <c r="F1327" s="24" t="s">
        <v>875</v>
      </c>
      <c r="G1327" s="24">
        <v>167872</v>
      </c>
    </row>
    <row r="1328" spans="1:7" x14ac:dyDescent="0.25">
      <c r="A1328" s="24" t="s">
        <v>214</v>
      </c>
      <c r="B1328" s="24" t="s">
        <v>34</v>
      </c>
      <c r="C1328" s="24" t="s">
        <v>31</v>
      </c>
      <c r="D1328" s="24">
        <v>0</v>
      </c>
      <c r="E1328" s="24" t="s">
        <v>796</v>
      </c>
      <c r="F1328" s="24" t="s">
        <v>875</v>
      </c>
      <c r="G1328" s="24">
        <v>167872</v>
      </c>
    </row>
    <row r="1329" spans="1:7" x14ac:dyDescent="0.25">
      <c r="A1329" s="24" t="s">
        <v>214</v>
      </c>
      <c r="B1329" s="24" t="s">
        <v>35</v>
      </c>
      <c r="C1329" s="24" t="s">
        <v>36</v>
      </c>
      <c r="D1329" s="24">
        <v>1.3</v>
      </c>
      <c r="E1329" s="24" t="s">
        <v>796</v>
      </c>
      <c r="F1329" s="24" t="s">
        <v>875</v>
      </c>
      <c r="G1329" s="24">
        <v>167872</v>
      </c>
    </row>
    <row r="1330" spans="1:7" x14ac:dyDescent="0.25">
      <c r="A1330" s="24" t="s">
        <v>214</v>
      </c>
      <c r="B1330" s="24" t="s">
        <v>37</v>
      </c>
      <c r="C1330" s="24" t="s">
        <v>38</v>
      </c>
      <c r="D1330" s="24">
        <v>0.5</v>
      </c>
      <c r="E1330" s="24" t="s">
        <v>796</v>
      </c>
      <c r="F1330" s="24" t="s">
        <v>875</v>
      </c>
      <c r="G1330" s="24">
        <v>167872</v>
      </c>
    </row>
    <row r="1331" spans="1:7" x14ac:dyDescent="0.25">
      <c r="A1331" s="24" t="s">
        <v>214</v>
      </c>
      <c r="B1331" s="24" t="s">
        <v>39</v>
      </c>
      <c r="C1331" s="24" t="s">
        <v>36</v>
      </c>
      <c r="D1331" s="24">
        <v>0</v>
      </c>
      <c r="E1331" s="24" t="s">
        <v>796</v>
      </c>
      <c r="F1331" s="24" t="s">
        <v>875</v>
      </c>
      <c r="G1331" s="24">
        <v>167872</v>
      </c>
    </row>
    <row r="1332" spans="1:7" x14ac:dyDescent="0.25">
      <c r="A1332" s="24" t="s">
        <v>214</v>
      </c>
      <c r="B1332" s="24" t="s">
        <v>40</v>
      </c>
      <c r="C1332" s="24" t="s">
        <v>31</v>
      </c>
      <c r="D1332" s="24">
        <v>1.2</v>
      </c>
      <c r="E1332" s="24" t="s">
        <v>796</v>
      </c>
      <c r="F1332" s="24" t="s">
        <v>875</v>
      </c>
      <c r="G1332" s="24">
        <v>167872</v>
      </c>
    </row>
    <row r="1333" spans="1:7" x14ac:dyDescent="0.25">
      <c r="A1333" s="24" t="s">
        <v>214</v>
      </c>
      <c r="B1333" s="24" t="s">
        <v>41</v>
      </c>
      <c r="C1333" s="24" t="s">
        <v>31</v>
      </c>
      <c r="D1333" s="24">
        <v>0.5</v>
      </c>
      <c r="E1333" s="24" t="s">
        <v>796</v>
      </c>
      <c r="F1333" s="24" t="s">
        <v>875</v>
      </c>
      <c r="G1333" s="24">
        <v>167872</v>
      </c>
    </row>
    <row r="1334" spans="1:7" x14ac:dyDescent="0.25">
      <c r="A1334" s="24" t="s">
        <v>214</v>
      </c>
      <c r="B1334" s="24" t="s">
        <v>42</v>
      </c>
      <c r="C1334" s="24" t="s">
        <v>43</v>
      </c>
      <c r="D1334" s="24">
        <v>9.6999999999999993</v>
      </c>
      <c r="E1334" s="24" t="s">
        <v>796</v>
      </c>
      <c r="F1334" s="24" t="s">
        <v>875</v>
      </c>
      <c r="G1334" s="24">
        <v>167872</v>
      </c>
    </row>
    <row r="1335" spans="1:7" x14ac:dyDescent="0.25">
      <c r="A1335" s="24" t="s">
        <v>214</v>
      </c>
      <c r="B1335" s="24" t="s">
        <v>44</v>
      </c>
      <c r="C1335" s="24" t="s">
        <v>31</v>
      </c>
      <c r="D1335" s="24">
        <v>0.5</v>
      </c>
      <c r="E1335" s="24" t="s">
        <v>796</v>
      </c>
      <c r="F1335" s="24" t="s">
        <v>875</v>
      </c>
      <c r="G1335" s="24">
        <v>167872</v>
      </c>
    </row>
    <row r="1336" spans="1:7" x14ac:dyDescent="0.25">
      <c r="A1336" s="24" t="s">
        <v>214</v>
      </c>
      <c r="B1336" s="24" t="s">
        <v>45</v>
      </c>
      <c r="C1336" s="24" t="s">
        <v>31</v>
      </c>
      <c r="D1336" s="24">
        <v>1.1000000000000001</v>
      </c>
      <c r="E1336" s="24" t="s">
        <v>796</v>
      </c>
      <c r="F1336" s="24" t="s">
        <v>875</v>
      </c>
      <c r="G1336" s="24">
        <v>167872</v>
      </c>
    </row>
    <row r="1337" spans="1:7" x14ac:dyDescent="0.25">
      <c r="A1337" s="24" t="s">
        <v>214</v>
      </c>
      <c r="B1337" s="24" t="s">
        <v>46</v>
      </c>
      <c r="C1337" s="24" t="s">
        <v>36</v>
      </c>
      <c r="D1337" s="24">
        <v>1.1000000000000001</v>
      </c>
      <c r="E1337" s="24" t="s">
        <v>796</v>
      </c>
      <c r="F1337" s="24" t="s">
        <v>875</v>
      </c>
      <c r="G1337" s="24">
        <v>167872</v>
      </c>
    </row>
    <row r="1338" spans="1:7" x14ac:dyDescent="0.25">
      <c r="A1338" s="24" t="s">
        <v>214</v>
      </c>
      <c r="B1338" s="24" t="s">
        <v>47</v>
      </c>
      <c r="C1338" s="24" t="s">
        <v>48</v>
      </c>
      <c r="D1338" s="24">
        <v>4.7</v>
      </c>
      <c r="E1338" s="24" t="s">
        <v>796</v>
      </c>
      <c r="F1338" s="24" t="s">
        <v>875</v>
      </c>
      <c r="G1338" s="24">
        <v>167872</v>
      </c>
    </row>
    <row r="1339" spans="1:7" x14ac:dyDescent="0.25">
      <c r="A1339" s="24" t="s">
        <v>214</v>
      </c>
      <c r="B1339" s="24" t="s">
        <v>49</v>
      </c>
      <c r="C1339" s="24" t="s">
        <v>31</v>
      </c>
      <c r="D1339" s="24">
        <v>2368.9</v>
      </c>
      <c r="E1339" s="24" t="s">
        <v>796</v>
      </c>
      <c r="F1339" s="24" t="s">
        <v>875</v>
      </c>
      <c r="G1339" s="24">
        <v>167872</v>
      </c>
    </row>
    <row r="1340" spans="1:7" x14ac:dyDescent="0.25">
      <c r="A1340" s="24" t="s">
        <v>214</v>
      </c>
      <c r="B1340" s="24" t="s">
        <v>50</v>
      </c>
      <c r="C1340" s="24" t="s">
        <v>31</v>
      </c>
      <c r="D1340" s="24">
        <v>645.9</v>
      </c>
      <c r="E1340" s="24" t="s">
        <v>796</v>
      </c>
      <c r="F1340" s="24" t="s">
        <v>875</v>
      </c>
      <c r="G1340" s="24">
        <v>167872</v>
      </c>
    </row>
    <row r="1341" spans="1:7" x14ac:dyDescent="0.25">
      <c r="A1341" s="24" t="s">
        <v>214</v>
      </c>
      <c r="B1341" s="24" t="s">
        <v>51</v>
      </c>
      <c r="C1341" s="24" t="s">
        <v>31</v>
      </c>
      <c r="D1341" s="24">
        <v>12.6</v>
      </c>
      <c r="E1341" s="24" t="s">
        <v>796</v>
      </c>
      <c r="F1341" s="24" t="s">
        <v>875</v>
      </c>
      <c r="G1341" s="24">
        <v>167872</v>
      </c>
    </row>
    <row r="1342" spans="1:7" x14ac:dyDescent="0.25">
      <c r="A1342" s="24" t="s">
        <v>214</v>
      </c>
      <c r="B1342" s="24" t="s">
        <v>52</v>
      </c>
      <c r="C1342" s="24" t="s">
        <v>31</v>
      </c>
      <c r="D1342" s="24">
        <v>443.8</v>
      </c>
      <c r="E1342" s="24" t="s">
        <v>796</v>
      </c>
      <c r="F1342" s="24" t="s">
        <v>875</v>
      </c>
      <c r="G1342" s="24">
        <v>167872</v>
      </c>
    </row>
    <row r="1343" spans="1:7" x14ac:dyDescent="0.25">
      <c r="A1343" s="24" t="s">
        <v>214</v>
      </c>
      <c r="B1343" s="24" t="s">
        <v>53</v>
      </c>
      <c r="C1343" s="24" t="s">
        <v>31</v>
      </c>
      <c r="D1343" s="24">
        <v>34.700000000000003</v>
      </c>
      <c r="E1343" s="24" t="s">
        <v>796</v>
      </c>
      <c r="F1343" s="24" t="s">
        <v>875</v>
      </c>
      <c r="G1343" s="24">
        <v>167872</v>
      </c>
    </row>
    <row r="1344" spans="1:7" x14ac:dyDescent="0.25">
      <c r="A1344" s="24" t="s">
        <v>214</v>
      </c>
      <c r="B1344" s="24" t="s">
        <v>54</v>
      </c>
      <c r="C1344" s="24" t="s">
        <v>31</v>
      </c>
      <c r="D1344" s="24">
        <v>2.1</v>
      </c>
      <c r="E1344" s="24" t="s">
        <v>796</v>
      </c>
      <c r="F1344" s="24" t="s">
        <v>875</v>
      </c>
      <c r="G1344" s="24">
        <v>167872</v>
      </c>
    </row>
    <row r="1345" spans="1:7" x14ac:dyDescent="0.25">
      <c r="A1345" s="24" t="s">
        <v>214</v>
      </c>
      <c r="B1345" s="24" t="s">
        <v>55</v>
      </c>
      <c r="C1345" s="24" t="s">
        <v>31</v>
      </c>
      <c r="D1345" s="24">
        <v>3.9</v>
      </c>
      <c r="E1345" s="24" t="s">
        <v>796</v>
      </c>
      <c r="F1345" s="24" t="s">
        <v>875</v>
      </c>
      <c r="G1345" s="24">
        <v>167872</v>
      </c>
    </row>
    <row r="1346" spans="1:7" x14ac:dyDescent="0.25">
      <c r="A1346" s="24" t="s">
        <v>214</v>
      </c>
      <c r="B1346" s="24" t="s">
        <v>56</v>
      </c>
      <c r="C1346" s="24" t="s">
        <v>31</v>
      </c>
      <c r="D1346" s="24">
        <v>0.2</v>
      </c>
      <c r="E1346" s="24" t="s">
        <v>796</v>
      </c>
      <c r="F1346" s="24" t="s">
        <v>875</v>
      </c>
      <c r="G1346" s="24">
        <v>167872</v>
      </c>
    </row>
    <row r="1347" spans="1:7" x14ac:dyDescent="0.25">
      <c r="A1347" s="24" t="s">
        <v>214</v>
      </c>
      <c r="B1347" s="24" t="s">
        <v>57</v>
      </c>
      <c r="C1347" s="24" t="s">
        <v>36</v>
      </c>
      <c r="D1347" s="24">
        <v>31.3</v>
      </c>
      <c r="E1347" s="24" t="s">
        <v>796</v>
      </c>
      <c r="F1347" s="24" t="s">
        <v>875</v>
      </c>
      <c r="G1347" s="24">
        <v>167872</v>
      </c>
    </row>
    <row r="1348" spans="1:7" x14ac:dyDescent="0.25">
      <c r="A1348" s="24" t="s">
        <v>214</v>
      </c>
      <c r="B1348" s="24" t="s">
        <v>58</v>
      </c>
      <c r="C1348" s="24" t="s">
        <v>5</v>
      </c>
      <c r="D1348" s="24">
        <v>0</v>
      </c>
      <c r="E1348" s="24" t="s">
        <v>795</v>
      </c>
      <c r="F1348" s="24"/>
      <c r="G1348" s="24"/>
    </row>
    <row r="1349" spans="1:7" x14ac:dyDescent="0.25">
      <c r="A1349" s="24" t="s">
        <v>215</v>
      </c>
      <c r="B1349" s="24" t="s">
        <v>58</v>
      </c>
      <c r="C1349" s="24" t="s">
        <v>5</v>
      </c>
      <c r="D1349" s="24">
        <v>0</v>
      </c>
      <c r="E1349" s="24" t="s">
        <v>795</v>
      </c>
      <c r="F1349" s="24"/>
      <c r="G1349" s="24"/>
    </row>
    <row r="1350" spans="1:7" x14ac:dyDescent="0.25">
      <c r="A1350" s="24" t="s">
        <v>216</v>
      </c>
      <c r="B1350" s="24" t="s">
        <v>35</v>
      </c>
      <c r="C1350" s="24" t="s">
        <v>36</v>
      </c>
      <c r="D1350" s="24">
        <v>0</v>
      </c>
      <c r="E1350" s="24" t="s">
        <v>796</v>
      </c>
      <c r="F1350" s="24" t="s">
        <v>876</v>
      </c>
      <c r="G1350" s="24">
        <v>168092</v>
      </c>
    </row>
    <row r="1351" spans="1:7" x14ac:dyDescent="0.25">
      <c r="A1351" s="24" t="s">
        <v>216</v>
      </c>
      <c r="B1351" s="24" t="s">
        <v>37</v>
      </c>
      <c r="C1351" s="24" t="s">
        <v>38</v>
      </c>
      <c r="D1351" s="24">
        <v>0.4</v>
      </c>
      <c r="E1351" s="24" t="s">
        <v>796</v>
      </c>
      <c r="F1351" s="24" t="s">
        <v>876</v>
      </c>
      <c r="G1351" s="24">
        <v>168092</v>
      </c>
    </row>
    <row r="1352" spans="1:7" x14ac:dyDescent="0.25">
      <c r="A1352" s="24" t="s">
        <v>216</v>
      </c>
      <c r="B1352" s="24" t="s">
        <v>39</v>
      </c>
      <c r="C1352" s="24" t="s">
        <v>36</v>
      </c>
      <c r="D1352" s="24">
        <v>0</v>
      </c>
      <c r="E1352" s="24" t="s">
        <v>796</v>
      </c>
      <c r="F1352" s="24" t="s">
        <v>876</v>
      </c>
      <c r="G1352" s="24">
        <v>168092</v>
      </c>
    </row>
    <row r="1353" spans="1:7" x14ac:dyDescent="0.25">
      <c r="A1353" s="24" t="s">
        <v>216</v>
      </c>
      <c r="B1353" s="24" t="s">
        <v>47</v>
      </c>
      <c r="C1353" s="24" t="s">
        <v>48</v>
      </c>
      <c r="D1353" s="24">
        <v>5.7</v>
      </c>
      <c r="E1353" s="24" t="s">
        <v>796</v>
      </c>
      <c r="F1353" s="24" t="s">
        <v>876</v>
      </c>
      <c r="G1353" s="24">
        <v>168092</v>
      </c>
    </row>
    <row r="1354" spans="1:7" x14ac:dyDescent="0.25">
      <c r="A1354" s="24" t="s">
        <v>216</v>
      </c>
      <c r="B1354" s="24" t="s">
        <v>56</v>
      </c>
      <c r="C1354" s="24" t="s">
        <v>31</v>
      </c>
      <c r="D1354" s="24">
        <v>0.1</v>
      </c>
      <c r="E1354" s="24" t="s">
        <v>796</v>
      </c>
      <c r="F1354" s="24" t="s">
        <v>876</v>
      </c>
      <c r="G1354" s="24">
        <v>168092</v>
      </c>
    </row>
    <row r="1355" spans="1:7" x14ac:dyDescent="0.25">
      <c r="A1355" s="24" t="s">
        <v>216</v>
      </c>
      <c r="B1355" s="24" t="s">
        <v>58</v>
      </c>
      <c r="C1355" s="24" t="s">
        <v>5</v>
      </c>
      <c r="D1355" s="24">
        <v>0</v>
      </c>
      <c r="E1355" s="24" t="s">
        <v>795</v>
      </c>
      <c r="F1355" s="24"/>
      <c r="G1355" s="24"/>
    </row>
    <row r="1356" spans="1:7" x14ac:dyDescent="0.25">
      <c r="A1356" s="24" t="s">
        <v>217</v>
      </c>
      <c r="B1356" s="24" t="s">
        <v>23</v>
      </c>
      <c r="C1356" s="24" t="s">
        <v>5</v>
      </c>
      <c r="D1356" s="24">
        <v>0.4</v>
      </c>
      <c r="E1356" s="24" t="s">
        <v>796</v>
      </c>
      <c r="F1356" s="24" t="s">
        <v>876</v>
      </c>
      <c r="G1356" s="24">
        <v>168092</v>
      </c>
    </row>
    <row r="1357" spans="1:7" x14ac:dyDescent="0.25">
      <c r="A1357" s="24" t="s">
        <v>217</v>
      </c>
      <c r="B1357" s="24" t="s">
        <v>32</v>
      </c>
      <c r="C1357" s="24" t="s">
        <v>33</v>
      </c>
      <c r="D1357" s="24">
        <v>0</v>
      </c>
      <c r="E1357" s="24" t="s">
        <v>796</v>
      </c>
      <c r="F1357" s="24" t="s">
        <v>876</v>
      </c>
      <c r="G1357" s="24">
        <v>168092</v>
      </c>
    </row>
    <row r="1358" spans="1:7" x14ac:dyDescent="0.25">
      <c r="A1358" s="24" t="s">
        <v>217</v>
      </c>
      <c r="B1358" s="24" t="s">
        <v>34</v>
      </c>
      <c r="C1358" s="24" t="s">
        <v>31</v>
      </c>
      <c r="D1358" s="24">
        <v>0</v>
      </c>
      <c r="E1358" s="24" t="s">
        <v>796</v>
      </c>
      <c r="F1358" s="24" t="s">
        <v>876</v>
      </c>
      <c r="G1358" s="24">
        <v>168092</v>
      </c>
    </row>
    <row r="1359" spans="1:7" x14ac:dyDescent="0.25">
      <c r="A1359" s="24" t="s">
        <v>217</v>
      </c>
      <c r="B1359" s="24" t="s">
        <v>35</v>
      </c>
      <c r="C1359" s="24" t="s">
        <v>36</v>
      </c>
      <c r="D1359" s="24">
        <v>0</v>
      </c>
      <c r="E1359" s="24" t="s">
        <v>796</v>
      </c>
      <c r="F1359" s="24" t="s">
        <v>876</v>
      </c>
      <c r="G1359" s="24">
        <v>168092</v>
      </c>
    </row>
    <row r="1360" spans="1:7" x14ac:dyDescent="0.25">
      <c r="A1360" s="24" t="s">
        <v>217</v>
      </c>
      <c r="B1360" s="24" t="s">
        <v>37</v>
      </c>
      <c r="C1360" s="24" t="s">
        <v>38</v>
      </c>
      <c r="D1360" s="24">
        <v>0.3</v>
      </c>
      <c r="E1360" s="24" t="s">
        <v>796</v>
      </c>
      <c r="F1360" s="24" t="s">
        <v>876</v>
      </c>
      <c r="G1360" s="24">
        <v>168092</v>
      </c>
    </row>
    <row r="1361" spans="1:7" x14ac:dyDescent="0.25">
      <c r="A1361" s="24" t="s">
        <v>217</v>
      </c>
      <c r="B1361" s="24" t="s">
        <v>39</v>
      </c>
      <c r="C1361" s="24" t="s">
        <v>36</v>
      </c>
      <c r="D1361" s="24">
        <v>0</v>
      </c>
      <c r="E1361" s="24" t="s">
        <v>796</v>
      </c>
      <c r="F1361" s="24" t="s">
        <v>876</v>
      </c>
      <c r="G1361" s="24">
        <v>168092</v>
      </c>
    </row>
    <row r="1362" spans="1:7" x14ac:dyDescent="0.25">
      <c r="A1362" s="24" t="s">
        <v>217</v>
      </c>
      <c r="B1362" s="24" t="s">
        <v>40</v>
      </c>
      <c r="C1362" s="24" t="s">
        <v>31</v>
      </c>
      <c r="D1362" s="24">
        <v>0</v>
      </c>
      <c r="E1362" s="24" t="s">
        <v>796</v>
      </c>
      <c r="F1362" s="24" t="s">
        <v>876</v>
      </c>
      <c r="G1362" s="24">
        <v>168092</v>
      </c>
    </row>
    <row r="1363" spans="1:7" x14ac:dyDescent="0.25">
      <c r="A1363" s="24" t="s">
        <v>217</v>
      </c>
      <c r="B1363" s="24" t="s">
        <v>41</v>
      </c>
      <c r="C1363" s="24" t="s">
        <v>31</v>
      </c>
      <c r="D1363" s="24">
        <v>0.2</v>
      </c>
      <c r="E1363" s="24" t="s">
        <v>796</v>
      </c>
      <c r="F1363" s="24" t="s">
        <v>876</v>
      </c>
      <c r="G1363" s="24">
        <v>168092</v>
      </c>
    </row>
    <row r="1364" spans="1:7" x14ac:dyDescent="0.25">
      <c r="A1364" s="24" t="s">
        <v>217</v>
      </c>
      <c r="B1364" s="24" t="s">
        <v>42</v>
      </c>
      <c r="C1364" s="24" t="s">
        <v>43</v>
      </c>
      <c r="D1364" s="24">
        <v>2.8</v>
      </c>
      <c r="E1364" s="24" t="s">
        <v>796</v>
      </c>
      <c r="F1364" s="24" t="s">
        <v>876</v>
      </c>
      <c r="G1364" s="24">
        <v>168092</v>
      </c>
    </row>
    <row r="1365" spans="1:7" x14ac:dyDescent="0.25">
      <c r="A1365" s="24" t="s">
        <v>217</v>
      </c>
      <c r="B1365" s="24" t="s">
        <v>44</v>
      </c>
      <c r="C1365" s="24" t="s">
        <v>31</v>
      </c>
      <c r="D1365" s="24">
        <v>0.2</v>
      </c>
      <c r="E1365" s="24" t="s">
        <v>796</v>
      </c>
      <c r="F1365" s="24" t="s">
        <v>876</v>
      </c>
      <c r="G1365" s="24">
        <v>168092</v>
      </c>
    </row>
    <row r="1366" spans="1:7" x14ac:dyDescent="0.25">
      <c r="A1366" s="24" t="s">
        <v>217</v>
      </c>
      <c r="B1366" s="24" t="s">
        <v>46</v>
      </c>
      <c r="C1366" s="24" t="s">
        <v>36</v>
      </c>
      <c r="D1366" s="24">
        <v>0.2</v>
      </c>
      <c r="E1366" s="24" t="s">
        <v>796</v>
      </c>
      <c r="F1366" s="24" t="s">
        <v>876</v>
      </c>
      <c r="G1366" s="24">
        <v>168092</v>
      </c>
    </row>
    <row r="1367" spans="1:7" x14ac:dyDescent="0.25">
      <c r="A1367" s="24" t="s">
        <v>217</v>
      </c>
      <c r="B1367" s="24" t="s">
        <v>47</v>
      </c>
      <c r="C1367" s="24" t="s">
        <v>48</v>
      </c>
      <c r="D1367" s="24">
        <v>4.8</v>
      </c>
      <c r="E1367" s="24" t="s">
        <v>796</v>
      </c>
      <c r="F1367" s="24" t="s">
        <v>876</v>
      </c>
      <c r="G1367" s="24">
        <v>168092</v>
      </c>
    </row>
    <row r="1368" spans="1:7" x14ac:dyDescent="0.25">
      <c r="A1368" s="24" t="s">
        <v>217</v>
      </c>
      <c r="B1368" s="24" t="s">
        <v>50</v>
      </c>
      <c r="C1368" s="24" t="s">
        <v>31</v>
      </c>
      <c r="D1368" s="24">
        <v>238.1</v>
      </c>
      <c r="E1368" s="24" t="s">
        <v>796</v>
      </c>
      <c r="F1368" s="24" t="s">
        <v>876</v>
      </c>
      <c r="G1368" s="24">
        <v>168092</v>
      </c>
    </row>
    <row r="1369" spans="1:7" x14ac:dyDescent="0.25">
      <c r="A1369" s="24" t="s">
        <v>217</v>
      </c>
      <c r="B1369" s="24" t="s">
        <v>51</v>
      </c>
      <c r="C1369" s="24" t="s">
        <v>31</v>
      </c>
      <c r="D1369" s="24">
        <v>4</v>
      </c>
      <c r="E1369" s="24" t="s">
        <v>796</v>
      </c>
      <c r="F1369" s="24" t="s">
        <v>876</v>
      </c>
      <c r="G1369" s="24">
        <v>168092</v>
      </c>
    </row>
    <row r="1370" spans="1:7" x14ac:dyDescent="0.25">
      <c r="A1370" s="24" t="s">
        <v>217</v>
      </c>
      <c r="B1370" s="24" t="s">
        <v>52</v>
      </c>
      <c r="C1370" s="24" t="s">
        <v>31</v>
      </c>
      <c r="D1370" s="24">
        <v>242.1</v>
      </c>
      <c r="E1370" s="24" t="s">
        <v>796</v>
      </c>
      <c r="F1370" s="24" t="s">
        <v>876</v>
      </c>
      <c r="G1370" s="24">
        <v>168092</v>
      </c>
    </row>
    <row r="1371" spans="1:7" x14ac:dyDescent="0.25">
      <c r="A1371" s="24" t="s">
        <v>217</v>
      </c>
      <c r="B1371" s="24" t="s">
        <v>53</v>
      </c>
      <c r="C1371" s="24" t="s">
        <v>31</v>
      </c>
      <c r="D1371" s="24">
        <v>15.9</v>
      </c>
      <c r="E1371" s="24" t="s">
        <v>796</v>
      </c>
      <c r="F1371" s="24" t="s">
        <v>876</v>
      </c>
      <c r="G1371" s="24">
        <v>168092</v>
      </c>
    </row>
    <row r="1372" spans="1:7" x14ac:dyDescent="0.25">
      <c r="A1372" s="24" t="s">
        <v>217</v>
      </c>
      <c r="B1372" s="24" t="s">
        <v>54</v>
      </c>
      <c r="C1372" s="24" t="s">
        <v>31</v>
      </c>
      <c r="D1372" s="24">
        <v>1.1000000000000001</v>
      </c>
      <c r="E1372" s="24" t="s">
        <v>796</v>
      </c>
      <c r="F1372" s="24" t="s">
        <v>876</v>
      </c>
      <c r="G1372" s="24">
        <v>168092</v>
      </c>
    </row>
    <row r="1373" spans="1:7" x14ac:dyDescent="0.25">
      <c r="A1373" s="24" t="s">
        <v>217</v>
      </c>
      <c r="B1373" s="24" t="s">
        <v>55</v>
      </c>
      <c r="C1373" s="24" t="s">
        <v>31</v>
      </c>
      <c r="D1373" s="24">
        <v>1.9</v>
      </c>
      <c r="E1373" s="24" t="s">
        <v>796</v>
      </c>
      <c r="F1373" s="24" t="s">
        <v>876</v>
      </c>
      <c r="G1373" s="24">
        <v>168092</v>
      </c>
    </row>
    <row r="1374" spans="1:7" x14ac:dyDescent="0.25">
      <c r="A1374" s="24" t="s">
        <v>217</v>
      </c>
      <c r="B1374" s="24" t="s">
        <v>56</v>
      </c>
      <c r="C1374" s="24" t="s">
        <v>31</v>
      </c>
      <c r="D1374" s="24">
        <v>0.1</v>
      </c>
      <c r="E1374" s="24" t="s">
        <v>796</v>
      </c>
      <c r="F1374" s="24" t="s">
        <v>876</v>
      </c>
      <c r="G1374" s="24">
        <v>168092</v>
      </c>
    </row>
    <row r="1375" spans="1:7" x14ac:dyDescent="0.25">
      <c r="A1375" s="24" t="s">
        <v>217</v>
      </c>
      <c r="B1375" s="24" t="s">
        <v>57</v>
      </c>
      <c r="C1375" s="24" t="s">
        <v>36</v>
      </c>
      <c r="D1375" s="24">
        <v>29.5</v>
      </c>
      <c r="E1375" s="24" t="s">
        <v>796</v>
      </c>
      <c r="F1375" s="24" t="s">
        <v>876</v>
      </c>
      <c r="G1375" s="24">
        <v>168092</v>
      </c>
    </row>
    <row r="1376" spans="1:7" x14ac:dyDescent="0.25">
      <c r="A1376" s="24" t="s">
        <v>217</v>
      </c>
      <c r="B1376" s="24" t="s">
        <v>58</v>
      </c>
      <c r="C1376" s="24" t="s">
        <v>5</v>
      </c>
      <c r="D1376" s="24">
        <v>0</v>
      </c>
      <c r="E1376" s="24" t="s">
        <v>795</v>
      </c>
      <c r="F1376" s="24"/>
      <c r="G1376" s="24"/>
    </row>
    <row r="1377" spans="1:7" x14ac:dyDescent="0.25">
      <c r="A1377" s="24" t="s">
        <v>218</v>
      </c>
      <c r="B1377" s="24" t="s">
        <v>58</v>
      </c>
      <c r="C1377" s="24" t="s">
        <v>5</v>
      </c>
      <c r="D1377" s="24">
        <v>0</v>
      </c>
      <c r="E1377" s="24" t="s">
        <v>795</v>
      </c>
      <c r="F1377" s="24"/>
      <c r="G1377" s="24"/>
    </row>
    <row r="1378" spans="1:7" x14ac:dyDescent="0.25">
      <c r="A1378" s="24" t="s">
        <v>219</v>
      </c>
      <c r="B1378" s="24" t="s">
        <v>32</v>
      </c>
      <c r="C1378" s="24" t="s">
        <v>33</v>
      </c>
      <c r="D1378" s="24">
        <v>34.200000000000003</v>
      </c>
      <c r="E1378" s="24" t="s">
        <v>796</v>
      </c>
      <c r="F1378" s="24" t="s">
        <v>877</v>
      </c>
      <c r="G1378" s="24">
        <v>172934</v>
      </c>
    </row>
    <row r="1379" spans="1:7" x14ac:dyDescent="0.25">
      <c r="A1379" s="24" t="s">
        <v>219</v>
      </c>
      <c r="B1379" s="24" t="s">
        <v>34</v>
      </c>
      <c r="C1379" s="24" t="s">
        <v>31</v>
      </c>
      <c r="D1379" s="24">
        <v>0</v>
      </c>
      <c r="E1379" s="24" t="s">
        <v>796</v>
      </c>
      <c r="F1379" s="24" t="s">
        <v>877</v>
      </c>
      <c r="G1379" s="24">
        <v>172934</v>
      </c>
    </row>
    <row r="1380" spans="1:7" x14ac:dyDescent="0.25">
      <c r="A1380" s="24" t="s">
        <v>219</v>
      </c>
      <c r="B1380" s="24" t="s">
        <v>35</v>
      </c>
      <c r="C1380" s="24" t="s">
        <v>36</v>
      </c>
      <c r="D1380" s="24">
        <v>1.8</v>
      </c>
      <c r="E1380" s="24" t="s">
        <v>796</v>
      </c>
      <c r="F1380" s="24" t="s">
        <v>877</v>
      </c>
      <c r="G1380" s="24">
        <v>172934</v>
      </c>
    </row>
    <row r="1381" spans="1:7" x14ac:dyDescent="0.25">
      <c r="A1381" s="24" t="s">
        <v>219</v>
      </c>
      <c r="B1381" s="24" t="s">
        <v>37</v>
      </c>
      <c r="C1381" s="24" t="s">
        <v>38</v>
      </c>
      <c r="D1381" s="24">
        <v>1.3</v>
      </c>
      <c r="E1381" s="24" t="s">
        <v>796</v>
      </c>
      <c r="F1381" s="24" t="s">
        <v>877</v>
      </c>
      <c r="G1381" s="24">
        <v>172934</v>
      </c>
    </row>
    <row r="1382" spans="1:7" x14ac:dyDescent="0.25">
      <c r="A1382" s="24" t="s">
        <v>219</v>
      </c>
      <c r="B1382" s="24" t="s">
        <v>39</v>
      </c>
      <c r="C1382" s="24" t="s">
        <v>36</v>
      </c>
      <c r="D1382" s="24">
        <v>0.4</v>
      </c>
      <c r="E1382" s="24" t="s">
        <v>796</v>
      </c>
      <c r="F1382" s="24" t="s">
        <v>877</v>
      </c>
      <c r="G1382" s="24">
        <v>172934</v>
      </c>
    </row>
    <row r="1383" spans="1:7" x14ac:dyDescent="0.25">
      <c r="A1383" s="24" t="s">
        <v>219</v>
      </c>
      <c r="B1383" s="24" t="s">
        <v>40</v>
      </c>
      <c r="C1383" s="24" t="s">
        <v>31</v>
      </c>
      <c r="D1383" s="24">
        <v>0.3</v>
      </c>
      <c r="E1383" s="24" t="s">
        <v>796</v>
      </c>
      <c r="F1383" s="24" t="s">
        <v>877</v>
      </c>
      <c r="G1383" s="24">
        <v>172934</v>
      </c>
    </row>
    <row r="1384" spans="1:7" x14ac:dyDescent="0.25">
      <c r="A1384" s="24" t="s">
        <v>219</v>
      </c>
      <c r="B1384" s="24" t="s">
        <v>41</v>
      </c>
      <c r="C1384" s="24" t="s">
        <v>31</v>
      </c>
      <c r="D1384" s="24">
        <v>0.2</v>
      </c>
      <c r="E1384" s="24" t="s">
        <v>796</v>
      </c>
      <c r="F1384" s="24" t="s">
        <v>877</v>
      </c>
      <c r="G1384" s="24">
        <v>172934</v>
      </c>
    </row>
    <row r="1385" spans="1:7" x14ac:dyDescent="0.25">
      <c r="A1385" s="24" t="s">
        <v>219</v>
      </c>
      <c r="B1385" s="24" t="s">
        <v>42</v>
      </c>
      <c r="C1385" s="24" t="s">
        <v>43</v>
      </c>
      <c r="D1385" s="24">
        <v>6.9</v>
      </c>
      <c r="E1385" s="24" t="s">
        <v>796</v>
      </c>
      <c r="F1385" s="24" t="s">
        <v>877</v>
      </c>
      <c r="G1385" s="24">
        <v>172934</v>
      </c>
    </row>
    <row r="1386" spans="1:7" x14ac:dyDescent="0.25">
      <c r="A1386" s="24" t="s">
        <v>219</v>
      </c>
      <c r="B1386" s="24" t="s">
        <v>44</v>
      </c>
      <c r="C1386" s="24" t="s">
        <v>31</v>
      </c>
      <c r="D1386" s="24">
        <v>0.2</v>
      </c>
      <c r="E1386" s="24" t="s">
        <v>796</v>
      </c>
      <c r="F1386" s="24" t="s">
        <v>877</v>
      </c>
      <c r="G1386" s="24">
        <v>172934</v>
      </c>
    </row>
    <row r="1387" spans="1:7" x14ac:dyDescent="0.25">
      <c r="A1387" s="24" t="s">
        <v>219</v>
      </c>
      <c r="B1387" s="24" t="s">
        <v>45</v>
      </c>
      <c r="C1387" s="24" t="s">
        <v>31</v>
      </c>
      <c r="D1387" s="24">
        <v>0.9</v>
      </c>
      <c r="E1387" s="24" t="s">
        <v>796</v>
      </c>
      <c r="F1387" s="24" t="s">
        <v>877</v>
      </c>
      <c r="G1387" s="24">
        <v>172934</v>
      </c>
    </row>
    <row r="1388" spans="1:7" x14ac:dyDescent="0.25">
      <c r="A1388" s="24" t="s">
        <v>219</v>
      </c>
      <c r="B1388" s="24" t="s">
        <v>46</v>
      </c>
      <c r="C1388" s="24" t="s">
        <v>36</v>
      </c>
      <c r="D1388" s="24">
        <v>1.2</v>
      </c>
      <c r="E1388" s="24" t="s">
        <v>796</v>
      </c>
      <c r="F1388" s="24" t="s">
        <v>877</v>
      </c>
      <c r="G1388" s="24">
        <v>172934</v>
      </c>
    </row>
    <row r="1389" spans="1:7" x14ac:dyDescent="0.25">
      <c r="A1389" s="24" t="s">
        <v>219</v>
      </c>
      <c r="B1389" s="24" t="s">
        <v>47</v>
      </c>
      <c r="C1389" s="24" t="s">
        <v>48</v>
      </c>
      <c r="D1389" s="24">
        <v>2.5</v>
      </c>
      <c r="E1389" s="24" t="s">
        <v>796</v>
      </c>
      <c r="F1389" s="24" t="s">
        <v>877</v>
      </c>
      <c r="G1389" s="24">
        <v>172934</v>
      </c>
    </row>
    <row r="1390" spans="1:7" x14ac:dyDescent="0.25">
      <c r="A1390" s="24" t="s">
        <v>219</v>
      </c>
      <c r="B1390" s="24" t="s">
        <v>50</v>
      </c>
      <c r="C1390" s="24" t="s">
        <v>31</v>
      </c>
      <c r="D1390" s="24">
        <v>389</v>
      </c>
      <c r="E1390" s="24" t="s">
        <v>796</v>
      </c>
      <c r="F1390" s="24" t="s">
        <v>877</v>
      </c>
      <c r="G1390" s="24">
        <v>172934</v>
      </c>
    </row>
    <row r="1391" spans="1:7" x14ac:dyDescent="0.25">
      <c r="A1391" s="24" t="s">
        <v>219</v>
      </c>
      <c r="B1391" s="24" t="s">
        <v>51</v>
      </c>
      <c r="C1391" s="24" t="s">
        <v>31</v>
      </c>
      <c r="D1391" s="24">
        <v>10.1</v>
      </c>
      <c r="E1391" s="24" t="s">
        <v>796</v>
      </c>
      <c r="F1391" s="24" t="s">
        <v>877</v>
      </c>
      <c r="G1391" s="24">
        <v>172934</v>
      </c>
    </row>
    <row r="1392" spans="1:7" x14ac:dyDescent="0.25">
      <c r="A1392" s="24" t="s">
        <v>219</v>
      </c>
      <c r="B1392" s="24" t="s">
        <v>52</v>
      </c>
      <c r="C1392" s="24" t="s">
        <v>31</v>
      </c>
      <c r="D1392" s="24">
        <v>168.5</v>
      </c>
      <c r="E1392" s="24" t="s">
        <v>796</v>
      </c>
      <c r="F1392" s="24" t="s">
        <v>877</v>
      </c>
      <c r="G1392" s="24">
        <v>172934</v>
      </c>
    </row>
    <row r="1393" spans="1:7" x14ac:dyDescent="0.25">
      <c r="A1393" s="24" t="s">
        <v>219</v>
      </c>
      <c r="B1393" s="24" t="s">
        <v>53</v>
      </c>
      <c r="C1393" s="24" t="s">
        <v>31</v>
      </c>
      <c r="D1393" s="24">
        <v>19</v>
      </c>
      <c r="E1393" s="24" t="s">
        <v>796</v>
      </c>
      <c r="F1393" s="24" t="s">
        <v>877</v>
      </c>
      <c r="G1393" s="24">
        <v>172934</v>
      </c>
    </row>
    <row r="1394" spans="1:7" x14ac:dyDescent="0.25">
      <c r="A1394" s="24" t="s">
        <v>219</v>
      </c>
      <c r="B1394" s="24" t="s">
        <v>54</v>
      </c>
      <c r="C1394" s="24" t="s">
        <v>31</v>
      </c>
      <c r="D1394" s="24">
        <v>1.3</v>
      </c>
      <c r="E1394" s="24" t="s">
        <v>796</v>
      </c>
      <c r="F1394" s="24" t="s">
        <v>877</v>
      </c>
      <c r="G1394" s="24">
        <v>172934</v>
      </c>
    </row>
    <row r="1395" spans="1:7" x14ac:dyDescent="0.25">
      <c r="A1395" s="24" t="s">
        <v>219</v>
      </c>
      <c r="B1395" s="24" t="s">
        <v>55</v>
      </c>
      <c r="C1395" s="24" t="s">
        <v>31</v>
      </c>
      <c r="D1395" s="24">
        <v>2.5</v>
      </c>
      <c r="E1395" s="24" t="s">
        <v>796</v>
      </c>
      <c r="F1395" s="24" t="s">
        <v>877</v>
      </c>
      <c r="G1395" s="24">
        <v>172934</v>
      </c>
    </row>
    <row r="1396" spans="1:7" x14ac:dyDescent="0.25">
      <c r="A1396" s="24" t="s">
        <v>219</v>
      </c>
      <c r="B1396" s="24" t="s">
        <v>56</v>
      </c>
      <c r="C1396" s="24" t="s">
        <v>31</v>
      </c>
      <c r="D1396" s="24">
        <v>0.1</v>
      </c>
      <c r="E1396" s="24" t="s">
        <v>796</v>
      </c>
      <c r="F1396" s="24" t="s">
        <v>877</v>
      </c>
      <c r="G1396" s="24">
        <v>172934</v>
      </c>
    </row>
    <row r="1397" spans="1:7" x14ac:dyDescent="0.25">
      <c r="A1397" s="24" t="s">
        <v>219</v>
      </c>
      <c r="B1397" s="24" t="s">
        <v>57</v>
      </c>
      <c r="C1397" s="24" t="s">
        <v>36</v>
      </c>
      <c r="D1397" s="24">
        <v>22.6</v>
      </c>
      <c r="E1397" s="24" t="s">
        <v>796</v>
      </c>
      <c r="F1397" s="24" t="s">
        <v>877</v>
      </c>
      <c r="G1397" s="24">
        <v>172934</v>
      </c>
    </row>
    <row r="1398" spans="1:7" x14ac:dyDescent="0.25">
      <c r="A1398" s="24" t="s">
        <v>219</v>
      </c>
      <c r="B1398" s="24" t="s">
        <v>58</v>
      </c>
      <c r="C1398" s="24" t="s">
        <v>5</v>
      </c>
      <c r="D1398" s="24">
        <v>0</v>
      </c>
      <c r="E1398" s="24" t="s">
        <v>795</v>
      </c>
      <c r="F1398" s="24"/>
      <c r="G1398" s="24"/>
    </row>
    <row r="1399" spans="1:7" x14ac:dyDescent="0.25">
      <c r="A1399" s="24" t="s">
        <v>220</v>
      </c>
      <c r="B1399" s="24" t="s">
        <v>23</v>
      </c>
      <c r="C1399" s="24" t="s">
        <v>5</v>
      </c>
      <c r="D1399" s="24">
        <v>0.6</v>
      </c>
      <c r="E1399" s="24" t="s">
        <v>796</v>
      </c>
      <c r="F1399" s="24" t="s">
        <v>877</v>
      </c>
      <c r="G1399" s="24">
        <v>172934</v>
      </c>
    </row>
    <row r="1400" spans="1:7" x14ac:dyDescent="0.25">
      <c r="A1400" s="24" t="s">
        <v>220</v>
      </c>
      <c r="B1400" s="24" t="s">
        <v>29</v>
      </c>
      <c r="C1400" s="24" t="s">
        <v>5</v>
      </c>
      <c r="D1400" s="24">
        <v>0.13</v>
      </c>
      <c r="E1400" s="24" t="s">
        <v>799</v>
      </c>
      <c r="F1400" s="24" t="s">
        <v>877</v>
      </c>
      <c r="G1400" s="24">
        <v>172934</v>
      </c>
    </row>
    <row r="1401" spans="1:7" x14ac:dyDescent="0.25">
      <c r="A1401" s="24" t="s">
        <v>220</v>
      </c>
      <c r="B1401" s="24" t="s">
        <v>35</v>
      </c>
      <c r="C1401" s="24" t="s">
        <v>36</v>
      </c>
      <c r="D1401" s="24">
        <v>1.6</v>
      </c>
      <c r="E1401" s="24" t="s">
        <v>796</v>
      </c>
      <c r="F1401" s="24" t="s">
        <v>877</v>
      </c>
      <c r="G1401" s="24">
        <v>172934</v>
      </c>
    </row>
    <row r="1402" spans="1:7" x14ac:dyDescent="0.25">
      <c r="A1402" s="24" t="s">
        <v>220</v>
      </c>
      <c r="B1402" s="24" t="s">
        <v>37</v>
      </c>
      <c r="C1402" s="24" t="s">
        <v>38</v>
      </c>
      <c r="D1402" s="24">
        <v>1.1000000000000001</v>
      </c>
      <c r="E1402" s="24" t="s">
        <v>796</v>
      </c>
      <c r="F1402" s="24" t="s">
        <v>877</v>
      </c>
      <c r="G1402" s="24">
        <v>172934</v>
      </c>
    </row>
    <row r="1403" spans="1:7" x14ac:dyDescent="0.25">
      <c r="A1403" s="24" t="s">
        <v>220</v>
      </c>
      <c r="B1403" s="24" t="s">
        <v>39</v>
      </c>
      <c r="C1403" s="24" t="s">
        <v>36</v>
      </c>
      <c r="D1403" s="24">
        <v>0.3</v>
      </c>
      <c r="E1403" s="24" t="s">
        <v>796</v>
      </c>
      <c r="F1403" s="24" t="s">
        <v>877</v>
      </c>
      <c r="G1403" s="24">
        <v>172934</v>
      </c>
    </row>
    <row r="1404" spans="1:7" x14ac:dyDescent="0.25">
      <c r="A1404" s="24" t="s">
        <v>220</v>
      </c>
      <c r="B1404" s="24" t="s">
        <v>58</v>
      </c>
      <c r="C1404" s="24" t="s">
        <v>5</v>
      </c>
      <c r="D1404" s="24">
        <v>0</v>
      </c>
      <c r="E1404" s="24" t="s">
        <v>795</v>
      </c>
      <c r="F1404" s="24"/>
      <c r="G1404" s="24"/>
    </row>
    <row r="1405" spans="1:7" x14ac:dyDescent="0.25">
      <c r="A1405" s="24" t="s">
        <v>221</v>
      </c>
      <c r="B1405" s="24" t="s">
        <v>29</v>
      </c>
      <c r="C1405" s="24" t="s">
        <v>5</v>
      </c>
      <c r="D1405" s="24">
        <v>0</v>
      </c>
      <c r="E1405" s="24" t="s">
        <v>799</v>
      </c>
      <c r="F1405" s="24" t="s">
        <v>878</v>
      </c>
      <c r="G1405" s="24">
        <v>172013</v>
      </c>
    </row>
    <row r="1406" spans="1:7" x14ac:dyDescent="0.25">
      <c r="A1406" s="24" t="s">
        <v>221</v>
      </c>
      <c r="B1406" s="24" t="s">
        <v>58</v>
      </c>
      <c r="C1406" s="24" t="s">
        <v>5</v>
      </c>
      <c r="D1406" s="24">
        <v>0</v>
      </c>
      <c r="E1406" s="24" t="s">
        <v>795</v>
      </c>
      <c r="F1406" s="24"/>
      <c r="G1406" s="24"/>
    </row>
    <row r="1407" spans="1:7" x14ac:dyDescent="0.25">
      <c r="A1407" s="24" t="s">
        <v>222</v>
      </c>
      <c r="B1407" s="24" t="s">
        <v>23</v>
      </c>
      <c r="C1407" s="24" t="s">
        <v>5</v>
      </c>
      <c r="D1407" s="24">
        <v>0</v>
      </c>
      <c r="E1407" s="24" t="s">
        <v>796</v>
      </c>
      <c r="F1407" s="24" t="s">
        <v>879</v>
      </c>
      <c r="G1407" s="24">
        <v>171475</v>
      </c>
    </row>
    <row r="1408" spans="1:7" x14ac:dyDescent="0.25">
      <c r="A1408" s="24" t="s">
        <v>222</v>
      </c>
      <c r="B1408" s="24" t="s">
        <v>26</v>
      </c>
      <c r="C1408" s="24" t="s">
        <v>5</v>
      </c>
      <c r="D1408" s="24">
        <v>3.97</v>
      </c>
      <c r="E1408" s="24" t="s">
        <v>799</v>
      </c>
      <c r="F1408" s="24" t="s">
        <v>879</v>
      </c>
      <c r="G1408" s="24">
        <v>171475</v>
      </c>
    </row>
    <row r="1409" spans="1:7" x14ac:dyDescent="0.25">
      <c r="A1409" s="24" t="s">
        <v>222</v>
      </c>
      <c r="B1409" s="24" t="s">
        <v>27</v>
      </c>
      <c r="C1409" s="24" t="s">
        <v>5</v>
      </c>
      <c r="D1409" s="24">
        <v>6.16</v>
      </c>
      <c r="E1409" s="24" t="s">
        <v>799</v>
      </c>
      <c r="F1409" s="24" t="s">
        <v>879</v>
      </c>
      <c r="G1409" s="24">
        <v>171475</v>
      </c>
    </row>
    <row r="1410" spans="1:7" x14ac:dyDescent="0.25">
      <c r="A1410" s="24" t="s">
        <v>222</v>
      </c>
      <c r="B1410" s="24" t="s">
        <v>28</v>
      </c>
      <c r="C1410" s="24" t="s">
        <v>5</v>
      </c>
      <c r="D1410" s="24">
        <v>3.48</v>
      </c>
      <c r="E1410" s="24" t="s">
        <v>799</v>
      </c>
      <c r="F1410" s="24" t="s">
        <v>879</v>
      </c>
      <c r="G1410" s="24">
        <v>171475</v>
      </c>
    </row>
    <row r="1411" spans="1:7" x14ac:dyDescent="0.25">
      <c r="A1411" s="24" t="s">
        <v>222</v>
      </c>
      <c r="B1411" s="24" t="s">
        <v>32</v>
      </c>
      <c r="C1411" s="24" t="s">
        <v>33</v>
      </c>
      <c r="D1411" s="24">
        <v>18.5</v>
      </c>
      <c r="E1411" s="24" t="s">
        <v>796</v>
      </c>
      <c r="F1411" s="24" t="s">
        <v>879</v>
      </c>
      <c r="G1411" s="24">
        <v>171475</v>
      </c>
    </row>
    <row r="1412" spans="1:7" x14ac:dyDescent="0.25">
      <c r="A1412" s="24" t="s">
        <v>222</v>
      </c>
      <c r="B1412" s="24" t="s">
        <v>34</v>
      </c>
      <c r="C1412" s="24" t="s">
        <v>31</v>
      </c>
      <c r="D1412" s="24">
        <v>0</v>
      </c>
      <c r="E1412" s="24" t="s">
        <v>796</v>
      </c>
      <c r="F1412" s="24" t="s">
        <v>879</v>
      </c>
      <c r="G1412" s="24">
        <v>171475</v>
      </c>
    </row>
    <row r="1413" spans="1:7" x14ac:dyDescent="0.25">
      <c r="A1413" s="24" t="s">
        <v>222</v>
      </c>
      <c r="B1413" s="24" t="s">
        <v>35</v>
      </c>
      <c r="C1413" s="24" t="s">
        <v>36</v>
      </c>
      <c r="D1413" s="24">
        <v>0.1</v>
      </c>
      <c r="E1413" s="24" t="s">
        <v>796</v>
      </c>
      <c r="F1413" s="24" t="s">
        <v>879</v>
      </c>
      <c r="G1413" s="24">
        <v>171475</v>
      </c>
    </row>
    <row r="1414" spans="1:7" x14ac:dyDescent="0.25">
      <c r="A1414" s="24" t="s">
        <v>222</v>
      </c>
      <c r="B1414" s="24" t="s">
        <v>37</v>
      </c>
      <c r="C1414" s="24" t="s">
        <v>38</v>
      </c>
      <c r="D1414" s="24">
        <v>1</v>
      </c>
      <c r="E1414" s="24" t="s">
        <v>796</v>
      </c>
      <c r="F1414" s="24" t="s">
        <v>879</v>
      </c>
      <c r="G1414" s="24">
        <v>171475</v>
      </c>
    </row>
    <row r="1415" spans="1:7" x14ac:dyDescent="0.25">
      <c r="A1415" s="24" t="s">
        <v>222</v>
      </c>
      <c r="B1415" s="24" t="s">
        <v>39</v>
      </c>
      <c r="C1415" s="24" t="s">
        <v>36</v>
      </c>
      <c r="D1415" s="24">
        <v>2.2000000000000002</v>
      </c>
      <c r="E1415" s="24" t="s">
        <v>796</v>
      </c>
      <c r="F1415" s="24" t="s">
        <v>879</v>
      </c>
      <c r="G1415" s="24">
        <v>171475</v>
      </c>
    </row>
    <row r="1416" spans="1:7" x14ac:dyDescent="0.25">
      <c r="A1416" s="24" t="s">
        <v>222</v>
      </c>
      <c r="B1416" s="24" t="s">
        <v>40</v>
      </c>
      <c r="C1416" s="24" t="s">
        <v>31</v>
      </c>
      <c r="D1416" s="24">
        <v>0.1</v>
      </c>
      <c r="E1416" s="24" t="s">
        <v>796</v>
      </c>
      <c r="F1416" s="24" t="s">
        <v>879</v>
      </c>
      <c r="G1416" s="24">
        <v>171475</v>
      </c>
    </row>
    <row r="1417" spans="1:7" x14ac:dyDescent="0.25">
      <c r="A1417" s="24" t="s">
        <v>222</v>
      </c>
      <c r="B1417" s="24" t="s">
        <v>41</v>
      </c>
      <c r="C1417" s="24" t="s">
        <v>31</v>
      </c>
      <c r="D1417" s="24">
        <v>0.1</v>
      </c>
      <c r="E1417" s="24" t="s">
        <v>796</v>
      </c>
      <c r="F1417" s="24" t="s">
        <v>879</v>
      </c>
      <c r="G1417" s="24">
        <v>171475</v>
      </c>
    </row>
    <row r="1418" spans="1:7" x14ac:dyDescent="0.25">
      <c r="A1418" s="24" t="s">
        <v>222</v>
      </c>
      <c r="B1418" s="24" t="s">
        <v>42</v>
      </c>
      <c r="C1418" s="24" t="s">
        <v>43</v>
      </c>
      <c r="D1418" s="24">
        <v>9.6999999999999993</v>
      </c>
      <c r="E1418" s="24" t="s">
        <v>796</v>
      </c>
      <c r="F1418" s="24" t="s">
        <v>879</v>
      </c>
      <c r="G1418" s="24">
        <v>171475</v>
      </c>
    </row>
    <row r="1419" spans="1:7" x14ac:dyDescent="0.25">
      <c r="A1419" s="24" t="s">
        <v>222</v>
      </c>
      <c r="B1419" s="24" t="s">
        <v>44</v>
      </c>
      <c r="C1419" s="24" t="s">
        <v>31</v>
      </c>
      <c r="D1419" s="24">
        <v>0.4</v>
      </c>
      <c r="E1419" s="24" t="s">
        <v>796</v>
      </c>
      <c r="F1419" s="24" t="s">
        <v>879</v>
      </c>
      <c r="G1419" s="24">
        <v>171475</v>
      </c>
    </row>
    <row r="1420" spans="1:7" x14ac:dyDescent="0.25">
      <c r="A1420" s="24" t="s">
        <v>222</v>
      </c>
      <c r="B1420" s="24" t="s">
        <v>45</v>
      </c>
      <c r="C1420" s="24" t="s">
        <v>31</v>
      </c>
      <c r="D1420" s="24">
        <v>0.8</v>
      </c>
      <c r="E1420" s="24" t="s">
        <v>796</v>
      </c>
      <c r="F1420" s="24" t="s">
        <v>879</v>
      </c>
      <c r="G1420" s="24">
        <v>171475</v>
      </c>
    </row>
    <row r="1421" spans="1:7" x14ac:dyDescent="0.25">
      <c r="A1421" s="24" t="s">
        <v>222</v>
      </c>
      <c r="B1421" s="24" t="s">
        <v>46</v>
      </c>
      <c r="C1421" s="24" t="s">
        <v>36</v>
      </c>
      <c r="D1421" s="24">
        <v>0.3</v>
      </c>
      <c r="E1421" s="24" t="s">
        <v>796</v>
      </c>
      <c r="F1421" s="24" t="s">
        <v>879</v>
      </c>
      <c r="G1421" s="24">
        <v>171475</v>
      </c>
    </row>
    <row r="1422" spans="1:7" x14ac:dyDescent="0.25">
      <c r="A1422" s="24" t="s">
        <v>222</v>
      </c>
      <c r="B1422" s="24" t="s">
        <v>47</v>
      </c>
      <c r="C1422" s="24" t="s">
        <v>48</v>
      </c>
      <c r="D1422" s="24">
        <v>19.399999999999999</v>
      </c>
      <c r="E1422" s="24" t="s">
        <v>796</v>
      </c>
      <c r="F1422" s="24" t="s">
        <v>879</v>
      </c>
      <c r="G1422" s="24">
        <v>171475</v>
      </c>
    </row>
    <row r="1423" spans="1:7" x14ac:dyDescent="0.25">
      <c r="A1423" s="24" t="s">
        <v>222</v>
      </c>
      <c r="B1423" s="24" t="s">
        <v>50</v>
      </c>
      <c r="C1423" s="24" t="s">
        <v>31</v>
      </c>
      <c r="D1423" s="24">
        <v>185.8</v>
      </c>
      <c r="E1423" s="24" t="s">
        <v>796</v>
      </c>
      <c r="F1423" s="24" t="s">
        <v>879</v>
      </c>
      <c r="G1423" s="24">
        <v>171475</v>
      </c>
    </row>
    <row r="1424" spans="1:7" x14ac:dyDescent="0.25">
      <c r="A1424" s="24" t="s">
        <v>222</v>
      </c>
      <c r="B1424" s="24" t="s">
        <v>51</v>
      </c>
      <c r="C1424" s="24" t="s">
        <v>31</v>
      </c>
      <c r="D1424" s="24">
        <v>18.5</v>
      </c>
      <c r="E1424" s="24" t="s">
        <v>796</v>
      </c>
      <c r="F1424" s="24" t="s">
        <v>879</v>
      </c>
      <c r="G1424" s="24">
        <v>171475</v>
      </c>
    </row>
    <row r="1425" spans="1:7" x14ac:dyDescent="0.25">
      <c r="A1425" s="24" t="s">
        <v>222</v>
      </c>
      <c r="B1425" s="24" t="s">
        <v>52</v>
      </c>
      <c r="C1425" s="24" t="s">
        <v>31</v>
      </c>
      <c r="D1425" s="24">
        <v>171</v>
      </c>
      <c r="E1425" s="24" t="s">
        <v>796</v>
      </c>
      <c r="F1425" s="24" t="s">
        <v>879</v>
      </c>
      <c r="G1425" s="24">
        <v>171475</v>
      </c>
    </row>
    <row r="1426" spans="1:7" x14ac:dyDescent="0.25">
      <c r="A1426" s="24" t="s">
        <v>222</v>
      </c>
      <c r="B1426" s="24" t="s">
        <v>53</v>
      </c>
      <c r="C1426" s="24" t="s">
        <v>31</v>
      </c>
      <c r="D1426" s="24">
        <v>22.2</v>
      </c>
      <c r="E1426" s="24" t="s">
        <v>796</v>
      </c>
      <c r="F1426" s="24" t="s">
        <v>879</v>
      </c>
      <c r="G1426" s="24">
        <v>171475</v>
      </c>
    </row>
    <row r="1427" spans="1:7" x14ac:dyDescent="0.25">
      <c r="A1427" s="24" t="s">
        <v>222</v>
      </c>
      <c r="B1427" s="24" t="s">
        <v>54</v>
      </c>
      <c r="C1427" s="24" t="s">
        <v>31</v>
      </c>
      <c r="D1427" s="24">
        <v>1.2</v>
      </c>
      <c r="E1427" s="24" t="s">
        <v>796</v>
      </c>
      <c r="F1427" s="24" t="s">
        <v>879</v>
      </c>
      <c r="G1427" s="24">
        <v>171475</v>
      </c>
    </row>
    <row r="1428" spans="1:7" x14ac:dyDescent="0.25">
      <c r="A1428" s="24" t="s">
        <v>222</v>
      </c>
      <c r="B1428" s="24" t="s">
        <v>55</v>
      </c>
      <c r="C1428" s="24" t="s">
        <v>31</v>
      </c>
      <c r="D1428" s="24">
        <v>0.9</v>
      </c>
      <c r="E1428" s="24" t="s">
        <v>796</v>
      </c>
      <c r="F1428" s="24" t="s">
        <v>879</v>
      </c>
      <c r="G1428" s="24">
        <v>171475</v>
      </c>
    </row>
    <row r="1429" spans="1:7" x14ac:dyDescent="0.25">
      <c r="A1429" s="24" t="s">
        <v>222</v>
      </c>
      <c r="B1429" s="24" t="s">
        <v>56</v>
      </c>
      <c r="C1429" s="24" t="s">
        <v>31</v>
      </c>
      <c r="D1429" s="24">
        <v>0.1</v>
      </c>
      <c r="E1429" s="24" t="s">
        <v>796</v>
      </c>
      <c r="F1429" s="24" t="s">
        <v>879</v>
      </c>
      <c r="G1429" s="24">
        <v>171475</v>
      </c>
    </row>
    <row r="1430" spans="1:7" x14ac:dyDescent="0.25">
      <c r="A1430" s="24" t="s">
        <v>222</v>
      </c>
      <c r="B1430" s="24" t="s">
        <v>57</v>
      </c>
      <c r="C1430" s="24" t="s">
        <v>36</v>
      </c>
      <c r="D1430" s="24">
        <v>25.9</v>
      </c>
      <c r="E1430" s="24" t="s">
        <v>796</v>
      </c>
      <c r="F1430" s="24" t="s">
        <v>879</v>
      </c>
      <c r="G1430" s="24">
        <v>171475</v>
      </c>
    </row>
    <row r="1431" spans="1:7" x14ac:dyDescent="0.25">
      <c r="A1431" s="24" t="s">
        <v>222</v>
      </c>
      <c r="B1431" s="24" t="s">
        <v>58</v>
      </c>
      <c r="C1431" s="24" t="s">
        <v>5</v>
      </c>
      <c r="D1431" s="24">
        <v>0</v>
      </c>
      <c r="E1431" s="24" t="s">
        <v>795</v>
      </c>
      <c r="F1431" s="24"/>
      <c r="G1431" s="24"/>
    </row>
    <row r="1432" spans="1:7" x14ac:dyDescent="0.25">
      <c r="A1432" s="24" t="s">
        <v>223</v>
      </c>
      <c r="B1432" s="24" t="s">
        <v>32</v>
      </c>
      <c r="C1432" s="24" t="s">
        <v>33</v>
      </c>
      <c r="D1432" s="24">
        <v>1240.4000000000001</v>
      </c>
      <c r="E1432" s="24" t="s">
        <v>796</v>
      </c>
      <c r="F1432" s="24" t="s">
        <v>880</v>
      </c>
      <c r="G1432" s="24">
        <v>172930</v>
      </c>
    </row>
    <row r="1433" spans="1:7" x14ac:dyDescent="0.25">
      <c r="A1433" s="24" t="s">
        <v>223</v>
      </c>
      <c r="B1433" s="24" t="s">
        <v>58</v>
      </c>
      <c r="C1433" s="24" t="s">
        <v>5</v>
      </c>
      <c r="D1433" s="24">
        <v>0</v>
      </c>
      <c r="E1433" s="24" t="s">
        <v>795</v>
      </c>
      <c r="F1433" s="24"/>
      <c r="G1433" s="24"/>
    </row>
    <row r="1434" spans="1:7" x14ac:dyDescent="0.25">
      <c r="A1434" s="24" t="s">
        <v>224</v>
      </c>
      <c r="B1434" s="24" t="s">
        <v>58</v>
      </c>
      <c r="C1434" s="24" t="s">
        <v>5</v>
      </c>
      <c r="D1434" s="24">
        <v>0</v>
      </c>
      <c r="E1434" s="24" t="s">
        <v>795</v>
      </c>
      <c r="F1434" s="24"/>
      <c r="G1434" s="24"/>
    </row>
    <row r="1435" spans="1:7" x14ac:dyDescent="0.25">
      <c r="A1435" s="24" t="s">
        <v>225</v>
      </c>
      <c r="B1435" s="24" t="s">
        <v>23</v>
      </c>
      <c r="C1435" s="24" t="s">
        <v>5</v>
      </c>
      <c r="D1435" s="24">
        <v>0.9</v>
      </c>
      <c r="E1435" s="24" t="s">
        <v>796</v>
      </c>
      <c r="F1435" s="24" t="s">
        <v>881</v>
      </c>
      <c r="G1435" s="24">
        <v>172941</v>
      </c>
    </row>
    <row r="1436" spans="1:7" x14ac:dyDescent="0.25">
      <c r="A1436" s="24" t="s">
        <v>225</v>
      </c>
      <c r="B1436" s="24" t="s">
        <v>32</v>
      </c>
      <c r="C1436" s="24" t="s">
        <v>33</v>
      </c>
      <c r="D1436" s="24">
        <v>0</v>
      </c>
      <c r="E1436" s="24" t="s">
        <v>796</v>
      </c>
      <c r="F1436" s="24" t="s">
        <v>881</v>
      </c>
      <c r="G1436" s="24">
        <v>172941</v>
      </c>
    </row>
    <row r="1437" spans="1:7" x14ac:dyDescent="0.25">
      <c r="A1437" s="24" t="s">
        <v>225</v>
      </c>
      <c r="B1437" s="24" t="s">
        <v>34</v>
      </c>
      <c r="C1437" s="24" t="s">
        <v>31</v>
      </c>
      <c r="D1437" s="24">
        <v>0</v>
      </c>
      <c r="E1437" s="24" t="s">
        <v>796</v>
      </c>
      <c r="F1437" s="24" t="s">
        <v>881</v>
      </c>
      <c r="G1437" s="24">
        <v>172941</v>
      </c>
    </row>
    <row r="1438" spans="1:7" x14ac:dyDescent="0.25">
      <c r="A1438" s="24" t="s">
        <v>225</v>
      </c>
      <c r="B1438" s="24" t="s">
        <v>35</v>
      </c>
      <c r="C1438" s="24" t="s">
        <v>36</v>
      </c>
      <c r="D1438" s="24">
        <v>0.2</v>
      </c>
      <c r="E1438" s="24" t="s">
        <v>796</v>
      </c>
      <c r="F1438" s="24" t="s">
        <v>881</v>
      </c>
      <c r="G1438" s="24">
        <v>172941</v>
      </c>
    </row>
    <row r="1439" spans="1:7" x14ac:dyDescent="0.25">
      <c r="A1439" s="24" t="s">
        <v>225</v>
      </c>
      <c r="B1439" s="24" t="s">
        <v>37</v>
      </c>
      <c r="C1439" s="24" t="s">
        <v>38</v>
      </c>
      <c r="D1439" s="24">
        <v>0.1</v>
      </c>
      <c r="E1439" s="24" t="s">
        <v>796</v>
      </c>
      <c r="F1439" s="24" t="s">
        <v>881</v>
      </c>
      <c r="G1439" s="24">
        <v>172941</v>
      </c>
    </row>
    <row r="1440" spans="1:7" x14ac:dyDescent="0.25">
      <c r="A1440" s="24" t="s">
        <v>225</v>
      </c>
      <c r="B1440" s="24" t="s">
        <v>39</v>
      </c>
      <c r="C1440" s="24" t="s">
        <v>36</v>
      </c>
      <c r="D1440" s="24">
        <v>0</v>
      </c>
      <c r="E1440" s="24" t="s">
        <v>796</v>
      </c>
      <c r="F1440" s="24" t="s">
        <v>881</v>
      </c>
      <c r="G1440" s="24">
        <v>172941</v>
      </c>
    </row>
    <row r="1441" spans="1:7" x14ac:dyDescent="0.25">
      <c r="A1441" s="24" t="s">
        <v>225</v>
      </c>
      <c r="B1441" s="24" t="s">
        <v>40</v>
      </c>
      <c r="C1441" s="24" t="s">
        <v>31</v>
      </c>
      <c r="D1441" s="24">
        <v>0</v>
      </c>
      <c r="E1441" s="24" t="s">
        <v>796</v>
      </c>
      <c r="F1441" s="24" t="s">
        <v>881</v>
      </c>
      <c r="G1441" s="24">
        <v>172941</v>
      </c>
    </row>
    <row r="1442" spans="1:7" x14ac:dyDescent="0.25">
      <c r="A1442" s="24" t="s">
        <v>225</v>
      </c>
      <c r="B1442" s="24" t="s">
        <v>41</v>
      </c>
      <c r="C1442" s="24" t="s">
        <v>31</v>
      </c>
      <c r="D1442" s="24">
        <v>0.1</v>
      </c>
      <c r="E1442" s="24" t="s">
        <v>796</v>
      </c>
      <c r="F1442" s="24" t="s">
        <v>881</v>
      </c>
      <c r="G1442" s="24">
        <v>172941</v>
      </c>
    </row>
    <row r="1443" spans="1:7" x14ac:dyDescent="0.25">
      <c r="A1443" s="24" t="s">
        <v>225</v>
      </c>
      <c r="B1443" s="24" t="s">
        <v>42</v>
      </c>
      <c r="C1443" s="24" t="s">
        <v>43</v>
      </c>
      <c r="D1443" s="24">
        <v>6.7</v>
      </c>
      <c r="E1443" s="24" t="s">
        <v>796</v>
      </c>
      <c r="F1443" s="24" t="s">
        <v>881</v>
      </c>
      <c r="G1443" s="24">
        <v>172941</v>
      </c>
    </row>
    <row r="1444" spans="1:7" x14ac:dyDescent="0.25">
      <c r="A1444" s="24" t="s">
        <v>225</v>
      </c>
      <c r="B1444" s="24" t="s">
        <v>44</v>
      </c>
      <c r="C1444" s="24" t="s">
        <v>31</v>
      </c>
      <c r="D1444" s="24">
        <v>0.4</v>
      </c>
      <c r="E1444" s="24" t="s">
        <v>796</v>
      </c>
      <c r="F1444" s="24" t="s">
        <v>881</v>
      </c>
      <c r="G1444" s="24">
        <v>172941</v>
      </c>
    </row>
    <row r="1445" spans="1:7" x14ac:dyDescent="0.25">
      <c r="A1445" s="24" t="s">
        <v>225</v>
      </c>
      <c r="B1445" s="24" t="s">
        <v>45</v>
      </c>
      <c r="C1445" s="24" t="s">
        <v>31</v>
      </c>
      <c r="D1445" s="24">
        <v>0.3</v>
      </c>
      <c r="E1445" s="24" t="s">
        <v>796</v>
      </c>
      <c r="F1445" s="24" t="s">
        <v>881</v>
      </c>
      <c r="G1445" s="24">
        <v>172941</v>
      </c>
    </row>
    <row r="1446" spans="1:7" x14ac:dyDescent="0.25">
      <c r="A1446" s="24" t="s">
        <v>225</v>
      </c>
      <c r="B1446" s="24" t="s">
        <v>46</v>
      </c>
      <c r="C1446" s="24" t="s">
        <v>36</v>
      </c>
      <c r="D1446" s="24">
        <v>0.3</v>
      </c>
      <c r="E1446" s="24" t="s">
        <v>796</v>
      </c>
      <c r="F1446" s="24" t="s">
        <v>881</v>
      </c>
      <c r="G1446" s="24">
        <v>172941</v>
      </c>
    </row>
    <row r="1447" spans="1:7" x14ac:dyDescent="0.25">
      <c r="A1447" s="24" t="s">
        <v>225</v>
      </c>
      <c r="B1447" s="24" t="s">
        <v>47</v>
      </c>
      <c r="C1447" s="24" t="s">
        <v>48</v>
      </c>
      <c r="D1447" s="24">
        <v>3.8</v>
      </c>
      <c r="E1447" s="24" t="s">
        <v>796</v>
      </c>
      <c r="F1447" s="24" t="s">
        <v>881</v>
      </c>
      <c r="G1447" s="24">
        <v>172941</v>
      </c>
    </row>
    <row r="1448" spans="1:7" x14ac:dyDescent="0.25">
      <c r="A1448" s="24" t="s">
        <v>225</v>
      </c>
      <c r="B1448" s="24" t="s">
        <v>50</v>
      </c>
      <c r="C1448" s="24" t="s">
        <v>31</v>
      </c>
      <c r="D1448" s="24">
        <v>349.1</v>
      </c>
      <c r="E1448" s="24" t="s">
        <v>796</v>
      </c>
      <c r="F1448" s="24" t="s">
        <v>881</v>
      </c>
      <c r="G1448" s="24">
        <v>172941</v>
      </c>
    </row>
    <row r="1449" spans="1:7" x14ac:dyDescent="0.25">
      <c r="A1449" s="24" t="s">
        <v>225</v>
      </c>
      <c r="B1449" s="24" t="s">
        <v>51</v>
      </c>
      <c r="C1449" s="24" t="s">
        <v>31</v>
      </c>
      <c r="D1449" s="24">
        <v>13.2</v>
      </c>
      <c r="E1449" s="24" t="s">
        <v>796</v>
      </c>
      <c r="F1449" s="24" t="s">
        <v>881</v>
      </c>
      <c r="G1449" s="24">
        <v>172941</v>
      </c>
    </row>
    <row r="1450" spans="1:7" x14ac:dyDescent="0.25">
      <c r="A1450" s="24" t="s">
        <v>225</v>
      </c>
      <c r="B1450" s="24" t="s">
        <v>52</v>
      </c>
      <c r="C1450" s="24" t="s">
        <v>31</v>
      </c>
      <c r="D1450" s="24">
        <v>234.3</v>
      </c>
      <c r="E1450" s="24" t="s">
        <v>796</v>
      </c>
      <c r="F1450" s="24" t="s">
        <v>881</v>
      </c>
      <c r="G1450" s="24">
        <v>172941</v>
      </c>
    </row>
    <row r="1451" spans="1:7" x14ac:dyDescent="0.25">
      <c r="A1451" s="24" t="s">
        <v>225</v>
      </c>
      <c r="B1451" s="24" t="s">
        <v>53</v>
      </c>
      <c r="C1451" s="24" t="s">
        <v>31</v>
      </c>
      <c r="D1451" s="24">
        <v>17.899999999999999</v>
      </c>
      <c r="E1451" s="24" t="s">
        <v>796</v>
      </c>
      <c r="F1451" s="24" t="s">
        <v>881</v>
      </c>
      <c r="G1451" s="24">
        <v>172941</v>
      </c>
    </row>
    <row r="1452" spans="1:7" x14ac:dyDescent="0.25">
      <c r="A1452" s="24" t="s">
        <v>225</v>
      </c>
      <c r="B1452" s="24" t="s">
        <v>54</v>
      </c>
      <c r="C1452" s="24" t="s">
        <v>31</v>
      </c>
      <c r="D1452" s="24">
        <v>0.4</v>
      </c>
      <c r="E1452" s="24" t="s">
        <v>796</v>
      </c>
      <c r="F1452" s="24" t="s">
        <v>881</v>
      </c>
      <c r="G1452" s="24">
        <v>172941</v>
      </c>
    </row>
    <row r="1453" spans="1:7" x14ac:dyDescent="0.25">
      <c r="A1453" s="24" t="s">
        <v>225</v>
      </c>
      <c r="B1453" s="24" t="s">
        <v>55</v>
      </c>
      <c r="C1453" s="24" t="s">
        <v>31</v>
      </c>
      <c r="D1453" s="24">
        <v>0.9</v>
      </c>
      <c r="E1453" s="24" t="s">
        <v>796</v>
      </c>
      <c r="F1453" s="24" t="s">
        <v>881</v>
      </c>
      <c r="G1453" s="24">
        <v>172941</v>
      </c>
    </row>
    <row r="1454" spans="1:7" x14ac:dyDescent="0.25">
      <c r="A1454" s="24" t="s">
        <v>225</v>
      </c>
      <c r="B1454" s="24" t="s">
        <v>56</v>
      </c>
      <c r="C1454" s="24" t="s">
        <v>31</v>
      </c>
      <c r="D1454" s="24">
        <v>0</v>
      </c>
      <c r="E1454" s="24" t="s">
        <v>796</v>
      </c>
      <c r="F1454" s="24" t="s">
        <v>881</v>
      </c>
      <c r="G1454" s="24">
        <v>172941</v>
      </c>
    </row>
    <row r="1455" spans="1:7" x14ac:dyDescent="0.25">
      <c r="A1455" s="24" t="s">
        <v>225</v>
      </c>
      <c r="B1455" s="24" t="s">
        <v>57</v>
      </c>
      <c r="C1455" s="24" t="s">
        <v>36</v>
      </c>
      <c r="D1455" s="24">
        <v>12.2</v>
      </c>
      <c r="E1455" s="24" t="s">
        <v>796</v>
      </c>
      <c r="F1455" s="24" t="s">
        <v>881</v>
      </c>
      <c r="G1455" s="24">
        <v>172941</v>
      </c>
    </row>
    <row r="1456" spans="1:7" x14ac:dyDescent="0.25">
      <c r="A1456" s="24" t="s">
        <v>225</v>
      </c>
      <c r="B1456" s="24" t="s">
        <v>58</v>
      </c>
      <c r="C1456" s="24" t="s">
        <v>5</v>
      </c>
      <c r="D1456" s="24">
        <v>0</v>
      </c>
      <c r="E1456" s="24" t="s">
        <v>795</v>
      </c>
      <c r="F1456" s="24"/>
      <c r="G1456" s="24"/>
    </row>
    <row r="1457" spans="1:7" x14ac:dyDescent="0.25">
      <c r="A1457" s="24" t="s">
        <v>226</v>
      </c>
      <c r="B1457" s="24" t="s">
        <v>23</v>
      </c>
      <c r="C1457" s="24" t="s">
        <v>5</v>
      </c>
      <c r="D1457" s="24">
        <v>0.9</v>
      </c>
      <c r="E1457" s="24" t="s">
        <v>796</v>
      </c>
      <c r="F1457" s="24" t="s">
        <v>881</v>
      </c>
      <c r="G1457" s="24">
        <v>172941</v>
      </c>
    </row>
    <row r="1458" spans="1:7" x14ac:dyDescent="0.25">
      <c r="A1458" s="24" t="s">
        <v>226</v>
      </c>
      <c r="B1458" s="24" t="s">
        <v>32</v>
      </c>
      <c r="C1458" s="24" t="s">
        <v>33</v>
      </c>
      <c r="D1458" s="24">
        <v>0</v>
      </c>
      <c r="E1458" s="24" t="s">
        <v>796</v>
      </c>
      <c r="F1458" s="24" t="s">
        <v>881</v>
      </c>
      <c r="G1458" s="24">
        <v>172941</v>
      </c>
    </row>
    <row r="1459" spans="1:7" x14ac:dyDescent="0.25">
      <c r="A1459" s="24" t="s">
        <v>226</v>
      </c>
      <c r="B1459" s="24" t="s">
        <v>34</v>
      </c>
      <c r="C1459" s="24" t="s">
        <v>31</v>
      </c>
      <c r="D1459" s="24">
        <v>0</v>
      </c>
      <c r="E1459" s="24" t="s">
        <v>796</v>
      </c>
      <c r="F1459" s="24" t="s">
        <v>881</v>
      </c>
      <c r="G1459" s="24">
        <v>172941</v>
      </c>
    </row>
    <row r="1460" spans="1:7" x14ac:dyDescent="0.25">
      <c r="A1460" s="24" t="s">
        <v>226</v>
      </c>
      <c r="B1460" s="24" t="s">
        <v>35</v>
      </c>
      <c r="C1460" s="24" t="s">
        <v>36</v>
      </c>
      <c r="D1460" s="24">
        <v>0.2</v>
      </c>
      <c r="E1460" s="24" t="s">
        <v>796</v>
      </c>
      <c r="F1460" s="24" t="s">
        <v>881</v>
      </c>
      <c r="G1460" s="24">
        <v>172941</v>
      </c>
    </row>
    <row r="1461" spans="1:7" x14ac:dyDescent="0.25">
      <c r="A1461" s="24" t="s">
        <v>226</v>
      </c>
      <c r="B1461" s="24" t="s">
        <v>37</v>
      </c>
      <c r="C1461" s="24" t="s">
        <v>38</v>
      </c>
      <c r="D1461" s="24">
        <v>0.1</v>
      </c>
      <c r="E1461" s="24" t="s">
        <v>796</v>
      </c>
      <c r="F1461" s="24" t="s">
        <v>881</v>
      </c>
      <c r="G1461" s="24">
        <v>172941</v>
      </c>
    </row>
    <row r="1462" spans="1:7" x14ac:dyDescent="0.25">
      <c r="A1462" s="24" t="s">
        <v>226</v>
      </c>
      <c r="B1462" s="24" t="s">
        <v>39</v>
      </c>
      <c r="C1462" s="24" t="s">
        <v>36</v>
      </c>
      <c r="D1462" s="24">
        <v>0</v>
      </c>
      <c r="E1462" s="24" t="s">
        <v>796</v>
      </c>
      <c r="F1462" s="24" t="s">
        <v>881</v>
      </c>
      <c r="G1462" s="24">
        <v>172941</v>
      </c>
    </row>
    <row r="1463" spans="1:7" x14ac:dyDescent="0.25">
      <c r="A1463" s="24" t="s">
        <v>226</v>
      </c>
      <c r="B1463" s="24" t="s">
        <v>40</v>
      </c>
      <c r="C1463" s="24" t="s">
        <v>31</v>
      </c>
      <c r="D1463" s="24">
        <v>0</v>
      </c>
      <c r="E1463" s="24" t="s">
        <v>796</v>
      </c>
      <c r="F1463" s="24" t="s">
        <v>881</v>
      </c>
      <c r="G1463" s="24">
        <v>172941</v>
      </c>
    </row>
    <row r="1464" spans="1:7" x14ac:dyDescent="0.25">
      <c r="A1464" s="24" t="s">
        <v>226</v>
      </c>
      <c r="B1464" s="24" t="s">
        <v>41</v>
      </c>
      <c r="C1464" s="24" t="s">
        <v>31</v>
      </c>
      <c r="D1464" s="24">
        <v>0.1</v>
      </c>
      <c r="E1464" s="24" t="s">
        <v>796</v>
      </c>
      <c r="F1464" s="24" t="s">
        <v>881</v>
      </c>
      <c r="G1464" s="24">
        <v>172941</v>
      </c>
    </row>
    <row r="1465" spans="1:7" x14ac:dyDescent="0.25">
      <c r="A1465" s="24" t="s">
        <v>226</v>
      </c>
      <c r="B1465" s="24" t="s">
        <v>42</v>
      </c>
      <c r="C1465" s="24" t="s">
        <v>43</v>
      </c>
      <c r="D1465" s="24">
        <v>6.9</v>
      </c>
      <c r="E1465" s="24" t="s">
        <v>796</v>
      </c>
      <c r="F1465" s="24" t="s">
        <v>881</v>
      </c>
      <c r="G1465" s="24">
        <v>172941</v>
      </c>
    </row>
    <row r="1466" spans="1:7" x14ac:dyDescent="0.25">
      <c r="A1466" s="24" t="s">
        <v>226</v>
      </c>
      <c r="B1466" s="24" t="s">
        <v>44</v>
      </c>
      <c r="C1466" s="24" t="s">
        <v>31</v>
      </c>
      <c r="D1466" s="24">
        <v>0.4</v>
      </c>
      <c r="E1466" s="24" t="s">
        <v>796</v>
      </c>
      <c r="F1466" s="24" t="s">
        <v>881</v>
      </c>
      <c r="G1466" s="24">
        <v>172941</v>
      </c>
    </row>
    <row r="1467" spans="1:7" x14ac:dyDescent="0.25">
      <c r="A1467" s="24" t="s">
        <v>226</v>
      </c>
      <c r="B1467" s="24" t="s">
        <v>45</v>
      </c>
      <c r="C1467" s="24" t="s">
        <v>31</v>
      </c>
      <c r="D1467" s="24">
        <v>0.3</v>
      </c>
      <c r="E1467" s="24" t="s">
        <v>796</v>
      </c>
      <c r="F1467" s="24" t="s">
        <v>881</v>
      </c>
      <c r="G1467" s="24">
        <v>172941</v>
      </c>
    </row>
    <row r="1468" spans="1:7" x14ac:dyDescent="0.25">
      <c r="A1468" s="24" t="s">
        <v>226</v>
      </c>
      <c r="B1468" s="24" t="s">
        <v>46</v>
      </c>
      <c r="C1468" s="24" t="s">
        <v>36</v>
      </c>
      <c r="D1468" s="24">
        <v>0.4</v>
      </c>
      <c r="E1468" s="24" t="s">
        <v>796</v>
      </c>
      <c r="F1468" s="24" t="s">
        <v>881</v>
      </c>
      <c r="G1468" s="24">
        <v>172941</v>
      </c>
    </row>
    <row r="1469" spans="1:7" x14ac:dyDescent="0.25">
      <c r="A1469" s="24" t="s">
        <v>226</v>
      </c>
      <c r="B1469" s="24" t="s">
        <v>47</v>
      </c>
      <c r="C1469" s="24" t="s">
        <v>48</v>
      </c>
      <c r="D1469" s="24">
        <v>3.8</v>
      </c>
      <c r="E1469" s="24" t="s">
        <v>796</v>
      </c>
      <c r="F1469" s="24" t="s">
        <v>881</v>
      </c>
      <c r="G1469" s="24">
        <v>172941</v>
      </c>
    </row>
    <row r="1470" spans="1:7" x14ac:dyDescent="0.25">
      <c r="A1470" s="24" t="s">
        <v>226</v>
      </c>
      <c r="B1470" s="24" t="s">
        <v>50</v>
      </c>
      <c r="C1470" s="24" t="s">
        <v>31</v>
      </c>
      <c r="D1470" s="24">
        <v>356.8</v>
      </c>
      <c r="E1470" s="24" t="s">
        <v>796</v>
      </c>
      <c r="F1470" s="24" t="s">
        <v>881</v>
      </c>
      <c r="G1470" s="24">
        <v>172941</v>
      </c>
    </row>
    <row r="1471" spans="1:7" x14ac:dyDescent="0.25">
      <c r="A1471" s="24" t="s">
        <v>226</v>
      </c>
      <c r="B1471" s="24" t="s">
        <v>51</v>
      </c>
      <c r="C1471" s="24" t="s">
        <v>31</v>
      </c>
      <c r="D1471" s="24">
        <v>13.5</v>
      </c>
      <c r="E1471" s="24" t="s">
        <v>796</v>
      </c>
      <c r="F1471" s="24" t="s">
        <v>881</v>
      </c>
      <c r="G1471" s="24">
        <v>172941</v>
      </c>
    </row>
    <row r="1472" spans="1:7" x14ac:dyDescent="0.25">
      <c r="A1472" s="24" t="s">
        <v>226</v>
      </c>
      <c r="B1472" s="24" t="s">
        <v>52</v>
      </c>
      <c r="C1472" s="24" t="s">
        <v>31</v>
      </c>
      <c r="D1472" s="24">
        <v>239.5</v>
      </c>
      <c r="E1472" s="24" t="s">
        <v>796</v>
      </c>
      <c r="F1472" s="24" t="s">
        <v>881</v>
      </c>
      <c r="G1472" s="24">
        <v>172941</v>
      </c>
    </row>
    <row r="1473" spans="1:7" x14ac:dyDescent="0.25">
      <c r="A1473" s="24" t="s">
        <v>226</v>
      </c>
      <c r="B1473" s="24" t="s">
        <v>53</v>
      </c>
      <c r="C1473" s="24" t="s">
        <v>31</v>
      </c>
      <c r="D1473" s="24">
        <v>18.3</v>
      </c>
      <c r="E1473" s="24" t="s">
        <v>796</v>
      </c>
      <c r="F1473" s="24" t="s">
        <v>881</v>
      </c>
      <c r="G1473" s="24">
        <v>172941</v>
      </c>
    </row>
    <row r="1474" spans="1:7" x14ac:dyDescent="0.25">
      <c r="A1474" s="24" t="s">
        <v>226</v>
      </c>
      <c r="B1474" s="24" t="s">
        <v>54</v>
      </c>
      <c r="C1474" s="24" t="s">
        <v>31</v>
      </c>
      <c r="D1474" s="24">
        <v>0.4</v>
      </c>
      <c r="E1474" s="24" t="s">
        <v>796</v>
      </c>
      <c r="F1474" s="24" t="s">
        <v>881</v>
      </c>
      <c r="G1474" s="24">
        <v>172941</v>
      </c>
    </row>
    <row r="1475" spans="1:7" x14ac:dyDescent="0.25">
      <c r="A1475" s="24" t="s">
        <v>226</v>
      </c>
      <c r="B1475" s="24" t="s">
        <v>55</v>
      </c>
      <c r="C1475" s="24" t="s">
        <v>31</v>
      </c>
      <c r="D1475" s="24">
        <v>0.9</v>
      </c>
      <c r="E1475" s="24" t="s">
        <v>796</v>
      </c>
      <c r="F1475" s="24" t="s">
        <v>881</v>
      </c>
      <c r="G1475" s="24">
        <v>172941</v>
      </c>
    </row>
    <row r="1476" spans="1:7" x14ac:dyDescent="0.25">
      <c r="A1476" s="24" t="s">
        <v>226</v>
      </c>
      <c r="B1476" s="24" t="s">
        <v>56</v>
      </c>
      <c r="C1476" s="24" t="s">
        <v>31</v>
      </c>
      <c r="D1476" s="24">
        <v>0</v>
      </c>
      <c r="E1476" s="24" t="s">
        <v>796</v>
      </c>
      <c r="F1476" s="24" t="s">
        <v>881</v>
      </c>
      <c r="G1476" s="24">
        <v>172941</v>
      </c>
    </row>
    <row r="1477" spans="1:7" x14ac:dyDescent="0.25">
      <c r="A1477" s="24" t="s">
        <v>226</v>
      </c>
      <c r="B1477" s="24" t="s">
        <v>57</v>
      </c>
      <c r="C1477" s="24" t="s">
        <v>36</v>
      </c>
      <c r="D1477" s="24">
        <v>12.5</v>
      </c>
      <c r="E1477" s="24" t="s">
        <v>796</v>
      </c>
      <c r="F1477" s="24" t="s">
        <v>881</v>
      </c>
      <c r="G1477" s="24">
        <v>172941</v>
      </c>
    </row>
    <row r="1478" spans="1:7" x14ac:dyDescent="0.25">
      <c r="A1478" s="24" t="s">
        <v>226</v>
      </c>
      <c r="B1478" s="24" t="s">
        <v>58</v>
      </c>
      <c r="C1478" s="24" t="s">
        <v>5</v>
      </c>
      <c r="D1478" s="24">
        <v>0</v>
      </c>
      <c r="E1478" s="24" t="s">
        <v>795</v>
      </c>
      <c r="F1478" s="24"/>
      <c r="G1478" s="24"/>
    </row>
    <row r="1479" spans="1:7" x14ac:dyDescent="0.25">
      <c r="A1479" s="24" t="s">
        <v>227</v>
      </c>
      <c r="B1479" s="24" t="s">
        <v>23</v>
      </c>
      <c r="C1479" s="24" t="s">
        <v>5</v>
      </c>
      <c r="D1479" s="24">
        <v>1.1000000000000001</v>
      </c>
      <c r="E1479" s="24" t="s">
        <v>796</v>
      </c>
      <c r="F1479" s="24" t="s">
        <v>881</v>
      </c>
      <c r="G1479" s="24">
        <v>172941</v>
      </c>
    </row>
    <row r="1480" spans="1:7" x14ac:dyDescent="0.25">
      <c r="A1480" s="24" t="s">
        <v>227</v>
      </c>
      <c r="B1480" s="24" t="s">
        <v>29</v>
      </c>
      <c r="C1480" s="24" t="s">
        <v>5</v>
      </c>
      <c r="D1480" s="24">
        <v>0.03</v>
      </c>
      <c r="E1480" s="24" t="s">
        <v>799</v>
      </c>
      <c r="F1480" s="24" t="s">
        <v>881</v>
      </c>
      <c r="G1480" s="24">
        <v>172941</v>
      </c>
    </row>
    <row r="1481" spans="1:7" x14ac:dyDescent="0.25">
      <c r="A1481" s="24" t="s">
        <v>227</v>
      </c>
      <c r="B1481" s="24" t="s">
        <v>35</v>
      </c>
      <c r="C1481" s="24" t="s">
        <v>36</v>
      </c>
      <c r="D1481" s="24">
        <v>0.2</v>
      </c>
      <c r="E1481" s="24" t="s">
        <v>796</v>
      </c>
      <c r="F1481" s="24" t="s">
        <v>881</v>
      </c>
      <c r="G1481" s="24">
        <v>172941</v>
      </c>
    </row>
    <row r="1482" spans="1:7" x14ac:dyDescent="0.25">
      <c r="A1482" s="24" t="s">
        <v>227</v>
      </c>
      <c r="B1482" s="24" t="s">
        <v>37</v>
      </c>
      <c r="C1482" s="24" t="s">
        <v>38</v>
      </c>
      <c r="D1482" s="24">
        <v>0.2</v>
      </c>
      <c r="E1482" s="24" t="s">
        <v>796</v>
      </c>
      <c r="F1482" s="24" t="s">
        <v>881</v>
      </c>
      <c r="G1482" s="24">
        <v>172941</v>
      </c>
    </row>
    <row r="1483" spans="1:7" x14ac:dyDescent="0.25">
      <c r="A1483" s="24" t="s">
        <v>227</v>
      </c>
      <c r="B1483" s="24" t="s">
        <v>39</v>
      </c>
      <c r="C1483" s="24" t="s">
        <v>36</v>
      </c>
      <c r="D1483" s="24">
        <v>0</v>
      </c>
      <c r="E1483" s="24" t="s">
        <v>796</v>
      </c>
      <c r="F1483" s="24" t="s">
        <v>881</v>
      </c>
      <c r="G1483" s="24">
        <v>172941</v>
      </c>
    </row>
    <row r="1484" spans="1:7" x14ac:dyDescent="0.25">
      <c r="A1484" s="24" t="s">
        <v>227</v>
      </c>
      <c r="B1484" s="24" t="s">
        <v>58</v>
      </c>
      <c r="C1484" s="24" t="s">
        <v>5</v>
      </c>
      <c r="D1484" s="24">
        <v>0</v>
      </c>
      <c r="E1484" s="24" t="s">
        <v>795</v>
      </c>
      <c r="F1484" s="24"/>
      <c r="G1484" s="24"/>
    </row>
    <row r="1485" spans="1:7" x14ac:dyDescent="0.25">
      <c r="A1485" s="24" t="s">
        <v>228</v>
      </c>
      <c r="B1485" s="24" t="s">
        <v>23</v>
      </c>
      <c r="C1485" s="24" t="s">
        <v>5</v>
      </c>
      <c r="D1485" s="24">
        <v>0.1</v>
      </c>
      <c r="E1485" s="24" t="s">
        <v>796</v>
      </c>
      <c r="F1485" s="24" t="s">
        <v>882</v>
      </c>
      <c r="G1485" s="24">
        <v>172963</v>
      </c>
    </row>
    <row r="1486" spans="1:7" x14ac:dyDescent="0.25">
      <c r="A1486" s="24" t="s">
        <v>228</v>
      </c>
      <c r="B1486" s="24" t="s">
        <v>26</v>
      </c>
      <c r="C1486" s="24" t="s">
        <v>5</v>
      </c>
      <c r="D1486" s="24">
        <v>0.77</v>
      </c>
      <c r="E1486" s="24" t="s">
        <v>799</v>
      </c>
      <c r="F1486" s="24" t="s">
        <v>882</v>
      </c>
      <c r="G1486" s="24">
        <v>172963</v>
      </c>
    </row>
    <row r="1487" spans="1:7" x14ac:dyDescent="0.25">
      <c r="A1487" s="24" t="s">
        <v>228</v>
      </c>
      <c r="B1487" s="24" t="s">
        <v>27</v>
      </c>
      <c r="C1487" s="24" t="s">
        <v>5</v>
      </c>
      <c r="D1487" s="24">
        <v>0.71</v>
      </c>
      <c r="E1487" s="24" t="s">
        <v>799</v>
      </c>
      <c r="F1487" s="24" t="s">
        <v>882</v>
      </c>
      <c r="G1487" s="24">
        <v>172963</v>
      </c>
    </row>
    <row r="1488" spans="1:7" x14ac:dyDescent="0.25">
      <c r="A1488" s="24" t="s">
        <v>228</v>
      </c>
      <c r="B1488" s="24" t="s">
        <v>28</v>
      </c>
      <c r="C1488" s="24" t="s">
        <v>5</v>
      </c>
      <c r="D1488" s="24">
        <v>0.43</v>
      </c>
      <c r="E1488" s="24" t="s">
        <v>799</v>
      </c>
      <c r="F1488" s="24" t="s">
        <v>882</v>
      </c>
      <c r="G1488" s="24">
        <v>172963</v>
      </c>
    </row>
    <row r="1489" spans="1:7" x14ac:dyDescent="0.25">
      <c r="A1489" s="24" t="s">
        <v>228</v>
      </c>
      <c r="B1489" s="24" t="s">
        <v>30</v>
      </c>
      <c r="C1489" s="24" t="s">
        <v>31</v>
      </c>
      <c r="D1489" s="24">
        <v>36</v>
      </c>
      <c r="E1489" s="24" t="s">
        <v>801</v>
      </c>
      <c r="F1489" s="24" t="s">
        <v>882</v>
      </c>
      <c r="G1489" s="24">
        <v>172963</v>
      </c>
    </row>
    <row r="1490" spans="1:7" x14ac:dyDescent="0.25">
      <c r="A1490" s="24" t="s">
        <v>228</v>
      </c>
      <c r="B1490" s="24" t="s">
        <v>32</v>
      </c>
      <c r="C1490" s="24" t="s">
        <v>33</v>
      </c>
      <c r="D1490" s="24">
        <v>0</v>
      </c>
      <c r="E1490" s="24" t="s">
        <v>796</v>
      </c>
      <c r="F1490" s="24" t="s">
        <v>882</v>
      </c>
      <c r="G1490" s="24">
        <v>172963</v>
      </c>
    </row>
    <row r="1491" spans="1:7" x14ac:dyDescent="0.25">
      <c r="A1491" s="24" t="s">
        <v>228</v>
      </c>
      <c r="B1491" s="24" t="s">
        <v>34</v>
      </c>
      <c r="C1491" s="24" t="s">
        <v>31</v>
      </c>
      <c r="D1491" s="24">
        <v>0</v>
      </c>
      <c r="E1491" s="24" t="s">
        <v>796</v>
      </c>
      <c r="F1491" s="24" t="s">
        <v>882</v>
      </c>
      <c r="G1491" s="24">
        <v>172963</v>
      </c>
    </row>
    <row r="1492" spans="1:7" x14ac:dyDescent="0.25">
      <c r="A1492" s="24" t="s">
        <v>228</v>
      </c>
      <c r="B1492" s="24" t="s">
        <v>39</v>
      </c>
      <c r="C1492" s="24" t="s">
        <v>36</v>
      </c>
      <c r="D1492" s="24">
        <v>0</v>
      </c>
      <c r="E1492" s="24" t="s">
        <v>796</v>
      </c>
      <c r="F1492" s="24" t="s">
        <v>882</v>
      </c>
      <c r="G1492" s="24">
        <v>172963</v>
      </c>
    </row>
    <row r="1493" spans="1:7" x14ac:dyDescent="0.25">
      <c r="A1493" s="24" t="s">
        <v>228</v>
      </c>
      <c r="B1493" s="24" t="s">
        <v>40</v>
      </c>
      <c r="C1493" s="24" t="s">
        <v>31</v>
      </c>
      <c r="D1493" s="24">
        <v>0</v>
      </c>
      <c r="E1493" s="24" t="s">
        <v>796</v>
      </c>
      <c r="F1493" s="24" t="s">
        <v>882</v>
      </c>
      <c r="G1493" s="24">
        <v>172963</v>
      </c>
    </row>
    <row r="1494" spans="1:7" x14ac:dyDescent="0.25">
      <c r="A1494" s="24" t="s">
        <v>228</v>
      </c>
      <c r="B1494" s="24" t="s">
        <v>41</v>
      </c>
      <c r="C1494" s="24" t="s">
        <v>31</v>
      </c>
      <c r="D1494" s="24">
        <v>0</v>
      </c>
      <c r="E1494" s="24" t="s">
        <v>796</v>
      </c>
      <c r="F1494" s="24" t="s">
        <v>882</v>
      </c>
      <c r="G1494" s="24">
        <v>172963</v>
      </c>
    </row>
    <row r="1495" spans="1:7" x14ac:dyDescent="0.25">
      <c r="A1495" s="24" t="s">
        <v>228</v>
      </c>
      <c r="B1495" s="24" t="s">
        <v>42</v>
      </c>
      <c r="C1495" s="24" t="s">
        <v>43</v>
      </c>
      <c r="D1495" s="24">
        <v>3.7</v>
      </c>
      <c r="E1495" s="24" t="s">
        <v>796</v>
      </c>
      <c r="F1495" s="24" t="s">
        <v>882</v>
      </c>
      <c r="G1495" s="24">
        <v>172963</v>
      </c>
    </row>
    <row r="1496" spans="1:7" x14ac:dyDescent="0.25">
      <c r="A1496" s="24" t="s">
        <v>228</v>
      </c>
      <c r="B1496" s="24" t="s">
        <v>44</v>
      </c>
      <c r="C1496" s="24" t="s">
        <v>31</v>
      </c>
      <c r="D1496" s="24">
        <v>0.2</v>
      </c>
      <c r="E1496" s="24" t="s">
        <v>796</v>
      </c>
      <c r="F1496" s="24" t="s">
        <v>882</v>
      </c>
      <c r="G1496" s="24">
        <v>172963</v>
      </c>
    </row>
    <row r="1497" spans="1:7" x14ac:dyDescent="0.25">
      <c r="A1497" s="24" t="s">
        <v>228</v>
      </c>
      <c r="B1497" s="24" t="s">
        <v>45</v>
      </c>
      <c r="C1497" s="24" t="s">
        <v>31</v>
      </c>
      <c r="D1497" s="24">
        <v>0.3</v>
      </c>
      <c r="E1497" s="24" t="s">
        <v>796</v>
      </c>
      <c r="F1497" s="24" t="s">
        <v>882</v>
      </c>
      <c r="G1497" s="24">
        <v>172963</v>
      </c>
    </row>
    <row r="1498" spans="1:7" x14ac:dyDescent="0.25">
      <c r="A1498" s="24" t="s">
        <v>228</v>
      </c>
      <c r="B1498" s="24" t="s">
        <v>46</v>
      </c>
      <c r="C1498" s="24" t="s">
        <v>36</v>
      </c>
      <c r="D1498" s="24">
        <v>0.1</v>
      </c>
      <c r="E1498" s="24" t="s">
        <v>796</v>
      </c>
      <c r="F1498" s="24" t="s">
        <v>882</v>
      </c>
      <c r="G1498" s="24">
        <v>172963</v>
      </c>
    </row>
    <row r="1499" spans="1:7" x14ac:dyDescent="0.25">
      <c r="A1499" s="24" t="s">
        <v>228</v>
      </c>
      <c r="B1499" s="24" t="s">
        <v>47</v>
      </c>
      <c r="C1499" s="24" t="s">
        <v>48</v>
      </c>
      <c r="D1499" s="24">
        <v>1.1000000000000001</v>
      </c>
      <c r="E1499" s="24" t="s">
        <v>796</v>
      </c>
      <c r="F1499" s="24" t="s">
        <v>882</v>
      </c>
      <c r="G1499" s="24">
        <v>172963</v>
      </c>
    </row>
    <row r="1500" spans="1:7" x14ac:dyDescent="0.25">
      <c r="A1500" s="24" t="s">
        <v>228</v>
      </c>
      <c r="B1500" s="24" t="s">
        <v>50</v>
      </c>
      <c r="C1500" s="24" t="s">
        <v>31</v>
      </c>
      <c r="D1500" s="24">
        <v>72.2</v>
      </c>
      <c r="E1500" s="24" t="s">
        <v>796</v>
      </c>
      <c r="F1500" s="24" t="s">
        <v>882</v>
      </c>
      <c r="G1500" s="24">
        <v>172963</v>
      </c>
    </row>
    <row r="1501" spans="1:7" x14ac:dyDescent="0.25">
      <c r="A1501" s="24" t="s">
        <v>228</v>
      </c>
      <c r="B1501" s="24" t="s">
        <v>51</v>
      </c>
      <c r="C1501" s="24" t="s">
        <v>31</v>
      </c>
      <c r="D1501" s="24">
        <v>6.5</v>
      </c>
      <c r="E1501" s="24" t="s">
        <v>796</v>
      </c>
      <c r="F1501" s="24" t="s">
        <v>882</v>
      </c>
      <c r="G1501" s="24">
        <v>172963</v>
      </c>
    </row>
    <row r="1502" spans="1:7" x14ac:dyDescent="0.25">
      <c r="A1502" s="24" t="s">
        <v>228</v>
      </c>
      <c r="B1502" s="24" t="s">
        <v>52</v>
      </c>
      <c r="C1502" s="24" t="s">
        <v>31</v>
      </c>
      <c r="D1502" s="24">
        <v>64.7</v>
      </c>
      <c r="E1502" s="24" t="s">
        <v>796</v>
      </c>
      <c r="F1502" s="24" t="s">
        <v>882</v>
      </c>
      <c r="G1502" s="24">
        <v>172963</v>
      </c>
    </row>
    <row r="1503" spans="1:7" x14ac:dyDescent="0.25">
      <c r="A1503" s="24" t="s">
        <v>228</v>
      </c>
      <c r="B1503" s="24" t="s">
        <v>53</v>
      </c>
      <c r="C1503" s="24" t="s">
        <v>31</v>
      </c>
      <c r="D1503" s="24">
        <v>9.6999999999999993</v>
      </c>
      <c r="E1503" s="24" t="s">
        <v>796</v>
      </c>
      <c r="F1503" s="24" t="s">
        <v>882</v>
      </c>
      <c r="G1503" s="24">
        <v>172963</v>
      </c>
    </row>
    <row r="1504" spans="1:7" x14ac:dyDescent="0.25">
      <c r="A1504" s="24" t="s">
        <v>228</v>
      </c>
      <c r="B1504" s="24" t="s">
        <v>54</v>
      </c>
      <c r="C1504" s="24" t="s">
        <v>31</v>
      </c>
      <c r="D1504" s="24">
        <v>0.3</v>
      </c>
      <c r="E1504" s="24" t="s">
        <v>796</v>
      </c>
      <c r="F1504" s="24" t="s">
        <v>882</v>
      </c>
      <c r="G1504" s="24">
        <v>172963</v>
      </c>
    </row>
    <row r="1505" spans="1:7" x14ac:dyDescent="0.25">
      <c r="A1505" s="24" t="s">
        <v>228</v>
      </c>
      <c r="B1505" s="24" t="s">
        <v>55</v>
      </c>
      <c r="C1505" s="24" t="s">
        <v>31</v>
      </c>
      <c r="D1505" s="24">
        <v>0.3</v>
      </c>
      <c r="E1505" s="24" t="s">
        <v>796</v>
      </c>
      <c r="F1505" s="24" t="s">
        <v>882</v>
      </c>
      <c r="G1505" s="24">
        <v>172963</v>
      </c>
    </row>
    <row r="1506" spans="1:7" x14ac:dyDescent="0.25">
      <c r="A1506" s="24" t="s">
        <v>228</v>
      </c>
      <c r="B1506" s="24" t="s">
        <v>56</v>
      </c>
      <c r="C1506" s="24" t="s">
        <v>31</v>
      </c>
      <c r="D1506" s="24">
        <v>0</v>
      </c>
      <c r="E1506" s="24" t="s">
        <v>796</v>
      </c>
      <c r="F1506" s="24" t="s">
        <v>882</v>
      </c>
      <c r="G1506" s="24">
        <v>172963</v>
      </c>
    </row>
    <row r="1507" spans="1:7" x14ac:dyDescent="0.25">
      <c r="A1507" s="24" t="s">
        <v>228</v>
      </c>
      <c r="B1507" s="24" t="s">
        <v>57</v>
      </c>
      <c r="C1507" s="24" t="s">
        <v>36</v>
      </c>
      <c r="D1507" s="24">
        <v>8.1999999999999993</v>
      </c>
      <c r="E1507" s="24" t="s">
        <v>796</v>
      </c>
      <c r="F1507" s="24" t="s">
        <v>882</v>
      </c>
      <c r="G1507" s="24">
        <v>172963</v>
      </c>
    </row>
    <row r="1508" spans="1:7" x14ac:dyDescent="0.25">
      <c r="A1508" s="24" t="s">
        <v>228</v>
      </c>
      <c r="B1508" s="24" t="s">
        <v>58</v>
      </c>
      <c r="C1508" s="24" t="s">
        <v>5</v>
      </c>
      <c r="D1508" s="24">
        <v>0</v>
      </c>
      <c r="E1508" s="24" t="s">
        <v>795</v>
      </c>
      <c r="F1508" s="24"/>
      <c r="G1508" s="24"/>
    </row>
    <row r="1509" spans="1:7" x14ac:dyDescent="0.25">
      <c r="A1509" s="24" t="s">
        <v>229</v>
      </c>
      <c r="B1509" s="24" t="s">
        <v>29</v>
      </c>
      <c r="C1509" s="24" t="s">
        <v>5</v>
      </c>
      <c r="D1509" s="24">
        <v>1.53</v>
      </c>
      <c r="E1509" s="24" t="s">
        <v>799</v>
      </c>
      <c r="F1509" s="24" t="s">
        <v>883</v>
      </c>
      <c r="G1509" s="24">
        <v>174575</v>
      </c>
    </row>
    <row r="1510" spans="1:7" x14ac:dyDescent="0.25">
      <c r="A1510" s="24" t="s">
        <v>229</v>
      </c>
      <c r="B1510" s="24" t="s">
        <v>58</v>
      </c>
      <c r="C1510" s="24" t="s">
        <v>5</v>
      </c>
      <c r="D1510" s="24">
        <v>0</v>
      </c>
      <c r="E1510" s="24" t="s">
        <v>795</v>
      </c>
      <c r="F1510" s="24"/>
      <c r="G1510" s="24"/>
    </row>
    <row r="1511" spans="1:7" x14ac:dyDescent="0.25">
      <c r="A1511" s="24" t="s">
        <v>230</v>
      </c>
      <c r="B1511" s="24" t="s">
        <v>32</v>
      </c>
      <c r="C1511" s="24" t="s">
        <v>33</v>
      </c>
      <c r="D1511" s="24">
        <v>2.4</v>
      </c>
      <c r="E1511" s="24" t="s">
        <v>796</v>
      </c>
      <c r="F1511" s="24" t="s">
        <v>884</v>
      </c>
      <c r="G1511" s="24">
        <v>168223</v>
      </c>
    </row>
    <row r="1512" spans="1:7" x14ac:dyDescent="0.25">
      <c r="A1512" s="24" t="s">
        <v>230</v>
      </c>
      <c r="B1512" s="24" t="s">
        <v>34</v>
      </c>
      <c r="C1512" s="24" t="s">
        <v>31</v>
      </c>
      <c r="D1512" s="24">
        <v>0.2</v>
      </c>
      <c r="E1512" s="24" t="s">
        <v>796</v>
      </c>
      <c r="F1512" s="24" t="s">
        <v>884</v>
      </c>
      <c r="G1512" s="24">
        <v>168223</v>
      </c>
    </row>
    <row r="1513" spans="1:7" x14ac:dyDescent="0.25">
      <c r="A1513" s="24" t="s">
        <v>230</v>
      </c>
      <c r="B1513" s="24" t="s">
        <v>35</v>
      </c>
      <c r="C1513" s="24" t="s">
        <v>36</v>
      </c>
      <c r="D1513" s="24">
        <v>0.6</v>
      </c>
      <c r="E1513" s="24" t="s">
        <v>796</v>
      </c>
      <c r="F1513" s="24" t="s">
        <v>884</v>
      </c>
      <c r="G1513" s="24">
        <v>168223</v>
      </c>
    </row>
    <row r="1514" spans="1:7" x14ac:dyDescent="0.25">
      <c r="A1514" s="24" t="s">
        <v>230</v>
      </c>
      <c r="B1514" s="24" t="s">
        <v>37</v>
      </c>
      <c r="C1514" s="24" t="s">
        <v>38</v>
      </c>
      <c r="D1514" s="24">
        <v>0.2</v>
      </c>
      <c r="E1514" s="24" t="s">
        <v>796</v>
      </c>
      <c r="F1514" s="24" t="s">
        <v>884</v>
      </c>
      <c r="G1514" s="24">
        <v>168223</v>
      </c>
    </row>
    <row r="1515" spans="1:7" x14ac:dyDescent="0.25">
      <c r="A1515" s="24" t="s">
        <v>230</v>
      </c>
      <c r="B1515" s="24" t="s">
        <v>39</v>
      </c>
      <c r="C1515" s="24" t="s">
        <v>36</v>
      </c>
      <c r="D1515" s="24">
        <v>0</v>
      </c>
      <c r="E1515" s="24" t="s">
        <v>796</v>
      </c>
      <c r="F1515" s="24" t="s">
        <v>884</v>
      </c>
      <c r="G1515" s="24">
        <v>168223</v>
      </c>
    </row>
    <row r="1516" spans="1:7" x14ac:dyDescent="0.25">
      <c r="A1516" s="24" t="s">
        <v>230</v>
      </c>
      <c r="B1516" s="24" t="s">
        <v>40</v>
      </c>
      <c r="C1516" s="24" t="s">
        <v>31</v>
      </c>
      <c r="D1516" s="24">
        <v>0.5</v>
      </c>
      <c r="E1516" s="24" t="s">
        <v>796</v>
      </c>
      <c r="F1516" s="24" t="s">
        <v>884</v>
      </c>
      <c r="G1516" s="24">
        <v>168223</v>
      </c>
    </row>
    <row r="1517" spans="1:7" x14ac:dyDescent="0.25">
      <c r="A1517" s="24" t="s">
        <v>230</v>
      </c>
      <c r="B1517" s="24" t="s">
        <v>41</v>
      </c>
      <c r="C1517" s="24" t="s">
        <v>31</v>
      </c>
      <c r="D1517" s="24">
        <v>0.3</v>
      </c>
      <c r="E1517" s="24" t="s">
        <v>796</v>
      </c>
      <c r="F1517" s="24" t="s">
        <v>884</v>
      </c>
      <c r="G1517" s="24">
        <v>168223</v>
      </c>
    </row>
    <row r="1518" spans="1:7" x14ac:dyDescent="0.25">
      <c r="A1518" s="24" t="s">
        <v>230</v>
      </c>
      <c r="B1518" s="24" t="s">
        <v>42</v>
      </c>
      <c r="C1518" s="24" t="s">
        <v>43</v>
      </c>
      <c r="D1518" s="24">
        <v>3.7</v>
      </c>
      <c r="E1518" s="24" t="s">
        <v>796</v>
      </c>
      <c r="F1518" s="24" t="s">
        <v>884</v>
      </c>
      <c r="G1518" s="24">
        <v>168223</v>
      </c>
    </row>
    <row r="1519" spans="1:7" x14ac:dyDescent="0.25">
      <c r="A1519" s="24" t="s">
        <v>230</v>
      </c>
      <c r="B1519" s="24" t="s">
        <v>44</v>
      </c>
      <c r="C1519" s="24" t="s">
        <v>31</v>
      </c>
      <c r="D1519" s="24">
        <v>0.3</v>
      </c>
      <c r="E1519" s="24" t="s">
        <v>796</v>
      </c>
      <c r="F1519" s="24" t="s">
        <v>884</v>
      </c>
      <c r="G1519" s="24">
        <v>168223</v>
      </c>
    </row>
    <row r="1520" spans="1:7" x14ac:dyDescent="0.25">
      <c r="A1520" s="24" t="s">
        <v>230</v>
      </c>
      <c r="B1520" s="24" t="s">
        <v>45</v>
      </c>
      <c r="C1520" s="24" t="s">
        <v>31</v>
      </c>
      <c r="D1520" s="24">
        <v>0.5</v>
      </c>
      <c r="E1520" s="24" t="s">
        <v>796</v>
      </c>
      <c r="F1520" s="24" t="s">
        <v>884</v>
      </c>
      <c r="G1520" s="24">
        <v>168223</v>
      </c>
    </row>
    <row r="1521" spans="1:7" x14ac:dyDescent="0.25">
      <c r="A1521" s="24" t="s">
        <v>230</v>
      </c>
      <c r="B1521" s="24" t="s">
        <v>46</v>
      </c>
      <c r="C1521" s="24" t="s">
        <v>36</v>
      </c>
      <c r="D1521" s="24">
        <v>0.6</v>
      </c>
      <c r="E1521" s="24" t="s">
        <v>796</v>
      </c>
      <c r="F1521" s="24" t="s">
        <v>884</v>
      </c>
      <c r="G1521" s="24">
        <v>168223</v>
      </c>
    </row>
    <row r="1522" spans="1:7" x14ac:dyDescent="0.25">
      <c r="A1522" s="24" t="s">
        <v>230</v>
      </c>
      <c r="B1522" s="24" t="s">
        <v>47</v>
      </c>
      <c r="C1522" s="24" t="s">
        <v>48</v>
      </c>
      <c r="D1522" s="24">
        <v>8.1</v>
      </c>
      <c r="E1522" s="24" t="s">
        <v>796</v>
      </c>
      <c r="F1522" s="24" t="s">
        <v>884</v>
      </c>
      <c r="G1522" s="24">
        <v>168223</v>
      </c>
    </row>
    <row r="1523" spans="1:7" x14ac:dyDescent="0.25">
      <c r="A1523" s="24" t="s">
        <v>230</v>
      </c>
      <c r="B1523" s="24" t="s">
        <v>50</v>
      </c>
      <c r="C1523" s="24" t="s">
        <v>31</v>
      </c>
      <c r="D1523" s="24">
        <v>285</v>
      </c>
      <c r="E1523" s="24" t="s">
        <v>796</v>
      </c>
      <c r="F1523" s="24" t="s">
        <v>884</v>
      </c>
      <c r="G1523" s="24">
        <v>168223</v>
      </c>
    </row>
    <row r="1524" spans="1:7" x14ac:dyDescent="0.25">
      <c r="A1524" s="24" t="s">
        <v>230</v>
      </c>
      <c r="B1524" s="24" t="s">
        <v>51</v>
      </c>
      <c r="C1524" s="24" t="s">
        <v>31</v>
      </c>
      <c r="D1524" s="24">
        <v>11.3</v>
      </c>
      <c r="E1524" s="24" t="s">
        <v>796</v>
      </c>
      <c r="F1524" s="24" t="s">
        <v>884</v>
      </c>
      <c r="G1524" s="24">
        <v>168223</v>
      </c>
    </row>
    <row r="1525" spans="1:7" x14ac:dyDescent="0.25">
      <c r="A1525" s="24" t="s">
        <v>230</v>
      </c>
      <c r="B1525" s="24" t="s">
        <v>52</v>
      </c>
      <c r="C1525" s="24" t="s">
        <v>31</v>
      </c>
      <c r="D1525" s="24">
        <v>212.9</v>
      </c>
      <c r="E1525" s="24" t="s">
        <v>796</v>
      </c>
      <c r="F1525" s="24" t="s">
        <v>884</v>
      </c>
      <c r="G1525" s="24">
        <v>168223</v>
      </c>
    </row>
    <row r="1526" spans="1:7" x14ac:dyDescent="0.25">
      <c r="A1526" s="24" t="s">
        <v>230</v>
      </c>
      <c r="B1526" s="24" t="s">
        <v>53</v>
      </c>
      <c r="C1526" s="24" t="s">
        <v>31</v>
      </c>
      <c r="D1526" s="24">
        <v>17.8</v>
      </c>
      <c r="E1526" s="24" t="s">
        <v>796</v>
      </c>
      <c r="F1526" s="24" t="s">
        <v>884</v>
      </c>
      <c r="G1526" s="24">
        <v>168223</v>
      </c>
    </row>
    <row r="1527" spans="1:7" x14ac:dyDescent="0.25">
      <c r="A1527" s="24" t="s">
        <v>230</v>
      </c>
      <c r="B1527" s="24" t="s">
        <v>54</v>
      </c>
      <c r="C1527" s="24" t="s">
        <v>31</v>
      </c>
      <c r="D1527" s="24">
        <v>0.8</v>
      </c>
      <c r="E1527" s="24" t="s">
        <v>796</v>
      </c>
      <c r="F1527" s="24" t="s">
        <v>884</v>
      </c>
      <c r="G1527" s="24">
        <v>168223</v>
      </c>
    </row>
    <row r="1528" spans="1:7" x14ac:dyDescent="0.25">
      <c r="A1528" s="24" t="s">
        <v>230</v>
      </c>
      <c r="B1528" s="24" t="s">
        <v>55</v>
      </c>
      <c r="C1528" s="24" t="s">
        <v>31</v>
      </c>
      <c r="D1528" s="24">
        <v>2.4</v>
      </c>
      <c r="E1528" s="24" t="s">
        <v>796</v>
      </c>
      <c r="F1528" s="24" t="s">
        <v>884</v>
      </c>
      <c r="G1528" s="24">
        <v>168223</v>
      </c>
    </row>
    <row r="1529" spans="1:7" x14ac:dyDescent="0.25">
      <c r="A1529" s="24" t="s">
        <v>230</v>
      </c>
      <c r="B1529" s="24" t="s">
        <v>56</v>
      </c>
      <c r="C1529" s="24" t="s">
        <v>31</v>
      </c>
      <c r="D1529" s="24">
        <v>0.1</v>
      </c>
      <c r="E1529" s="24" t="s">
        <v>796</v>
      </c>
      <c r="F1529" s="24" t="s">
        <v>884</v>
      </c>
      <c r="G1529" s="24">
        <v>168223</v>
      </c>
    </row>
    <row r="1530" spans="1:7" x14ac:dyDescent="0.25">
      <c r="A1530" s="24" t="s">
        <v>230</v>
      </c>
      <c r="B1530" s="24" t="s">
        <v>57</v>
      </c>
      <c r="C1530" s="24" t="s">
        <v>36</v>
      </c>
      <c r="D1530" s="24">
        <v>36.700000000000003</v>
      </c>
      <c r="E1530" s="24" t="s">
        <v>796</v>
      </c>
      <c r="F1530" s="24" t="s">
        <v>884</v>
      </c>
      <c r="G1530" s="24">
        <v>168223</v>
      </c>
    </row>
    <row r="1531" spans="1:7" x14ac:dyDescent="0.25">
      <c r="A1531" s="24" t="s">
        <v>230</v>
      </c>
      <c r="B1531" s="24" t="s">
        <v>58</v>
      </c>
      <c r="C1531" s="24" t="s">
        <v>5</v>
      </c>
      <c r="D1531" s="24">
        <v>0</v>
      </c>
      <c r="E1531" s="24" t="s">
        <v>795</v>
      </c>
      <c r="F1531" s="24"/>
      <c r="G1531" s="24"/>
    </row>
    <row r="1532" spans="1:7" x14ac:dyDescent="0.25">
      <c r="A1532" s="24" t="s">
        <v>231</v>
      </c>
      <c r="B1532" s="24" t="s">
        <v>32</v>
      </c>
      <c r="C1532" s="24" t="s">
        <v>33</v>
      </c>
      <c r="D1532" s="24">
        <v>0</v>
      </c>
      <c r="E1532" s="24" t="s">
        <v>796</v>
      </c>
      <c r="F1532" s="24" t="s">
        <v>885</v>
      </c>
      <c r="G1532" s="24">
        <v>171618</v>
      </c>
    </row>
    <row r="1533" spans="1:7" x14ac:dyDescent="0.25">
      <c r="A1533" s="24" t="s">
        <v>231</v>
      </c>
      <c r="B1533" s="24" t="s">
        <v>34</v>
      </c>
      <c r="C1533" s="24" t="s">
        <v>31</v>
      </c>
      <c r="D1533" s="24">
        <v>0</v>
      </c>
      <c r="E1533" s="24" t="s">
        <v>796</v>
      </c>
      <c r="F1533" s="24" t="s">
        <v>885</v>
      </c>
      <c r="G1533" s="24">
        <v>171618</v>
      </c>
    </row>
    <row r="1534" spans="1:7" x14ac:dyDescent="0.25">
      <c r="A1534" s="24" t="s">
        <v>231</v>
      </c>
      <c r="B1534" s="24" t="s">
        <v>35</v>
      </c>
      <c r="C1534" s="24" t="s">
        <v>36</v>
      </c>
      <c r="D1534" s="24">
        <v>1</v>
      </c>
      <c r="E1534" s="24" t="s">
        <v>796</v>
      </c>
      <c r="F1534" s="24" t="s">
        <v>885</v>
      </c>
      <c r="G1534" s="24">
        <v>171618</v>
      </c>
    </row>
    <row r="1535" spans="1:7" x14ac:dyDescent="0.25">
      <c r="A1535" s="24" t="s">
        <v>231</v>
      </c>
      <c r="B1535" s="24" t="s">
        <v>37</v>
      </c>
      <c r="C1535" s="24" t="s">
        <v>38</v>
      </c>
      <c r="D1535" s="24">
        <v>0.1</v>
      </c>
      <c r="E1535" s="24" t="s">
        <v>796</v>
      </c>
      <c r="F1535" s="24" t="s">
        <v>885</v>
      </c>
      <c r="G1535" s="24">
        <v>171618</v>
      </c>
    </row>
    <row r="1536" spans="1:7" x14ac:dyDescent="0.25">
      <c r="A1536" s="24" t="s">
        <v>231</v>
      </c>
      <c r="B1536" s="24" t="s">
        <v>39</v>
      </c>
      <c r="C1536" s="24" t="s">
        <v>36</v>
      </c>
      <c r="D1536" s="24">
        <v>0</v>
      </c>
      <c r="E1536" s="24" t="s">
        <v>796</v>
      </c>
      <c r="F1536" s="24" t="s">
        <v>885</v>
      </c>
      <c r="G1536" s="24">
        <v>171618</v>
      </c>
    </row>
    <row r="1537" spans="1:7" x14ac:dyDescent="0.25">
      <c r="A1537" s="24" t="s">
        <v>231</v>
      </c>
      <c r="B1537" s="24" t="s">
        <v>40</v>
      </c>
      <c r="C1537" s="24" t="s">
        <v>31</v>
      </c>
      <c r="D1537" s="24">
        <v>0.1</v>
      </c>
      <c r="E1537" s="24" t="s">
        <v>796</v>
      </c>
      <c r="F1537" s="24" t="s">
        <v>885</v>
      </c>
      <c r="G1537" s="24">
        <v>171618</v>
      </c>
    </row>
    <row r="1538" spans="1:7" x14ac:dyDescent="0.25">
      <c r="A1538" s="24" t="s">
        <v>231</v>
      </c>
      <c r="B1538" s="24" t="s">
        <v>41</v>
      </c>
      <c r="C1538" s="24" t="s">
        <v>31</v>
      </c>
      <c r="D1538" s="24">
        <v>0.1</v>
      </c>
      <c r="E1538" s="24" t="s">
        <v>796</v>
      </c>
      <c r="F1538" s="24" t="s">
        <v>885</v>
      </c>
      <c r="G1538" s="24">
        <v>171618</v>
      </c>
    </row>
    <row r="1539" spans="1:7" x14ac:dyDescent="0.25">
      <c r="A1539" s="24" t="s">
        <v>231</v>
      </c>
      <c r="B1539" s="24" t="s">
        <v>42</v>
      </c>
      <c r="C1539" s="24" t="s">
        <v>43</v>
      </c>
      <c r="D1539" s="24">
        <v>0.9</v>
      </c>
      <c r="E1539" s="24" t="s">
        <v>796</v>
      </c>
      <c r="F1539" s="24" t="s">
        <v>885</v>
      </c>
      <c r="G1539" s="24">
        <v>171618</v>
      </c>
    </row>
    <row r="1540" spans="1:7" x14ac:dyDescent="0.25">
      <c r="A1540" s="24" t="s">
        <v>231</v>
      </c>
      <c r="B1540" s="24" t="s">
        <v>44</v>
      </c>
      <c r="C1540" s="24" t="s">
        <v>31</v>
      </c>
      <c r="D1540" s="24">
        <v>0</v>
      </c>
      <c r="E1540" s="24" t="s">
        <v>796</v>
      </c>
      <c r="F1540" s="24" t="s">
        <v>885</v>
      </c>
      <c r="G1540" s="24">
        <v>171618</v>
      </c>
    </row>
    <row r="1541" spans="1:7" x14ac:dyDescent="0.25">
      <c r="A1541" s="24" t="s">
        <v>231</v>
      </c>
      <c r="B1541" s="24" t="s">
        <v>45</v>
      </c>
      <c r="C1541" s="24" t="s">
        <v>31</v>
      </c>
      <c r="D1541" s="24">
        <v>0.4</v>
      </c>
      <c r="E1541" s="24" t="s">
        <v>796</v>
      </c>
      <c r="F1541" s="24" t="s">
        <v>885</v>
      </c>
      <c r="G1541" s="24">
        <v>171618</v>
      </c>
    </row>
    <row r="1542" spans="1:7" x14ac:dyDescent="0.25">
      <c r="A1542" s="24" t="s">
        <v>231</v>
      </c>
      <c r="B1542" s="24" t="s">
        <v>46</v>
      </c>
      <c r="C1542" s="24" t="s">
        <v>36</v>
      </c>
      <c r="D1542" s="24">
        <v>0.7</v>
      </c>
      <c r="E1542" s="24" t="s">
        <v>796</v>
      </c>
      <c r="F1542" s="24" t="s">
        <v>885</v>
      </c>
      <c r="G1542" s="24">
        <v>171618</v>
      </c>
    </row>
    <row r="1543" spans="1:7" x14ac:dyDescent="0.25">
      <c r="A1543" s="24" t="s">
        <v>231</v>
      </c>
      <c r="B1543" s="24" t="s">
        <v>47</v>
      </c>
      <c r="C1543" s="24" t="s">
        <v>48</v>
      </c>
      <c r="D1543" s="24">
        <v>3.7</v>
      </c>
      <c r="E1543" s="24" t="s">
        <v>796</v>
      </c>
      <c r="F1543" s="24" t="s">
        <v>885</v>
      </c>
      <c r="G1543" s="24">
        <v>171618</v>
      </c>
    </row>
    <row r="1544" spans="1:7" x14ac:dyDescent="0.25">
      <c r="A1544" s="24" t="s">
        <v>231</v>
      </c>
      <c r="B1544" s="24" t="s">
        <v>50</v>
      </c>
      <c r="C1544" s="24" t="s">
        <v>31</v>
      </c>
      <c r="D1544" s="24">
        <v>27.9</v>
      </c>
      <c r="E1544" s="24" t="s">
        <v>796</v>
      </c>
      <c r="F1544" s="24" t="s">
        <v>885</v>
      </c>
      <c r="G1544" s="24">
        <v>171618</v>
      </c>
    </row>
    <row r="1545" spans="1:7" x14ac:dyDescent="0.25">
      <c r="A1545" s="24" t="s">
        <v>231</v>
      </c>
      <c r="B1545" s="24" t="s">
        <v>51</v>
      </c>
      <c r="C1545" s="24" t="s">
        <v>31</v>
      </c>
      <c r="D1545" s="24">
        <v>4.4000000000000004</v>
      </c>
      <c r="E1545" s="24" t="s">
        <v>796</v>
      </c>
      <c r="F1545" s="24" t="s">
        <v>885</v>
      </c>
      <c r="G1545" s="24">
        <v>171618</v>
      </c>
    </row>
    <row r="1546" spans="1:7" x14ac:dyDescent="0.25">
      <c r="A1546" s="24" t="s">
        <v>231</v>
      </c>
      <c r="B1546" s="24" t="s">
        <v>52</v>
      </c>
      <c r="C1546" s="24" t="s">
        <v>31</v>
      </c>
      <c r="D1546" s="24">
        <v>16.2</v>
      </c>
      <c r="E1546" s="24" t="s">
        <v>796</v>
      </c>
      <c r="F1546" s="24" t="s">
        <v>885</v>
      </c>
      <c r="G1546" s="24">
        <v>171618</v>
      </c>
    </row>
    <row r="1547" spans="1:7" x14ac:dyDescent="0.25">
      <c r="A1547" s="24" t="s">
        <v>231</v>
      </c>
      <c r="B1547" s="24" t="s">
        <v>53</v>
      </c>
      <c r="C1547" s="24" t="s">
        <v>31</v>
      </c>
      <c r="D1547" s="24">
        <v>5.9</v>
      </c>
      <c r="E1547" s="24" t="s">
        <v>796</v>
      </c>
      <c r="F1547" s="24" t="s">
        <v>885</v>
      </c>
      <c r="G1547" s="24">
        <v>171618</v>
      </c>
    </row>
    <row r="1548" spans="1:7" x14ac:dyDescent="0.25">
      <c r="A1548" s="24" t="s">
        <v>231</v>
      </c>
      <c r="B1548" s="24" t="s">
        <v>54</v>
      </c>
      <c r="C1548" s="24" t="s">
        <v>31</v>
      </c>
      <c r="D1548" s="24">
        <v>4.7</v>
      </c>
      <c r="E1548" s="24" t="s">
        <v>796</v>
      </c>
      <c r="F1548" s="24" t="s">
        <v>885</v>
      </c>
      <c r="G1548" s="24">
        <v>171618</v>
      </c>
    </row>
    <row r="1549" spans="1:7" x14ac:dyDescent="0.25">
      <c r="A1549" s="24" t="s">
        <v>231</v>
      </c>
      <c r="B1549" s="24" t="s">
        <v>55</v>
      </c>
      <c r="C1549" s="24" t="s">
        <v>31</v>
      </c>
      <c r="D1549" s="24">
        <v>1</v>
      </c>
      <c r="E1549" s="24" t="s">
        <v>796</v>
      </c>
      <c r="F1549" s="24" t="s">
        <v>885</v>
      </c>
      <c r="G1549" s="24">
        <v>171618</v>
      </c>
    </row>
    <row r="1550" spans="1:7" x14ac:dyDescent="0.25">
      <c r="A1550" s="24" t="s">
        <v>231</v>
      </c>
      <c r="B1550" s="24" t="s">
        <v>56</v>
      </c>
      <c r="C1550" s="24" t="s">
        <v>31</v>
      </c>
      <c r="D1550" s="24">
        <v>0</v>
      </c>
      <c r="E1550" s="24" t="s">
        <v>796</v>
      </c>
      <c r="F1550" s="24" t="s">
        <v>885</v>
      </c>
      <c r="G1550" s="24">
        <v>171618</v>
      </c>
    </row>
    <row r="1551" spans="1:7" x14ac:dyDescent="0.25">
      <c r="A1551" s="24" t="s">
        <v>231</v>
      </c>
      <c r="B1551" s="24" t="s">
        <v>57</v>
      </c>
      <c r="C1551" s="24" t="s">
        <v>36</v>
      </c>
      <c r="D1551" s="24">
        <v>11.4</v>
      </c>
      <c r="E1551" s="24" t="s">
        <v>796</v>
      </c>
      <c r="F1551" s="24" t="s">
        <v>885</v>
      </c>
      <c r="G1551" s="24">
        <v>171618</v>
      </c>
    </row>
    <row r="1552" spans="1:7" x14ac:dyDescent="0.25">
      <c r="A1552" s="24" t="s">
        <v>231</v>
      </c>
      <c r="B1552" s="24" t="s">
        <v>58</v>
      </c>
      <c r="C1552" s="24" t="s">
        <v>5</v>
      </c>
      <c r="D1552" s="24">
        <v>0</v>
      </c>
      <c r="E1552" s="24" t="s">
        <v>795</v>
      </c>
      <c r="F1552" s="24"/>
      <c r="G1552" s="24"/>
    </row>
    <row r="1553" spans="1:7" x14ac:dyDescent="0.25">
      <c r="A1553" s="24" t="s">
        <v>232</v>
      </c>
      <c r="B1553" s="24" t="s">
        <v>58</v>
      </c>
      <c r="C1553" s="24" t="s">
        <v>5</v>
      </c>
      <c r="D1553" s="24">
        <v>0</v>
      </c>
      <c r="E1553" s="24" t="s">
        <v>795</v>
      </c>
      <c r="F1553" s="24"/>
      <c r="G1553" s="24"/>
    </row>
    <row r="1554" spans="1:7" x14ac:dyDescent="0.25">
      <c r="A1554" s="24" t="s">
        <v>233</v>
      </c>
      <c r="B1554" s="24" t="s">
        <v>32</v>
      </c>
      <c r="C1554" s="24" t="s">
        <v>33</v>
      </c>
      <c r="D1554" s="24">
        <v>0</v>
      </c>
      <c r="E1554" s="24" t="s">
        <v>796</v>
      </c>
      <c r="F1554" s="24" t="s">
        <v>886</v>
      </c>
      <c r="G1554" s="24">
        <v>171630</v>
      </c>
    </row>
    <row r="1555" spans="1:7" x14ac:dyDescent="0.25">
      <c r="A1555" s="24" t="s">
        <v>233</v>
      </c>
      <c r="B1555" s="24" t="s">
        <v>34</v>
      </c>
      <c r="C1555" s="24" t="s">
        <v>31</v>
      </c>
      <c r="D1555" s="24">
        <v>0</v>
      </c>
      <c r="E1555" s="24" t="s">
        <v>796</v>
      </c>
      <c r="F1555" s="24" t="s">
        <v>886</v>
      </c>
      <c r="G1555" s="24">
        <v>171630</v>
      </c>
    </row>
    <row r="1556" spans="1:7" x14ac:dyDescent="0.25">
      <c r="A1556" s="24" t="s">
        <v>233</v>
      </c>
      <c r="B1556" s="24" t="s">
        <v>35</v>
      </c>
      <c r="C1556" s="24" t="s">
        <v>36</v>
      </c>
      <c r="D1556" s="24">
        <v>1.9</v>
      </c>
      <c r="E1556" s="24" t="s">
        <v>796</v>
      </c>
      <c r="F1556" s="24" t="s">
        <v>886</v>
      </c>
      <c r="G1556" s="24">
        <v>171630</v>
      </c>
    </row>
    <row r="1557" spans="1:7" x14ac:dyDescent="0.25">
      <c r="A1557" s="24" t="s">
        <v>233</v>
      </c>
      <c r="B1557" s="24" t="s">
        <v>37</v>
      </c>
      <c r="C1557" s="24" t="s">
        <v>38</v>
      </c>
      <c r="D1557" s="24">
        <v>0.5</v>
      </c>
      <c r="E1557" s="24" t="s">
        <v>796</v>
      </c>
      <c r="F1557" s="24" t="s">
        <v>886</v>
      </c>
      <c r="G1557" s="24">
        <v>171630</v>
      </c>
    </row>
    <row r="1558" spans="1:7" x14ac:dyDescent="0.25">
      <c r="A1558" s="24" t="s">
        <v>233</v>
      </c>
      <c r="B1558" s="24" t="s">
        <v>39</v>
      </c>
      <c r="C1558" s="24" t="s">
        <v>36</v>
      </c>
      <c r="D1558" s="24">
        <v>7</v>
      </c>
      <c r="E1558" s="24" t="s">
        <v>796</v>
      </c>
      <c r="F1558" s="24" t="s">
        <v>886</v>
      </c>
      <c r="G1558" s="24">
        <v>171630</v>
      </c>
    </row>
    <row r="1559" spans="1:7" x14ac:dyDescent="0.25">
      <c r="A1559" s="24" t="s">
        <v>233</v>
      </c>
      <c r="B1559" s="24" t="s">
        <v>40</v>
      </c>
      <c r="C1559" s="24" t="s">
        <v>31</v>
      </c>
      <c r="D1559" s="24">
        <v>0</v>
      </c>
      <c r="E1559" s="24" t="s">
        <v>796</v>
      </c>
      <c r="F1559" s="24" t="s">
        <v>886</v>
      </c>
      <c r="G1559" s="24">
        <v>171630</v>
      </c>
    </row>
    <row r="1560" spans="1:7" x14ac:dyDescent="0.25">
      <c r="A1560" s="24" t="s">
        <v>233</v>
      </c>
      <c r="B1560" s="24" t="s">
        <v>41</v>
      </c>
      <c r="C1560" s="24" t="s">
        <v>31</v>
      </c>
      <c r="D1560" s="24">
        <v>0.2</v>
      </c>
      <c r="E1560" s="24" t="s">
        <v>796</v>
      </c>
      <c r="F1560" s="24" t="s">
        <v>886</v>
      </c>
      <c r="G1560" s="24">
        <v>171630</v>
      </c>
    </row>
    <row r="1561" spans="1:7" x14ac:dyDescent="0.25">
      <c r="A1561" s="24" t="s">
        <v>233</v>
      </c>
      <c r="B1561" s="24" t="s">
        <v>42</v>
      </c>
      <c r="C1561" s="24" t="s">
        <v>43</v>
      </c>
      <c r="D1561" s="24">
        <v>0.9</v>
      </c>
      <c r="E1561" s="24" t="s">
        <v>796</v>
      </c>
      <c r="F1561" s="24" t="s">
        <v>886</v>
      </c>
      <c r="G1561" s="24">
        <v>171630</v>
      </c>
    </row>
    <row r="1562" spans="1:7" x14ac:dyDescent="0.25">
      <c r="A1562" s="24" t="s">
        <v>233</v>
      </c>
      <c r="B1562" s="24" t="s">
        <v>44</v>
      </c>
      <c r="C1562" s="24" t="s">
        <v>31</v>
      </c>
      <c r="D1562" s="24">
        <v>0.4</v>
      </c>
      <c r="E1562" s="24" t="s">
        <v>796</v>
      </c>
      <c r="F1562" s="24" t="s">
        <v>886</v>
      </c>
      <c r="G1562" s="24">
        <v>171630</v>
      </c>
    </row>
    <row r="1563" spans="1:7" x14ac:dyDescent="0.25">
      <c r="A1563" s="24" t="s">
        <v>233</v>
      </c>
      <c r="B1563" s="24" t="s">
        <v>46</v>
      </c>
      <c r="C1563" s="24" t="s">
        <v>36</v>
      </c>
      <c r="D1563" s="24">
        <v>2.2000000000000002</v>
      </c>
      <c r="E1563" s="24" t="s">
        <v>796</v>
      </c>
      <c r="F1563" s="24" t="s">
        <v>886</v>
      </c>
      <c r="G1563" s="24">
        <v>171630</v>
      </c>
    </row>
    <row r="1564" spans="1:7" x14ac:dyDescent="0.25">
      <c r="A1564" s="24" t="s">
        <v>233</v>
      </c>
      <c r="B1564" s="24" t="s">
        <v>47</v>
      </c>
      <c r="C1564" s="24" t="s">
        <v>48</v>
      </c>
      <c r="D1564" s="24">
        <v>4.0999999999999996</v>
      </c>
      <c r="E1564" s="24" t="s">
        <v>796</v>
      </c>
      <c r="F1564" s="24" t="s">
        <v>886</v>
      </c>
      <c r="G1564" s="24">
        <v>171630</v>
      </c>
    </row>
    <row r="1565" spans="1:7" x14ac:dyDescent="0.25">
      <c r="A1565" s="24" t="s">
        <v>233</v>
      </c>
      <c r="B1565" s="24" t="s">
        <v>50</v>
      </c>
      <c r="C1565" s="24" t="s">
        <v>31</v>
      </c>
      <c r="D1565" s="24">
        <v>64.2</v>
      </c>
      <c r="E1565" s="24" t="s">
        <v>796</v>
      </c>
      <c r="F1565" s="24" t="s">
        <v>886</v>
      </c>
      <c r="G1565" s="24">
        <v>171630</v>
      </c>
    </row>
    <row r="1566" spans="1:7" x14ac:dyDescent="0.25">
      <c r="A1566" s="24" t="s">
        <v>233</v>
      </c>
      <c r="B1566" s="24" t="s">
        <v>51</v>
      </c>
      <c r="C1566" s="24" t="s">
        <v>31</v>
      </c>
      <c r="D1566" s="24">
        <v>33.1</v>
      </c>
      <c r="E1566" s="24" t="s">
        <v>796</v>
      </c>
      <c r="F1566" s="24" t="s">
        <v>886</v>
      </c>
      <c r="G1566" s="24">
        <v>171630</v>
      </c>
    </row>
    <row r="1567" spans="1:7" x14ac:dyDescent="0.25">
      <c r="A1567" s="24" t="s">
        <v>233</v>
      </c>
      <c r="B1567" s="24" t="s">
        <v>52</v>
      </c>
      <c r="C1567" s="24" t="s">
        <v>31</v>
      </c>
      <c r="D1567" s="24">
        <v>116</v>
      </c>
      <c r="E1567" s="24" t="s">
        <v>796</v>
      </c>
      <c r="F1567" s="24" t="s">
        <v>886</v>
      </c>
      <c r="G1567" s="24">
        <v>171630</v>
      </c>
    </row>
    <row r="1568" spans="1:7" x14ac:dyDescent="0.25">
      <c r="A1568" s="24" t="s">
        <v>233</v>
      </c>
      <c r="B1568" s="24" t="s">
        <v>53</v>
      </c>
      <c r="C1568" s="24" t="s">
        <v>31</v>
      </c>
      <c r="D1568" s="24">
        <v>18.600000000000001</v>
      </c>
      <c r="E1568" s="24" t="s">
        <v>796</v>
      </c>
      <c r="F1568" s="24" t="s">
        <v>886</v>
      </c>
      <c r="G1568" s="24">
        <v>171630</v>
      </c>
    </row>
    <row r="1569" spans="1:7" x14ac:dyDescent="0.25">
      <c r="A1569" s="24" t="s">
        <v>233</v>
      </c>
      <c r="B1569" s="24" t="s">
        <v>54</v>
      </c>
      <c r="C1569" s="24" t="s">
        <v>31</v>
      </c>
      <c r="D1569" s="24">
        <v>3.1</v>
      </c>
      <c r="E1569" s="24" t="s">
        <v>796</v>
      </c>
      <c r="F1569" s="24" t="s">
        <v>886</v>
      </c>
      <c r="G1569" s="24">
        <v>171630</v>
      </c>
    </row>
    <row r="1570" spans="1:7" x14ac:dyDescent="0.25">
      <c r="A1570" s="24" t="s">
        <v>233</v>
      </c>
      <c r="B1570" s="24" t="s">
        <v>55</v>
      </c>
      <c r="C1570" s="24" t="s">
        <v>31</v>
      </c>
      <c r="D1570" s="24">
        <v>2</v>
      </c>
      <c r="E1570" s="24" t="s">
        <v>796</v>
      </c>
      <c r="F1570" s="24" t="s">
        <v>886</v>
      </c>
      <c r="G1570" s="24">
        <v>171630</v>
      </c>
    </row>
    <row r="1571" spans="1:7" x14ac:dyDescent="0.25">
      <c r="A1571" s="24" t="s">
        <v>233</v>
      </c>
      <c r="B1571" s="24" t="s">
        <v>56</v>
      </c>
      <c r="C1571" s="24" t="s">
        <v>31</v>
      </c>
      <c r="D1571" s="24">
        <v>0.3</v>
      </c>
      <c r="E1571" s="24" t="s">
        <v>796</v>
      </c>
      <c r="F1571" s="24" t="s">
        <v>886</v>
      </c>
      <c r="G1571" s="24">
        <v>171630</v>
      </c>
    </row>
    <row r="1572" spans="1:7" x14ac:dyDescent="0.25">
      <c r="A1572" s="24" t="s">
        <v>233</v>
      </c>
      <c r="B1572" s="24" t="s">
        <v>57</v>
      </c>
      <c r="C1572" s="24" t="s">
        <v>36</v>
      </c>
      <c r="D1572" s="24">
        <v>0.2</v>
      </c>
      <c r="E1572" s="24" t="s">
        <v>796</v>
      </c>
      <c r="F1572" s="24" t="s">
        <v>886</v>
      </c>
      <c r="G1572" s="24">
        <v>171630</v>
      </c>
    </row>
    <row r="1573" spans="1:7" x14ac:dyDescent="0.25">
      <c r="A1573" s="24" t="s">
        <v>233</v>
      </c>
      <c r="B1573" s="24" t="s">
        <v>58</v>
      </c>
      <c r="C1573" s="24" t="s">
        <v>5</v>
      </c>
      <c r="D1573" s="24">
        <v>0</v>
      </c>
      <c r="E1573" s="24" t="s">
        <v>795</v>
      </c>
      <c r="F1573" s="24"/>
      <c r="G1573" s="24"/>
    </row>
    <row r="1574" spans="1:7" x14ac:dyDescent="0.25">
      <c r="A1574" s="24" t="s">
        <v>234</v>
      </c>
      <c r="B1574" s="24" t="s">
        <v>23</v>
      </c>
      <c r="C1574" s="24" t="s">
        <v>5</v>
      </c>
      <c r="D1574" s="24">
        <v>0</v>
      </c>
      <c r="E1574" s="24" t="s">
        <v>796</v>
      </c>
      <c r="F1574" s="24" t="s">
        <v>886</v>
      </c>
      <c r="G1574" s="24">
        <v>171630</v>
      </c>
    </row>
    <row r="1575" spans="1:7" x14ac:dyDescent="0.25">
      <c r="A1575" s="24" t="s">
        <v>234</v>
      </c>
      <c r="B1575" s="24" t="s">
        <v>26</v>
      </c>
      <c r="C1575" s="24" t="s">
        <v>5</v>
      </c>
      <c r="D1575" s="24">
        <v>4.9000000000000004</v>
      </c>
      <c r="E1575" s="24" t="s">
        <v>799</v>
      </c>
      <c r="F1575" s="24" t="s">
        <v>886</v>
      </c>
      <c r="G1575" s="24">
        <v>171630</v>
      </c>
    </row>
    <row r="1576" spans="1:7" x14ac:dyDescent="0.25">
      <c r="A1576" s="24" t="s">
        <v>234</v>
      </c>
      <c r="B1576" s="24" t="s">
        <v>27</v>
      </c>
      <c r="C1576" s="24" t="s">
        <v>5</v>
      </c>
      <c r="D1576" s="24">
        <v>8.07</v>
      </c>
      <c r="E1576" s="24" t="s">
        <v>799</v>
      </c>
      <c r="F1576" s="24" t="s">
        <v>886</v>
      </c>
      <c r="G1576" s="24">
        <v>171630</v>
      </c>
    </row>
    <row r="1577" spans="1:7" x14ac:dyDescent="0.25">
      <c r="A1577" s="24" t="s">
        <v>234</v>
      </c>
      <c r="B1577" s="24" t="s">
        <v>28</v>
      </c>
      <c r="C1577" s="24" t="s">
        <v>5</v>
      </c>
      <c r="D1577" s="24">
        <v>1.63</v>
      </c>
      <c r="E1577" s="24" t="s">
        <v>799</v>
      </c>
      <c r="F1577" s="24" t="s">
        <v>886</v>
      </c>
      <c r="G1577" s="24">
        <v>171630</v>
      </c>
    </row>
    <row r="1578" spans="1:7" x14ac:dyDescent="0.25">
      <c r="A1578" s="24" t="s">
        <v>234</v>
      </c>
      <c r="B1578" s="24" t="s">
        <v>30</v>
      </c>
      <c r="C1578" s="24" t="s">
        <v>31</v>
      </c>
      <c r="D1578" s="24">
        <v>69</v>
      </c>
      <c r="E1578" s="24" t="s">
        <v>801</v>
      </c>
      <c r="F1578" s="24" t="s">
        <v>886</v>
      </c>
      <c r="G1578" s="24">
        <v>171630</v>
      </c>
    </row>
    <row r="1579" spans="1:7" x14ac:dyDescent="0.25">
      <c r="A1579" s="24" t="s">
        <v>234</v>
      </c>
      <c r="B1579" s="24" t="s">
        <v>32</v>
      </c>
      <c r="C1579" s="24" t="s">
        <v>33</v>
      </c>
      <c r="D1579" s="24">
        <v>0</v>
      </c>
      <c r="E1579" s="24" t="s">
        <v>796</v>
      </c>
      <c r="F1579" s="24" t="s">
        <v>886</v>
      </c>
      <c r="G1579" s="24">
        <v>171630</v>
      </c>
    </row>
    <row r="1580" spans="1:7" x14ac:dyDescent="0.25">
      <c r="A1580" s="24" t="s">
        <v>234</v>
      </c>
      <c r="B1580" s="24" t="s">
        <v>34</v>
      </c>
      <c r="C1580" s="24" t="s">
        <v>31</v>
      </c>
      <c r="D1580" s="24">
        <v>0</v>
      </c>
      <c r="E1580" s="24" t="s">
        <v>796</v>
      </c>
      <c r="F1580" s="24" t="s">
        <v>886</v>
      </c>
      <c r="G1580" s="24">
        <v>171630</v>
      </c>
    </row>
    <row r="1581" spans="1:7" x14ac:dyDescent="0.25">
      <c r="A1581" s="24" t="s">
        <v>234</v>
      </c>
      <c r="B1581" s="24" t="s">
        <v>35</v>
      </c>
      <c r="C1581" s="24" t="s">
        <v>36</v>
      </c>
      <c r="D1581" s="24">
        <v>1.2</v>
      </c>
      <c r="E1581" s="24" t="s">
        <v>796</v>
      </c>
      <c r="F1581" s="24" t="s">
        <v>886</v>
      </c>
      <c r="G1581" s="24">
        <v>171630</v>
      </c>
    </row>
    <row r="1582" spans="1:7" x14ac:dyDescent="0.25">
      <c r="A1582" s="24" t="s">
        <v>234</v>
      </c>
      <c r="B1582" s="24" t="s">
        <v>37</v>
      </c>
      <c r="C1582" s="24" t="s">
        <v>38</v>
      </c>
      <c r="D1582" s="24">
        <v>0.3</v>
      </c>
      <c r="E1582" s="24" t="s">
        <v>796</v>
      </c>
      <c r="F1582" s="24" t="s">
        <v>886</v>
      </c>
      <c r="G1582" s="24">
        <v>171630</v>
      </c>
    </row>
    <row r="1583" spans="1:7" x14ac:dyDescent="0.25">
      <c r="A1583" s="24" t="s">
        <v>234</v>
      </c>
      <c r="B1583" s="24" t="s">
        <v>39</v>
      </c>
      <c r="C1583" s="24" t="s">
        <v>36</v>
      </c>
      <c r="D1583" s="24">
        <v>4.4000000000000004</v>
      </c>
      <c r="E1583" s="24" t="s">
        <v>796</v>
      </c>
      <c r="F1583" s="24" t="s">
        <v>886</v>
      </c>
      <c r="G1583" s="24">
        <v>171630</v>
      </c>
    </row>
    <row r="1584" spans="1:7" x14ac:dyDescent="0.25">
      <c r="A1584" s="24" t="s">
        <v>234</v>
      </c>
      <c r="B1584" s="24" t="s">
        <v>42</v>
      </c>
      <c r="C1584" s="24" t="s">
        <v>43</v>
      </c>
      <c r="D1584" s="24">
        <v>0.6</v>
      </c>
      <c r="E1584" s="24" t="s">
        <v>796</v>
      </c>
      <c r="F1584" s="24" t="s">
        <v>886</v>
      </c>
      <c r="G1584" s="24">
        <v>171630</v>
      </c>
    </row>
    <row r="1585" spans="1:7" x14ac:dyDescent="0.25">
      <c r="A1585" s="24" t="s">
        <v>234</v>
      </c>
      <c r="B1585" s="24" t="s">
        <v>44</v>
      </c>
      <c r="C1585" s="24" t="s">
        <v>31</v>
      </c>
      <c r="D1585" s="24">
        <v>0.2</v>
      </c>
      <c r="E1585" s="24" t="s">
        <v>796</v>
      </c>
      <c r="F1585" s="24" t="s">
        <v>886</v>
      </c>
      <c r="G1585" s="24">
        <v>171630</v>
      </c>
    </row>
    <row r="1586" spans="1:7" x14ac:dyDescent="0.25">
      <c r="A1586" s="24" t="s">
        <v>234</v>
      </c>
      <c r="B1586" s="24" t="s">
        <v>46</v>
      </c>
      <c r="C1586" s="24" t="s">
        <v>36</v>
      </c>
      <c r="D1586" s="24">
        <v>1.4</v>
      </c>
      <c r="E1586" s="24" t="s">
        <v>796</v>
      </c>
      <c r="F1586" s="24" t="s">
        <v>886</v>
      </c>
      <c r="G1586" s="24">
        <v>171630</v>
      </c>
    </row>
    <row r="1587" spans="1:7" x14ac:dyDescent="0.25">
      <c r="A1587" s="24" t="s">
        <v>234</v>
      </c>
      <c r="B1587" s="24" t="s">
        <v>47</v>
      </c>
      <c r="C1587" s="24" t="s">
        <v>48</v>
      </c>
      <c r="D1587" s="24">
        <v>2.6</v>
      </c>
      <c r="E1587" s="24" t="s">
        <v>796</v>
      </c>
      <c r="F1587" s="24" t="s">
        <v>886</v>
      </c>
      <c r="G1587" s="24">
        <v>171630</v>
      </c>
    </row>
    <row r="1588" spans="1:7" x14ac:dyDescent="0.25">
      <c r="A1588" s="24" t="s">
        <v>234</v>
      </c>
      <c r="B1588" s="24" t="s">
        <v>49</v>
      </c>
      <c r="C1588" s="24" t="s">
        <v>31</v>
      </c>
      <c r="D1588" s="24">
        <v>1223</v>
      </c>
      <c r="E1588" s="24" t="s">
        <v>796</v>
      </c>
      <c r="F1588" s="24" t="s">
        <v>886</v>
      </c>
      <c r="G1588" s="24">
        <v>171630</v>
      </c>
    </row>
    <row r="1589" spans="1:7" x14ac:dyDescent="0.25">
      <c r="A1589" s="24" t="s">
        <v>234</v>
      </c>
      <c r="B1589" s="24" t="s">
        <v>50</v>
      </c>
      <c r="C1589" s="24" t="s">
        <v>31</v>
      </c>
      <c r="D1589" s="24">
        <v>40.299999999999997</v>
      </c>
      <c r="E1589" s="24" t="s">
        <v>796</v>
      </c>
      <c r="F1589" s="24" t="s">
        <v>886</v>
      </c>
      <c r="G1589" s="24">
        <v>171630</v>
      </c>
    </row>
    <row r="1590" spans="1:7" x14ac:dyDescent="0.25">
      <c r="A1590" s="24" t="s">
        <v>234</v>
      </c>
      <c r="B1590" s="24" t="s">
        <v>51</v>
      </c>
      <c r="C1590" s="24" t="s">
        <v>31</v>
      </c>
      <c r="D1590" s="24">
        <v>20.8</v>
      </c>
      <c r="E1590" s="24" t="s">
        <v>796</v>
      </c>
      <c r="F1590" s="24" t="s">
        <v>886</v>
      </c>
      <c r="G1590" s="24">
        <v>171630</v>
      </c>
    </row>
    <row r="1591" spans="1:7" x14ac:dyDescent="0.25">
      <c r="A1591" s="24" t="s">
        <v>234</v>
      </c>
      <c r="B1591" s="24" t="s">
        <v>53</v>
      </c>
      <c r="C1591" s="24" t="s">
        <v>31</v>
      </c>
      <c r="D1591" s="24">
        <v>11.7</v>
      </c>
      <c r="E1591" s="24" t="s">
        <v>796</v>
      </c>
      <c r="F1591" s="24" t="s">
        <v>886</v>
      </c>
      <c r="G1591" s="24">
        <v>171630</v>
      </c>
    </row>
    <row r="1592" spans="1:7" x14ac:dyDescent="0.25">
      <c r="A1592" s="24" t="s">
        <v>234</v>
      </c>
      <c r="B1592" s="24" t="s">
        <v>55</v>
      </c>
      <c r="C1592" s="24" t="s">
        <v>31</v>
      </c>
      <c r="D1592" s="24">
        <v>1.3</v>
      </c>
      <c r="E1592" s="24" t="s">
        <v>796</v>
      </c>
      <c r="F1592" s="24" t="s">
        <v>886</v>
      </c>
      <c r="G1592" s="24">
        <v>171630</v>
      </c>
    </row>
    <row r="1593" spans="1:7" x14ac:dyDescent="0.25">
      <c r="A1593" s="24" t="s">
        <v>234</v>
      </c>
      <c r="B1593" s="24" t="s">
        <v>56</v>
      </c>
      <c r="C1593" s="24" t="s">
        <v>31</v>
      </c>
      <c r="D1593" s="24">
        <v>0.2</v>
      </c>
      <c r="E1593" s="24" t="s">
        <v>796</v>
      </c>
      <c r="F1593" s="24" t="s">
        <v>886</v>
      </c>
      <c r="G1593" s="24">
        <v>171630</v>
      </c>
    </row>
    <row r="1594" spans="1:7" x14ac:dyDescent="0.25">
      <c r="A1594" s="24" t="s">
        <v>234</v>
      </c>
      <c r="B1594" s="24" t="s">
        <v>57</v>
      </c>
      <c r="C1594" s="24" t="s">
        <v>36</v>
      </c>
      <c r="D1594" s="24">
        <v>0.1</v>
      </c>
      <c r="E1594" s="24" t="s">
        <v>796</v>
      </c>
      <c r="F1594" s="24" t="s">
        <v>886</v>
      </c>
      <c r="G1594" s="24">
        <v>171630</v>
      </c>
    </row>
    <row r="1595" spans="1:7" x14ac:dyDescent="0.25">
      <c r="A1595" s="24" t="s">
        <v>234</v>
      </c>
      <c r="B1595" s="24" t="s">
        <v>58</v>
      </c>
      <c r="C1595" s="24" t="s">
        <v>5</v>
      </c>
      <c r="D1595" s="24">
        <v>0</v>
      </c>
      <c r="E1595" s="24" t="s">
        <v>795</v>
      </c>
      <c r="F1595" s="24"/>
      <c r="G1595" s="24"/>
    </row>
    <row r="1596" spans="1:7" x14ac:dyDescent="0.25">
      <c r="A1596" s="24" t="s">
        <v>235</v>
      </c>
      <c r="B1596" s="24" t="s">
        <v>20</v>
      </c>
      <c r="C1596" s="24" t="s">
        <v>5</v>
      </c>
      <c r="D1596" s="24">
        <v>4.7</v>
      </c>
      <c r="E1596" s="24" t="s">
        <v>796</v>
      </c>
      <c r="F1596" s="24" t="s">
        <v>887</v>
      </c>
      <c r="G1596" s="24">
        <v>172936</v>
      </c>
    </row>
    <row r="1597" spans="1:7" x14ac:dyDescent="0.25">
      <c r="A1597" s="24" t="s">
        <v>235</v>
      </c>
      <c r="B1597" s="24" t="s">
        <v>24</v>
      </c>
      <c r="C1597" s="24" t="s">
        <v>5</v>
      </c>
      <c r="D1597" s="24">
        <v>0</v>
      </c>
      <c r="E1597" s="24" t="s">
        <v>801</v>
      </c>
      <c r="F1597" s="24" t="s">
        <v>887</v>
      </c>
      <c r="G1597" s="24">
        <v>172936</v>
      </c>
    </row>
    <row r="1598" spans="1:7" x14ac:dyDescent="0.25">
      <c r="A1598" s="24" t="s">
        <v>235</v>
      </c>
      <c r="B1598" s="24" t="s">
        <v>32</v>
      </c>
      <c r="C1598" s="24" t="s">
        <v>33</v>
      </c>
      <c r="D1598" s="24">
        <v>0</v>
      </c>
      <c r="E1598" s="24" t="s">
        <v>801</v>
      </c>
      <c r="F1598" s="24" t="s">
        <v>887</v>
      </c>
      <c r="G1598" s="24">
        <v>172936</v>
      </c>
    </row>
    <row r="1599" spans="1:7" x14ac:dyDescent="0.25">
      <c r="A1599" s="24" t="s">
        <v>235</v>
      </c>
      <c r="B1599" s="24" t="s">
        <v>34</v>
      </c>
      <c r="C1599" s="24" t="s">
        <v>31</v>
      </c>
      <c r="D1599" s="24">
        <v>0</v>
      </c>
      <c r="E1599" s="24" t="s">
        <v>801</v>
      </c>
      <c r="F1599" s="24" t="s">
        <v>887</v>
      </c>
      <c r="G1599" s="24">
        <v>172936</v>
      </c>
    </row>
    <row r="1600" spans="1:7" x14ac:dyDescent="0.25">
      <c r="A1600" s="24" t="s">
        <v>235</v>
      </c>
      <c r="B1600" s="24" t="s">
        <v>35</v>
      </c>
      <c r="C1600" s="24" t="s">
        <v>36</v>
      </c>
      <c r="D1600" s="24">
        <v>1</v>
      </c>
      <c r="E1600" s="24" t="s">
        <v>801</v>
      </c>
      <c r="F1600" s="24" t="s">
        <v>887</v>
      </c>
      <c r="G1600" s="24">
        <v>172936</v>
      </c>
    </row>
    <row r="1601" spans="1:7" x14ac:dyDescent="0.25">
      <c r="A1601" s="24" t="s">
        <v>235</v>
      </c>
      <c r="B1601" s="24" t="s">
        <v>37</v>
      </c>
      <c r="C1601" s="24" t="s">
        <v>38</v>
      </c>
      <c r="D1601" s="24">
        <v>0.2</v>
      </c>
      <c r="E1601" s="24" t="s">
        <v>801</v>
      </c>
      <c r="F1601" s="24" t="s">
        <v>887</v>
      </c>
      <c r="G1601" s="24">
        <v>172936</v>
      </c>
    </row>
    <row r="1602" spans="1:7" x14ac:dyDescent="0.25">
      <c r="A1602" s="24" t="s">
        <v>235</v>
      </c>
      <c r="B1602" s="24" t="s">
        <v>39</v>
      </c>
      <c r="C1602" s="24" t="s">
        <v>36</v>
      </c>
      <c r="D1602" s="24">
        <v>3.2</v>
      </c>
      <c r="E1602" s="24" t="s">
        <v>801</v>
      </c>
      <c r="F1602" s="24" t="s">
        <v>887</v>
      </c>
      <c r="G1602" s="24">
        <v>172936</v>
      </c>
    </row>
    <row r="1603" spans="1:7" x14ac:dyDescent="0.25">
      <c r="A1603" s="24" t="s">
        <v>235</v>
      </c>
      <c r="B1603" s="24" t="s">
        <v>40</v>
      </c>
      <c r="C1603" s="24" t="s">
        <v>31</v>
      </c>
      <c r="D1603" s="24">
        <v>0.4</v>
      </c>
      <c r="E1603" s="24" t="s">
        <v>801</v>
      </c>
      <c r="F1603" s="24" t="s">
        <v>887</v>
      </c>
      <c r="G1603" s="24">
        <v>172936</v>
      </c>
    </row>
    <row r="1604" spans="1:7" x14ac:dyDescent="0.25">
      <c r="A1604" s="24" t="s">
        <v>235</v>
      </c>
      <c r="B1604" s="24" t="s">
        <v>41</v>
      </c>
      <c r="C1604" s="24" t="s">
        <v>31</v>
      </c>
      <c r="D1604" s="24">
        <v>0.4</v>
      </c>
      <c r="E1604" s="24" t="s">
        <v>801</v>
      </c>
      <c r="F1604" s="24" t="s">
        <v>887</v>
      </c>
      <c r="G1604" s="24">
        <v>172936</v>
      </c>
    </row>
    <row r="1605" spans="1:7" x14ac:dyDescent="0.25">
      <c r="A1605" s="24" t="s">
        <v>235</v>
      </c>
      <c r="B1605" s="24" t="s">
        <v>42</v>
      </c>
      <c r="C1605" s="24" t="s">
        <v>43</v>
      </c>
      <c r="D1605" s="24">
        <v>6.1</v>
      </c>
      <c r="E1605" s="24" t="s">
        <v>801</v>
      </c>
      <c r="F1605" s="24" t="s">
        <v>887</v>
      </c>
      <c r="G1605" s="24">
        <v>172936</v>
      </c>
    </row>
    <row r="1606" spans="1:7" x14ac:dyDescent="0.25">
      <c r="A1606" s="24" t="s">
        <v>235</v>
      </c>
      <c r="B1606" s="24" t="s">
        <v>44</v>
      </c>
      <c r="C1606" s="24" t="s">
        <v>31</v>
      </c>
      <c r="D1606" s="24">
        <v>0.5</v>
      </c>
      <c r="E1606" s="24" t="s">
        <v>801</v>
      </c>
      <c r="F1606" s="24" t="s">
        <v>887</v>
      </c>
      <c r="G1606" s="24">
        <v>172936</v>
      </c>
    </row>
    <row r="1607" spans="1:7" x14ac:dyDescent="0.25">
      <c r="A1607" s="24" t="s">
        <v>235</v>
      </c>
      <c r="B1607" s="24" t="s">
        <v>45</v>
      </c>
      <c r="C1607" s="24" t="s">
        <v>31</v>
      </c>
      <c r="D1607" s="24">
        <v>1.2</v>
      </c>
      <c r="E1607" s="24" t="s">
        <v>801</v>
      </c>
      <c r="F1607" s="24" t="s">
        <v>887</v>
      </c>
      <c r="G1607" s="24">
        <v>172936</v>
      </c>
    </row>
    <row r="1608" spans="1:7" x14ac:dyDescent="0.25">
      <c r="A1608" s="24" t="s">
        <v>235</v>
      </c>
      <c r="B1608" s="24" t="s">
        <v>46</v>
      </c>
      <c r="C1608" s="24" t="s">
        <v>36</v>
      </c>
      <c r="D1608" s="24">
        <v>1.5</v>
      </c>
      <c r="E1608" s="24" t="s">
        <v>801</v>
      </c>
      <c r="F1608" s="24" t="s">
        <v>887</v>
      </c>
      <c r="G1608" s="24">
        <v>172936</v>
      </c>
    </row>
    <row r="1609" spans="1:7" x14ac:dyDescent="0.25">
      <c r="A1609" s="24" t="s">
        <v>235</v>
      </c>
      <c r="B1609" s="24" t="s">
        <v>47</v>
      </c>
      <c r="C1609" s="24" t="s">
        <v>48</v>
      </c>
      <c r="D1609" s="24">
        <v>3</v>
      </c>
      <c r="E1609" s="24" t="s">
        <v>801</v>
      </c>
      <c r="F1609" s="24" t="s">
        <v>887</v>
      </c>
      <c r="G1609" s="24">
        <v>172936</v>
      </c>
    </row>
    <row r="1610" spans="1:7" x14ac:dyDescent="0.25">
      <c r="A1610" s="24" t="s">
        <v>235</v>
      </c>
      <c r="B1610" s="24" t="s">
        <v>50</v>
      </c>
      <c r="C1610" s="24" t="s">
        <v>31</v>
      </c>
      <c r="D1610" s="24">
        <v>316</v>
      </c>
      <c r="E1610" s="24" t="s">
        <v>801</v>
      </c>
      <c r="F1610" s="24" t="s">
        <v>887</v>
      </c>
      <c r="G1610" s="24">
        <v>172936</v>
      </c>
    </row>
    <row r="1611" spans="1:7" x14ac:dyDescent="0.25">
      <c r="A1611" s="24" t="s">
        <v>235</v>
      </c>
      <c r="B1611" s="24" t="s">
        <v>51</v>
      </c>
      <c r="C1611" s="24" t="s">
        <v>31</v>
      </c>
      <c r="D1611" s="24">
        <v>15</v>
      </c>
      <c r="E1611" s="24" t="s">
        <v>801</v>
      </c>
      <c r="F1611" s="24" t="s">
        <v>887</v>
      </c>
      <c r="G1611" s="24">
        <v>172936</v>
      </c>
    </row>
    <row r="1612" spans="1:7" x14ac:dyDescent="0.25">
      <c r="A1612" s="24" t="s">
        <v>235</v>
      </c>
      <c r="B1612" s="24" t="s">
        <v>52</v>
      </c>
      <c r="C1612" s="24" t="s">
        <v>31</v>
      </c>
      <c r="D1612" s="24">
        <v>191</v>
      </c>
      <c r="E1612" s="24" t="s">
        <v>801</v>
      </c>
      <c r="F1612" s="24" t="s">
        <v>887</v>
      </c>
      <c r="G1612" s="24">
        <v>172936</v>
      </c>
    </row>
    <row r="1613" spans="1:7" x14ac:dyDescent="0.25">
      <c r="A1613" s="24" t="s">
        <v>235</v>
      </c>
      <c r="B1613" s="24" t="s">
        <v>53</v>
      </c>
      <c r="C1613" s="24" t="s">
        <v>31</v>
      </c>
      <c r="D1613" s="24">
        <v>19</v>
      </c>
      <c r="E1613" s="24" t="s">
        <v>801</v>
      </c>
      <c r="F1613" s="24" t="s">
        <v>887</v>
      </c>
      <c r="G1613" s="24">
        <v>172936</v>
      </c>
    </row>
    <row r="1614" spans="1:7" x14ac:dyDescent="0.25">
      <c r="A1614" s="24" t="s">
        <v>235</v>
      </c>
      <c r="B1614" s="24" t="s">
        <v>54</v>
      </c>
      <c r="C1614" s="24" t="s">
        <v>31</v>
      </c>
      <c r="D1614" s="24">
        <v>1.6</v>
      </c>
      <c r="E1614" s="24" t="s">
        <v>801</v>
      </c>
      <c r="F1614" s="24" t="s">
        <v>887</v>
      </c>
      <c r="G1614" s="24">
        <v>172936</v>
      </c>
    </row>
    <row r="1615" spans="1:7" x14ac:dyDescent="0.25">
      <c r="A1615" s="24" t="s">
        <v>235</v>
      </c>
      <c r="B1615" s="24" t="s">
        <v>55</v>
      </c>
      <c r="C1615" s="24" t="s">
        <v>31</v>
      </c>
      <c r="D1615" s="24">
        <v>2.9</v>
      </c>
      <c r="E1615" s="24" t="s">
        <v>801</v>
      </c>
      <c r="F1615" s="24" t="s">
        <v>887</v>
      </c>
      <c r="G1615" s="24">
        <v>172936</v>
      </c>
    </row>
    <row r="1616" spans="1:7" x14ac:dyDescent="0.25">
      <c r="A1616" s="24" t="s">
        <v>235</v>
      </c>
      <c r="B1616" s="24" t="s">
        <v>56</v>
      </c>
      <c r="C1616" s="24" t="s">
        <v>31</v>
      </c>
      <c r="D1616" s="24">
        <v>0.4</v>
      </c>
      <c r="E1616" s="24" t="s">
        <v>801</v>
      </c>
      <c r="F1616" s="24" t="s">
        <v>887</v>
      </c>
      <c r="G1616" s="24">
        <v>172936</v>
      </c>
    </row>
    <row r="1617" spans="1:7" x14ac:dyDescent="0.25">
      <c r="A1617" s="24" t="s">
        <v>235</v>
      </c>
      <c r="B1617" s="24" t="s">
        <v>57</v>
      </c>
      <c r="C1617" s="24" t="s">
        <v>36</v>
      </c>
      <c r="D1617" s="24">
        <v>31.3</v>
      </c>
      <c r="E1617" s="24" t="s">
        <v>801</v>
      </c>
      <c r="F1617" s="24" t="s">
        <v>887</v>
      </c>
      <c r="G1617" s="24">
        <v>172936</v>
      </c>
    </row>
    <row r="1618" spans="1:7" x14ac:dyDescent="0.25">
      <c r="A1618" s="24" t="s">
        <v>235</v>
      </c>
      <c r="B1618" s="24" t="s">
        <v>58</v>
      </c>
      <c r="C1618" s="24" t="s">
        <v>5</v>
      </c>
      <c r="D1618" s="24">
        <v>0</v>
      </c>
      <c r="E1618" s="24" t="s">
        <v>795</v>
      </c>
      <c r="F1618" s="24"/>
      <c r="G1618" s="24"/>
    </row>
    <row r="1619" spans="1:7" x14ac:dyDescent="0.25">
      <c r="A1619" s="24" t="s">
        <v>235</v>
      </c>
      <c r="B1619" s="24" t="s">
        <v>18</v>
      </c>
      <c r="C1619" s="24" t="s">
        <v>5</v>
      </c>
      <c r="D1619" s="24">
        <v>39.5</v>
      </c>
      <c r="E1619" s="24" t="s">
        <v>803</v>
      </c>
      <c r="F1619" s="24"/>
      <c r="G1619" s="24"/>
    </row>
    <row r="1620" spans="1:7" x14ac:dyDescent="0.25">
      <c r="A1620" s="24" t="s">
        <v>236</v>
      </c>
      <c r="B1620" s="24" t="s">
        <v>29</v>
      </c>
      <c r="C1620" s="24" t="s">
        <v>5</v>
      </c>
      <c r="D1620" s="24">
        <v>0.5</v>
      </c>
      <c r="E1620" s="24" t="s">
        <v>799</v>
      </c>
      <c r="F1620" s="24" t="s">
        <v>887</v>
      </c>
      <c r="G1620" s="24">
        <v>172936</v>
      </c>
    </row>
    <row r="1621" spans="1:7" x14ac:dyDescent="0.25">
      <c r="A1621" s="24" t="s">
        <v>236</v>
      </c>
      <c r="B1621" s="24" t="s">
        <v>58</v>
      </c>
      <c r="C1621" s="24" t="s">
        <v>5</v>
      </c>
      <c r="D1621" s="24">
        <v>0</v>
      </c>
      <c r="E1621" s="24" t="s">
        <v>795</v>
      </c>
      <c r="F1621" s="24"/>
      <c r="G1621" s="24"/>
    </row>
    <row r="1622" spans="1:7" x14ac:dyDescent="0.25">
      <c r="A1622" s="24" t="s">
        <v>237</v>
      </c>
      <c r="B1622" s="24" t="s">
        <v>29</v>
      </c>
      <c r="C1622" s="24" t="s">
        <v>5</v>
      </c>
      <c r="D1622" s="24">
        <v>0.51</v>
      </c>
      <c r="E1622" s="24" t="s">
        <v>799</v>
      </c>
      <c r="F1622" s="24" t="s">
        <v>888</v>
      </c>
      <c r="G1622" s="24">
        <v>168624</v>
      </c>
    </row>
    <row r="1623" spans="1:7" x14ac:dyDescent="0.25">
      <c r="A1623" s="24" t="s">
        <v>237</v>
      </c>
      <c r="B1623" s="24" t="s">
        <v>58</v>
      </c>
      <c r="C1623" s="24" t="s">
        <v>5</v>
      </c>
      <c r="D1623" s="24">
        <v>0</v>
      </c>
      <c r="E1623" s="24" t="s">
        <v>795</v>
      </c>
      <c r="F1623" s="24"/>
      <c r="G1623" s="24"/>
    </row>
    <row r="1624" spans="1:7" x14ac:dyDescent="0.25">
      <c r="A1624" s="24" t="s">
        <v>238</v>
      </c>
      <c r="B1624" s="24" t="s">
        <v>29</v>
      </c>
      <c r="C1624" s="24" t="s">
        <v>5</v>
      </c>
      <c r="D1624" s="24">
        <v>0</v>
      </c>
      <c r="E1624" s="24" t="s">
        <v>799</v>
      </c>
      <c r="F1624" s="24" t="s">
        <v>889</v>
      </c>
      <c r="G1624" s="24">
        <v>167914</v>
      </c>
    </row>
    <row r="1625" spans="1:7" x14ac:dyDescent="0.25">
      <c r="A1625" s="24" t="s">
        <v>238</v>
      </c>
      <c r="B1625" s="24" t="s">
        <v>37</v>
      </c>
      <c r="C1625" s="24" t="s">
        <v>38</v>
      </c>
      <c r="D1625" s="24">
        <v>0.3</v>
      </c>
      <c r="E1625" s="24" t="s">
        <v>796</v>
      </c>
      <c r="F1625" s="24" t="s">
        <v>889</v>
      </c>
      <c r="G1625" s="24">
        <v>167914</v>
      </c>
    </row>
    <row r="1626" spans="1:7" x14ac:dyDescent="0.25">
      <c r="A1626" s="24" t="s">
        <v>238</v>
      </c>
      <c r="B1626" s="24" t="s">
        <v>58</v>
      </c>
      <c r="C1626" s="24" t="s">
        <v>5</v>
      </c>
      <c r="D1626" s="24">
        <v>0</v>
      </c>
      <c r="E1626" s="24" t="s">
        <v>795</v>
      </c>
      <c r="F1626" s="24"/>
      <c r="G1626" s="24"/>
    </row>
    <row r="1627" spans="1:7" x14ac:dyDescent="0.25">
      <c r="A1627" s="24" t="s">
        <v>239</v>
      </c>
      <c r="B1627" s="24" t="s">
        <v>58</v>
      </c>
      <c r="C1627" s="24" t="s">
        <v>5</v>
      </c>
      <c r="D1627" s="24">
        <v>0</v>
      </c>
      <c r="E1627" s="24" t="s">
        <v>795</v>
      </c>
      <c r="F1627" s="24"/>
      <c r="G1627" s="24"/>
    </row>
    <row r="1628" spans="1:7" x14ac:dyDescent="0.25">
      <c r="A1628" s="24" t="s">
        <v>240</v>
      </c>
      <c r="B1628" s="24" t="s">
        <v>20</v>
      </c>
      <c r="C1628" s="24" t="s">
        <v>5</v>
      </c>
      <c r="D1628" s="24">
        <v>3.5</v>
      </c>
      <c r="E1628" s="24" t="s">
        <v>796</v>
      </c>
      <c r="F1628" s="24" t="s">
        <v>890</v>
      </c>
      <c r="G1628" s="24">
        <v>172968</v>
      </c>
    </row>
    <row r="1629" spans="1:7" x14ac:dyDescent="0.25">
      <c r="A1629" s="24" t="s">
        <v>240</v>
      </c>
      <c r="B1629" s="24" t="s">
        <v>24</v>
      </c>
      <c r="C1629" s="24" t="s">
        <v>5</v>
      </c>
      <c r="D1629" s="24">
        <v>0</v>
      </c>
      <c r="E1629" s="24" t="s">
        <v>801</v>
      </c>
      <c r="F1629" s="24" t="s">
        <v>890</v>
      </c>
      <c r="G1629" s="24">
        <v>172968</v>
      </c>
    </row>
    <row r="1630" spans="1:7" x14ac:dyDescent="0.25">
      <c r="A1630" s="24" t="s">
        <v>240</v>
      </c>
      <c r="B1630" s="24" t="s">
        <v>32</v>
      </c>
      <c r="C1630" s="24" t="s">
        <v>33</v>
      </c>
      <c r="D1630" s="24">
        <v>0</v>
      </c>
      <c r="E1630" s="24" t="s">
        <v>801</v>
      </c>
      <c r="F1630" s="24" t="s">
        <v>890</v>
      </c>
      <c r="G1630" s="24">
        <v>172968</v>
      </c>
    </row>
    <row r="1631" spans="1:7" x14ac:dyDescent="0.25">
      <c r="A1631" s="24" t="s">
        <v>240</v>
      </c>
      <c r="B1631" s="24" t="s">
        <v>34</v>
      </c>
      <c r="C1631" s="24" t="s">
        <v>31</v>
      </c>
      <c r="D1631" s="24">
        <v>0</v>
      </c>
      <c r="E1631" s="24" t="s">
        <v>801</v>
      </c>
      <c r="F1631" s="24" t="s">
        <v>890</v>
      </c>
      <c r="G1631" s="24">
        <v>172968</v>
      </c>
    </row>
    <row r="1632" spans="1:7" x14ac:dyDescent="0.25">
      <c r="A1632" s="24" t="s">
        <v>240</v>
      </c>
      <c r="B1632" s="24" t="s">
        <v>37</v>
      </c>
      <c r="C1632" s="24" t="s">
        <v>38</v>
      </c>
      <c r="D1632" s="24">
        <v>0.2</v>
      </c>
      <c r="E1632" s="24" t="s">
        <v>801</v>
      </c>
      <c r="F1632" s="24" t="s">
        <v>890</v>
      </c>
      <c r="G1632" s="24">
        <v>172968</v>
      </c>
    </row>
    <row r="1633" spans="1:7" x14ac:dyDescent="0.25">
      <c r="A1633" s="24" t="s">
        <v>240</v>
      </c>
      <c r="B1633" s="24" t="s">
        <v>40</v>
      </c>
      <c r="C1633" s="24" t="s">
        <v>31</v>
      </c>
      <c r="D1633" s="24">
        <v>0.1</v>
      </c>
      <c r="E1633" s="24" t="s">
        <v>801</v>
      </c>
      <c r="F1633" s="24" t="s">
        <v>890</v>
      </c>
      <c r="G1633" s="24">
        <v>172968</v>
      </c>
    </row>
    <row r="1634" spans="1:7" x14ac:dyDescent="0.25">
      <c r="A1634" s="24" t="s">
        <v>240</v>
      </c>
      <c r="B1634" s="24" t="s">
        <v>41</v>
      </c>
      <c r="C1634" s="24" t="s">
        <v>31</v>
      </c>
      <c r="D1634" s="24">
        <v>0.1</v>
      </c>
      <c r="E1634" s="24" t="s">
        <v>801</v>
      </c>
      <c r="F1634" s="24" t="s">
        <v>890</v>
      </c>
      <c r="G1634" s="24">
        <v>172968</v>
      </c>
    </row>
    <row r="1635" spans="1:7" x14ac:dyDescent="0.25">
      <c r="A1635" s="24" t="s">
        <v>240</v>
      </c>
      <c r="B1635" s="24" t="s">
        <v>42</v>
      </c>
      <c r="C1635" s="24" t="s">
        <v>43</v>
      </c>
      <c r="D1635" s="24">
        <v>2.7</v>
      </c>
      <c r="E1635" s="24" t="s">
        <v>801</v>
      </c>
      <c r="F1635" s="24" t="s">
        <v>890</v>
      </c>
      <c r="G1635" s="24">
        <v>172968</v>
      </c>
    </row>
    <row r="1636" spans="1:7" x14ac:dyDescent="0.25">
      <c r="A1636" s="24" t="s">
        <v>240</v>
      </c>
      <c r="B1636" s="24" t="s">
        <v>44</v>
      </c>
      <c r="C1636" s="24" t="s">
        <v>31</v>
      </c>
      <c r="D1636" s="24">
        <v>0.2</v>
      </c>
      <c r="E1636" s="24" t="s">
        <v>801</v>
      </c>
      <c r="F1636" s="24" t="s">
        <v>890</v>
      </c>
      <c r="G1636" s="24">
        <v>172968</v>
      </c>
    </row>
    <row r="1637" spans="1:7" x14ac:dyDescent="0.25">
      <c r="A1637" s="24" t="s">
        <v>240</v>
      </c>
      <c r="B1637" s="24" t="s">
        <v>45</v>
      </c>
      <c r="C1637" s="24" t="s">
        <v>31</v>
      </c>
      <c r="D1637" s="24">
        <v>0.3</v>
      </c>
      <c r="E1637" s="24" t="s">
        <v>801</v>
      </c>
      <c r="F1637" s="24" t="s">
        <v>890</v>
      </c>
      <c r="G1637" s="24">
        <v>172968</v>
      </c>
    </row>
    <row r="1638" spans="1:7" x14ac:dyDescent="0.25">
      <c r="A1638" s="24" t="s">
        <v>240</v>
      </c>
      <c r="B1638" s="24" t="s">
        <v>46</v>
      </c>
      <c r="C1638" s="24" t="s">
        <v>36</v>
      </c>
      <c r="D1638" s="24">
        <v>1.6</v>
      </c>
      <c r="E1638" s="24" t="s">
        <v>801</v>
      </c>
      <c r="F1638" s="24" t="s">
        <v>890</v>
      </c>
      <c r="G1638" s="24">
        <v>172968</v>
      </c>
    </row>
    <row r="1639" spans="1:7" x14ac:dyDescent="0.25">
      <c r="A1639" s="24" t="s">
        <v>240</v>
      </c>
      <c r="B1639" s="24" t="s">
        <v>47</v>
      </c>
      <c r="C1639" s="24" t="s">
        <v>48</v>
      </c>
      <c r="D1639" s="24">
        <v>6</v>
      </c>
      <c r="E1639" s="24" t="s">
        <v>801</v>
      </c>
      <c r="F1639" s="24" t="s">
        <v>890</v>
      </c>
      <c r="G1639" s="24">
        <v>172968</v>
      </c>
    </row>
    <row r="1640" spans="1:7" x14ac:dyDescent="0.25">
      <c r="A1640" s="24" t="s">
        <v>240</v>
      </c>
      <c r="B1640" s="24" t="s">
        <v>50</v>
      </c>
      <c r="C1640" s="24" t="s">
        <v>31</v>
      </c>
      <c r="D1640" s="24">
        <v>152</v>
      </c>
      <c r="E1640" s="24" t="s">
        <v>801</v>
      </c>
      <c r="F1640" s="24" t="s">
        <v>890</v>
      </c>
      <c r="G1640" s="24">
        <v>172968</v>
      </c>
    </row>
    <row r="1641" spans="1:7" x14ac:dyDescent="0.25">
      <c r="A1641" s="24" t="s">
        <v>240</v>
      </c>
      <c r="B1641" s="24" t="s">
        <v>51</v>
      </c>
      <c r="C1641" s="24" t="s">
        <v>31</v>
      </c>
      <c r="D1641" s="24">
        <v>99</v>
      </c>
      <c r="E1641" s="24" t="s">
        <v>801</v>
      </c>
      <c r="F1641" s="24" t="s">
        <v>890</v>
      </c>
      <c r="G1641" s="24">
        <v>172968</v>
      </c>
    </row>
    <row r="1642" spans="1:7" x14ac:dyDescent="0.25">
      <c r="A1642" s="24" t="s">
        <v>240</v>
      </c>
      <c r="B1642" s="24" t="s">
        <v>52</v>
      </c>
      <c r="C1642" s="24" t="s">
        <v>31</v>
      </c>
      <c r="D1642" s="24">
        <v>206</v>
      </c>
      <c r="E1642" s="24" t="s">
        <v>801</v>
      </c>
      <c r="F1642" s="24" t="s">
        <v>890</v>
      </c>
      <c r="G1642" s="24">
        <v>172968</v>
      </c>
    </row>
    <row r="1643" spans="1:7" x14ac:dyDescent="0.25">
      <c r="A1643" s="24" t="s">
        <v>240</v>
      </c>
      <c r="B1643" s="24" t="s">
        <v>53</v>
      </c>
      <c r="C1643" s="24" t="s">
        <v>31</v>
      </c>
      <c r="D1643" s="24">
        <v>15</v>
      </c>
      <c r="E1643" s="24" t="s">
        <v>801</v>
      </c>
      <c r="F1643" s="24" t="s">
        <v>890</v>
      </c>
      <c r="G1643" s="24">
        <v>172968</v>
      </c>
    </row>
    <row r="1644" spans="1:7" x14ac:dyDescent="0.25">
      <c r="A1644" s="24" t="s">
        <v>240</v>
      </c>
      <c r="B1644" s="24" t="s">
        <v>54</v>
      </c>
      <c r="C1644" s="24" t="s">
        <v>31</v>
      </c>
      <c r="D1644" s="24">
        <v>1.1000000000000001</v>
      </c>
      <c r="E1644" s="24" t="s">
        <v>801</v>
      </c>
      <c r="F1644" s="24" t="s">
        <v>890</v>
      </c>
      <c r="G1644" s="24">
        <v>172968</v>
      </c>
    </row>
    <row r="1645" spans="1:7" x14ac:dyDescent="0.25">
      <c r="A1645" s="24" t="s">
        <v>240</v>
      </c>
      <c r="B1645" s="24" t="s">
        <v>55</v>
      </c>
      <c r="C1645" s="24" t="s">
        <v>31</v>
      </c>
      <c r="D1645" s="24">
        <v>1.2</v>
      </c>
      <c r="E1645" s="24" t="s">
        <v>801</v>
      </c>
      <c r="F1645" s="24" t="s">
        <v>890</v>
      </c>
      <c r="G1645" s="24">
        <v>172968</v>
      </c>
    </row>
    <row r="1646" spans="1:7" x14ac:dyDescent="0.25">
      <c r="A1646" s="24" t="s">
        <v>240</v>
      </c>
      <c r="B1646" s="24" t="s">
        <v>56</v>
      </c>
      <c r="C1646" s="24" t="s">
        <v>31</v>
      </c>
      <c r="D1646" s="24">
        <v>0.1</v>
      </c>
      <c r="E1646" s="24" t="s">
        <v>801</v>
      </c>
      <c r="F1646" s="24" t="s">
        <v>890</v>
      </c>
      <c r="G1646" s="24">
        <v>172968</v>
      </c>
    </row>
    <row r="1647" spans="1:7" x14ac:dyDescent="0.25">
      <c r="A1647" s="24" t="s">
        <v>240</v>
      </c>
      <c r="B1647" s="24" t="s">
        <v>57</v>
      </c>
      <c r="C1647" s="24" t="s">
        <v>36</v>
      </c>
      <c r="D1647" s="24">
        <v>12.5</v>
      </c>
      <c r="E1647" s="24" t="s">
        <v>801</v>
      </c>
      <c r="F1647" s="24" t="s">
        <v>890</v>
      </c>
      <c r="G1647" s="24">
        <v>172968</v>
      </c>
    </row>
    <row r="1648" spans="1:7" x14ac:dyDescent="0.25">
      <c r="A1648" s="24" t="s">
        <v>240</v>
      </c>
      <c r="B1648" s="24" t="s">
        <v>58</v>
      </c>
      <c r="C1648" s="24" t="s">
        <v>5</v>
      </c>
      <c r="D1648" s="24">
        <v>0</v>
      </c>
      <c r="E1648" s="24" t="s">
        <v>795</v>
      </c>
      <c r="F1648" s="24"/>
      <c r="G1648" s="24"/>
    </row>
    <row r="1649" spans="1:7" x14ac:dyDescent="0.25">
      <c r="A1649" s="24" t="s">
        <v>240</v>
      </c>
      <c r="B1649" s="24" t="s">
        <v>18</v>
      </c>
      <c r="C1649" s="24" t="s">
        <v>5</v>
      </c>
      <c r="D1649" s="24">
        <v>60.7</v>
      </c>
      <c r="E1649" s="24" t="s">
        <v>803</v>
      </c>
      <c r="F1649" s="24"/>
      <c r="G1649" s="24"/>
    </row>
    <row r="1650" spans="1:7" x14ac:dyDescent="0.25">
      <c r="A1650" s="24" t="s">
        <v>241</v>
      </c>
      <c r="B1650" s="24" t="s">
        <v>29</v>
      </c>
      <c r="C1650" s="24" t="s">
        <v>5</v>
      </c>
      <c r="D1650" s="24">
        <v>0.83</v>
      </c>
      <c r="E1650" s="24" t="s">
        <v>799</v>
      </c>
      <c r="F1650" s="24" t="s">
        <v>891</v>
      </c>
      <c r="G1650" s="24">
        <v>171625</v>
      </c>
    </row>
    <row r="1651" spans="1:7" x14ac:dyDescent="0.25">
      <c r="A1651" s="24" t="s">
        <v>241</v>
      </c>
      <c r="B1651" s="24" t="s">
        <v>45</v>
      </c>
      <c r="C1651" s="24" t="s">
        <v>31</v>
      </c>
      <c r="D1651" s="24">
        <v>0.6</v>
      </c>
      <c r="E1651" s="24" t="s">
        <v>796</v>
      </c>
      <c r="F1651" s="24" t="s">
        <v>891</v>
      </c>
      <c r="G1651" s="24">
        <v>171625</v>
      </c>
    </row>
    <row r="1652" spans="1:7" x14ac:dyDescent="0.25">
      <c r="A1652" s="24" t="s">
        <v>241</v>
      </c>
      <c r="B1652" s="24" t="s">
        <v>58</v>
      </c>
      <c r="C1652" s="24" t="s">
        <v>5</v>
      </c>
      <c r="D1652" s="24">
        <v>0</v>
      </c>
      <c r="E1652" s="24" t="s">
        <v>795</v>
      </c>
      <c r="F1652" s="24"/>
      <c r="G1652" s="24"/>
    </row>
    <row r="1653" spans="1:7" x14ac:dyDescent="0.25">
      <c r="A1653" s="24" t="s">
        <v>242</v>
      </c>
      <c r="B1653" s="24" t="s">
        <v>20</v>
      </c>
      <c r="C1653" s="24" t="s">
        <v>5</v>
      </c>
      <c r="D1653" s="24">
        <v>3.1</v>
      </c>
      <c r="E1653" s="24" t="s">
        <v>796</v>
      </c>
      <c r="F1653" s="24" t="s">
        <v>892</v>
      </c>
      <c r="G1653" s="24">
        <v>171624</v>
      </c>
    </row>
    <row r="1654" spans="1:7" x14ac:dyDescent="0.25">
      <c r="A1654" s="24" t="s">
        <v>242</v>
      </c>
      <c r="B1654" s="24" t="s">
        <v>24</v>
      </c>
      <c r="C1654" s="24" t="s">
        <v>5</v>
      </c>
      <c r="D1654" s="24">
        <v>0</v>
      </c>
      <c r="E1654" s="24" t="s">
        <v>801</v>
      </c>
      <c r="F1654" s="24" t="s">
        <v>892</v>
      </c>
      <c r="G1654" s="24">
        <v>171624</v>
      </c>
    </row>
    <row r="1655" spans="1:7" x14ac:dyDescent="0.25">
      <c r="A1655" s="24" t="s">
        <v>242</v>
      </c>
      <c r="B1655" s="24" t="s">
        <v>32</v>
      </c>
      <c r="C1655" s="24" t="s">
        <v>33</v>
      </c>
      <c r="D1655" s="24">
        <v>0</v>
      </c>
      <c r="E1655" s="24" t="s">
        <v>801</v>
      </c>
      <c r="F1655" s="24" t="s">
        <v>892</v>
      </c>
      <c r="G1655" s="24">
        <v>171624</v>
      </c>
    </row>
    <row r="1656" spans="1:7" x14ac:dyDescent="0.25">
      <c r="A1656" s="24" t="s">
        <v>242</v>
      </c>
      <c r="B1656" s="24" t="s">
        <v>34</v>
      </c>
      <c r="C1656" s="24" t="s">
        <v>31</v>
      </c>
      <c r="D1656" s="24">
        <v>0</v>
      </c>
      <c r="E1656" s="24" t="s">
        <v>801</v>
      </c>
      <c r="F1656" s="24" t="s">
        <v>892</v>
      </c>
      <c r="G1656" s="24">
        <v>171624</v>
      </c>
    </row>
    <row r="1657" spans="1:7" x14ac:dyDescent="0.25">
      <c r="A1657" s="24" t="s">
        <v>242</v>
      </c>
      <c r="B1657" s="24" t="s">
        <v>35</v>
      </c>
      <c r="C1657" s="24" t="s">
        <v>36</v>
      </c>
      <c r="D1657" s="24">
        <v>0.5</v>
      </c>
      <c r="E1657" s="24" t="s">
        <v>801</v>
      </c>
      <c r="F1657" s="24" t="s">
        <v>892</v>
      </c>
      <c r="G1657" s="24">
        <v>171624</v>
      </c>
    </row>
    <row r="1658" spans="1:7" x14ac:dyDescent="0.25">
      <c r="A1658" s="24" t="s">
        <v>242</v>
      </c>
      <c r="B1658" s="24" t="s">
        <v>37</v>
      </c>
      <c r="C1658" s="24" t="s">
        <v>38</v>
      </c>
      <c r="D1658" s="24">
        <v>0.2</v>
      </c>
      <c r="E1658" s="24" t="s">
        <v>801</v>
      </c>
      <c r="F1658" s="24" t="s">
        <v>892</v>
      </c>
      <c r="G1658" s="24">
        <v>171624</v>
      </c>
    </row>
    <row r="1659" spans="1:7" x14ac:dyDescent="0.25">
      <c r="A1659" s="24" t="s">
        <v>242</v>
      </c>
      <c r="B1659" s="24" t="s">
        <v>39</v>
      </c>
      <c r="C1659" s="24" t="s">
        <v>36</v>
      </c>
      <c r="D1659" s="24">
        <v>0</v>
      </c>
      <c r="E1659" s="24" t="s">
        <v>801</v>
      </c>
      <c r="F1659" s="24" t="s">
        <v>892</v>
      </c>
      <c r="G1659" s="24">
        <v>171624</v>
      </c>
    </row>
    <row r="1660" spans="1:7" x14ac:dyDescent="0.25">
      <c r="A1660" s="24" t="s">
        <v>242</v>
      </c>
      <c r="B1660" s="24" t="s">
        <v>40</v>
      </c>
      <c r="C1660" s="24" t="s">
        <v>31</v>
      </c>
      <c r="D1660" s="24">
        <v>0.1</v>
      </c>
      <c r="E1660" s="24" t="s">
        <v>801</v>
      </c>
      <c r="F1660" s="24" t="s">
        <v>892</v>
      </c>
      <c r="G1660" s="24">
        <v>171624</v>
      </c>
    </row>
    <row r="1661" spans="1:7" x14ac:dyDescent="0.25">
      <c r="A1661" s="24" t="s">
        <v>242</v>
      </c>
      <c r="B1661" s="24" t="s">
        <v>41</v>
      </c>
      <c r="C1661" s="24" t="s">
        <v>31</v>
      </c>
      <c r="D1661" s="24">
        <v>0.3</v>
      </c>
      <c r="E1661" s="24" t="s">
        <v>801</v>
      </c>
      <c r="F1661" s="24" t="s">
        <v>892</v>
      </c>
      <c r="G1661" s="24">
        <v>171624</v>
      </c>
    </row>
    <row r="1662" spans="1:7" x14ac:dyDescent="0.25">
      <c r="A1662" s="24" t="s">
        <v>242</v>
      </c>
      <c r="B1662" s="24" t="s">
        <v>42</v>
      </c>
      <c r="C1662" s="24" t="s">
        <v>43</v>
      </c>
      <c r="D1662" s="24">
        <v>4.7</v>
      </c>
      <c r="E1662" s="24" t="s">
        <v>801</v>
      </c>
      <c r="F1662" s="24" t="s">
        <v>892</v>
      </c>
      <c r="G1662" s="24">
        <v>171624</v>
      </c>
    </row>
    <row r="1663" spans="1:7" x14ac:dyDescent="0.25">
      <c r="A1663" s="24" t="s">
        <v>242</v>
      </c>
      <c r="B1663" s="24" t="s">
        <v>44</v>
      </c>
      <c r="C1663" s="24" t="s">
        <v>31</v>
      </c>
      <c r="D1663" s="24">
        <v>0.3</v>
      </c>
      <c r="E1663" s="24" t="s">
        <v>801</v>
      </c>
      <c r="F1663" s="24" t="s">
        <v>892</v>
      </c>
      <c r="G1663" s="24">
        <v>171624</v>
      </c>
    </row>
    <row r="1664" spans="1:7" x14ac:dyDescent="0.25">
      <c r="A1664" s="24" t="s">
        <v>242</v>
      </c>
      <c r="B1664" s="24" t="s">
        <v>45</v>
      </c>
      <c r="C1664" s="24" t="s">
        <v>31</v>
      </c>
      <c r="D1664" s="24">
        <v>1.1000000000000001</v>
      </c>
      <c r="E1664" s="24" t="s">
        <v>801</v>
      </c>
      <c r="F1664" s="24" t="s">
        <v>892</v>
      </c>
      <c r="G1664" s="24">
        <v>171624</v>
      </c>
    </row>
    <row r="1665" spans="1:7" x14ac:dyDescent="0.25">
      <c r="A1665" s="24" t="s">
        <v>242</v>
      </c>
      <c r="B1665" s="24" t="s">
        <v>46</v>
      </c>
      <c r="C1665" s="24" t="s">
        <v>36</v>
      </c>
      <c r="D1665" s="24">
        <v>0.5</v>
      </c>
      <c r="E1665" s="24" t="s">
        <v>801</v>
      </c>
      <c r="F1665" s="24" t="s">
        <v>892</v>
      </c>
      <c r="G1665" s="24">
        <v>171624</v>
      </c>
    </row>
    <row r="1666" spans="1:7" x14ac:dyDescent="0.25">
      <c r="A1666" s="24" t="s">
        <v>242</v>
      </c>
      <c r="B1666" s="24" t="s">
        <v>47</v>
      </c>
      <c r="C1666" s="24" t="s">
        <v>48</v>
      </c>
      <c r="D1666" s="24">
        <v>9</v>
      </c>
      <c r="E1666" s="24" t="s">
        <v>801</v>
      </c>
      <c r="F1666" s="24" t="s">
        <v>892</v>
      </c>
      <c r="G1666" s="24">
        <v>171624</v>
      </c>
    </row>
    <row r="1667" spans="1:7" x14ac:dyDescent="0.25">
      <c r="A1667" s="24" t="s">
        <v>242</v>
      </c>
      <c r="B1667" s="24" t="s">
        <v>50</v>
      </c>
      <c r="C1667" s="24" t="s">
        <v>31</v>
      </c>
      <c r="D1667" s="24">
        <v>202</v>
      </c>
      <c r="E1667" s="24" t="s">
        <v>801</v>
      </c>
      <c r="F1667" s="24" t="s">
        <v>892</v>
      </c>
      <c r="G1667" s="24">
        <v>171624</v>
      </c>
    </row>
    <row r="1668" spans="1:7" x14ac:dyDescent="0.25">
      <c r="A1668" s="24" t="s">
        <v>242</v>
      </c>
      <c r="B1668" s="24" t="s">
        <v>51</v>
      </c>
      <c r="C1668" s="24" t="s">
        <v>31</v>
      </c>
      <c r="D1668" s="24">
        <v>74</v>
      </c>
      <c r="E1668" s="24" t="s">
        <v>801</v>
      </c>
      <c r="F1668" s="24" t="s">
        <v>892</v>
      </c>
      <c r="G1668" s="24">
        <v>171624</v>
      </c>
    </row>
    <row r="1669" spans="1:7" x14ac:dyDescent="0.25">
      <c r="A1669" s="24" t="s">
        <v>242</v>
      </c>
      <c r="B1669" s="24" t="s">
        <v>52</v>
      </c>
      <c r="C1669" s="24" t="s">
        <v>31</v>
      </c>
      <c r="D1669" s="24">
        <v>162</v>
      </c>
      <c r="E1669" s="24" t="s">
        <v>801</v>
      </c>
      <c r="F1669" s="24" t="s">
        <v>892</v>
      </c>
      <c r="G1669" s="24">
        <v>171624</v>
      </c>
    </row>
    <row r="1670" spans="1:7" x14ac:dyDescent="0.25">
      <c r="A1670" s="24" t="s">
        <v>242</v>
      </c>
      <c r="B1670" s="24" t="s">
        <v>53</v>
      </c>
      <c r="C1670" s="24" t="s">
        <v>31</v>
      </c>
      <c r="D1670" s="24">
        <v>20</v>
      </c>
      <c r="E1670" s="24" t="s">
        <v>801</v>
      </c>
      <c r="F1670" s="24" t="s">
        <v>892</v>
      </c>
      <c r="G1670" s="24">
        <v>171624</v>
      </c>
    </row>
    <row r="1671" spans="1:7" x14ac:dyDescent="0.25">
      <c r="A1671" s="24" t="s">
        <v>242</v>
      </c>
      <c r="B1671" s="24" t="s">
        <v>54</v>
      </c>
      <c r="C1671" s="24" t="s">
        <v>31</v>
      </c>
      <c r="D1671" s="24">
        <v>1.2</v>
      </c>
      <c r="E1671" s="24" t="s">
        <v>801</v>
      </c>
      <c r="F1671" s="24" t="s">
        <v>892</v>
      </c>
      <c r="G1671" s="24">
        <v>171624</v>
      </c>
    </row>
    <row r="1672" spans="1:7" x14ac:dyDescent="0.25">
      <c r="A1672" s="24" t="s">
        <v>242</v>
      </c>
      <c r="B1672" s="24" t="s">
        <v>55</v>
      </c>
      <c r="C1672" s="24" t="s">
        <v>31</v>
      </c>
      <c r="D1672" s="24">
        <v>1.1000000000000001</v>
      </c>
      <c r="E1672" s="24" t="s">
        <v>801</v>
      </c>
      <c r="F1672" s="24" t="s">
        <v>892</v>
      </c>
      <c r="G1672" s="24">
        <v>171624</v>
      </c>
    </row>
    <row r="1673" spans="1:7" x14ac:dyDescent="0.25">
      <c r="A1673" s="24" t="s">
        <v>242</v>
      </c>
      <c r="B1673" s="24" t="s">
        <v>56</v>
      </c>
      <c r="C1673" s="24" t="s">
        <v>31</v>
      </c>
      <c r="D1673" s="24">
        <v>0.1</v>
      </c>
      <c r="E1673" s="24" t="s">
        <v>801</v>
      </c>
      <c r="F1673" s="24" t="s">
        <v>892</v>
      </c>
      <c r="G1673" s="24">
        <v>171624</v>
      </c>
    </row>
    <row r="1674" spans="1:7" x14ac:dyDescent="0.25">
      <c r="A1674" s="24" t="s">
        <v>242</v>
      </c>
      <c r="B1674" s="24" t="s">
        <v>57</v>
      </c>
      <c r="C1674" s="24" t="s">
        <v>36</v>
      </c>
      <c r="D1674" s="24">
        <v>23</v>
      </c>
      <c r="E1674" s="24" t="s">
        <v>801</v>
      </c>
      <c r="F1674" s="24" t="s">
        <v>892</v>
      </c>
      <c r="G1674" s="24">
        <v>171624</v>
      </c>
    </row>
    <row r="1675" spans="1:7" x14ac:dyDescent="0.25">
      <c r="A1675" s="24" t="s">
        <v>242</v>
      </c>
      <c r="B1675" s="24" t="s">
        <v>58</v>
      </c>
      <c r="C1675" s="24" t="s">
        <v>5</v>
      </c>
      <c r="D1675" s="24">
        <v>0</v>
      </c>
      <c r="E1675" s="24" t="s">
        <v>795</v>
      </c>
      <c r="F1675" s="24"/>
      <c r="G1675" s="24"/>
    </row>
    <row r="1676" spans="1:7" x14ac:dyDescent="0.25">
      <c r="A1676" s="24" t="s">
        <v>242</v>
      </c>
      <c r="B1676" s="24" t="s">
        <v>18</v>
      </c>
      <c r="C1676" s="24" t="s">
        <v>5</v>
      </c>
      <c r="D1676" s="24">
        <v>61.4</v>
      </c>
      <c r="E1676" s="24" t="s">
        <v>803</v>
      </c>
      <c r="F1676" s="24"/>
      <c r="G1676" s="24"/>
    </row>
    <row r="1677" spans="1:7" x14ac:dyDescent="0.25">
      <c r="A1677" s="24" t="s">
        <v>244</v>
      </c>
      <c r="B1677" s="24" t="s">
        <v>20</v>
      </c>
      <c r="C1677" s="24" t="s">
        <v>5</v>
      </c>
      <c r="D1677" s="24">
        <v>1.8</v>
      </c>
      <c r="E1677" s="24" t="s">
        <v>809</v>
      </c>
      <c r="F1677" s="24"/>
      <c r="G1677" s="24"/>
    </row>
    <row r="1678" spans="1:7" x14ac:dyDescent="0.25">
      <c r="A1678" s="24" t="s">
        <v>244</v>
      </c>
      <c r="B1678" s="24" t="s">
        <v>23</v>
      </c>
      <c r="C1678" s="24" t="s">
        <v>5</v>
      </c>
      <c r="D1678" s="24">
        <v>0</v>
      </c>
      <c r="E1678" s="24" t="s">
        <v>796</v>
      </c>
      <c r="F1678" s="24" t="s">
        <v>893</v>
      </c>
      <c r="G1678" s="24">
        <v>174214</v>
      </c>
    </row>
    <row r="1679" spans="1:7" x14ac:dyDescent="0.25">
      <c r="A1679" s="24" t="s">
        <v>244</v>
      </c>
      <c r="B1679" s="24" t="s">
        <v>29</v>
      </c>
      <c r="C1679" s="24" t="s">
        <v>5</v>
      </c>
      <c r="D1679" s="24">
        <v>0.02</v>
      </c>
      <c r="E1679" s="24" t="s">
        <v>799</v>
      </c>
      <c r="F1679" s="24" t="s">
        <v>893</v>
      </c>
      <c r="G1679" s="24">
        <v>174214</v>
      </c>
    </row>
    <row r="1680" spans="1:7" x14ac:dyDescent="0.25">
      <c r="A1680" s="24" t="s">
        <v>244</v>
      </c>
      <c r="B1680" s="24" t="s">
        <v>35</v>
      </c>
      <c r="C1680" s="24" t="s">
        <v>36</v>
      </c>
      <c r="D1680" s="24">
        <v>0</v>
      </c>
      <c r="E1680" s="24" t="s">
        <v>796</v>
      </c>
      <c r="F1680" s="24" t="s">
        <v>893</v>
      </c>
      <c r="G1680" s="24">
        <v>174214</v>
      </c>
    </row>
    <row r="1681" spans="1:7" x14ac:dyDescent="0.25">
      <c r="A1681" s="24" t="s">
        <v>244</v>
      </c>
      <c r="B1681" s="24" t="s">
        <v>39</v>
      </c>
      <c r="C1681" s="24" t="s">
        <v>36</v>
      </c>
      <c r="D1681" s="24">
        <v>0.2</v>
      </c>
      <c r="E1681" s="24" t="s">
        <v>796</v>
      </c>
      <c r="F1681" s="24" t="s">
        <v>893</v>
      </c>
      <c r="G1681" s="24">
        <v>174214</v>
      </c>
    </row>
    <row r="1682" spans="1:7" x14ac:dyDescent="0.25">
      <c r="A1682" s="24" t="s">
        <v>244</v>
      </c>
      <c r="B1682" s="24" t="s">
        <v>58</v>
      </c>
      <c r="C1682" s="24" t="s">
        <v>5</v>
      </c>
      <c r="D1682" s="24">
        <v>0</v>
      </c>
      <c r="E1682" s="24" t="s">
        <v>795</v>
      </c>
      <c r="F1682" s="24"/>
      <c r="G1682" s="24"/>
    </row>
    <row r="1683" spans="1:7" x14ac:dyDescent="0.25">
      <c r="A1683" s="24" t="s">
        <v>245</v>
      </c>
      <c r="B1683" s="24" t="s">
        <v>23</v>
      </c>
      <c r="C1683" s="24" t="s">
        <v>5</v>
      </c>
      <c r="D1683" s="24">
        <v>0</v>
      </c>
      <c r="E1683" s="24" t="s">
        <v>796</v>
      </c>
      <c r="F1683" s="24" t="s">
        <v>894</v>
      </c>
      <c r="G1683" s="24">
        <v>171976</v>
      </c>
    </row>
    <row r="1684" spans="1:7" x14ac:dyDescent="0.25">
      <c r="A1684" s="24" t="s">
        <v>245</v>
      </c>
      <c r="B1684" s="24" t="s">
        <v>29</v>
      </c>
      <c r="C1684" s="24" t="s">
        <v>5</v>
      </c>
      <c r="D1684" s="24">
        <v>0.05</v>
      </c>
      <c r="E1684" s="24" t="s">
        <v>799</v>
      </c>
      <c r="F1684" s="24" t="s">
        <v>894</v>
      </c>
      <c r="G1684" s="24">
        <v>171976</v>
      </c>
    </row>
    <row r="1685" spans="1:7" x14ac:dyDescent="0.25">
      <c r="A1685" s="24" t="s">
        <v>245</v>
      </c>
      <c r="B1685" s="24" t="s">
        <v>32</v>
      </c>
      <c r="C1685" s="24" t="s">
        <v>33</v>
      </c>
      <c r="D1685" s="24">
        <v>120.5</v>
      </c>
      <c r="E1685" s="24" t="s">
        <v>796</v>
      </c>
      <c r="F1685" s="24" t="s">
        <v>894</v>
      </c>
      <c r="G1685" s="24">
        <v>171976</v>
      </c>
    </row>
    <row r="1686" spans="1:7" x14ac:dyDescent="0.25">
      <c r="A1686" s="24" t="s">
        <v>245</v>
      </c>
      <c r="B1686" s="24" t="s">
        <v>34</v>
      </c>
      <c r="C1686" s="24" t="s">
        <v>31</v>
      </c>
      <c r="D1686" s="24">
        <v>0</v>
      </c>
      <c r="E1686" s="24" t="s">
        <v>796</v>
      </c>
      <c r="F1686" s="24" t="s">
        <v>894</v>
      </c>
      <c r="G1686" s="24">
        <v>171976</v>
      </c>
    </row>
    <row r="1687" spans="1:7" x14ac:dyDescent="0.25">
      <c r="A1687" s="24" t="s">
        <v>245</v>
      </c>
      <c r="B1687" s="24" t="s">
        <v>35</v>
      </c>
      <c r="C1687" s="24" t="s">
        <v>36</v>
      </c>
      <c r="D1687" s="24">
        <v>0.1</v>
      </c>
      <c r="E1687" s="24" t="s">
        <v>796</v>
      </c>
      <c r="F1687" s="24" t="s">
        <v>894</v>
      </c>
      <c r="G1687" s="24">
        <v>171976</v>
      </c>
    </row>
    <row r="1688" spans="1:7" x14ac:dyDescent="0.25">
      <c r="A1688" s="24" t="s">
        <v>245</v>
      </c>
      <c r="B1688" s="24" t="s">
        <v>37</v>
      </c>
      <c r="C1688" s="24" t="s">
        <v>38</v>
      </c>
      <c r="D1688" s="24">
        <v>0.9</v>
      </c>
      <c r="E1688" s="24" t="s">
        <v>796</v>
      </c>
      <c r="F1688" s="24" t="s">
        <v>894</v>
      </c>
      <c r="G1688" s="24">
        <v>171976</v>
      </c>
    </row>
    <row r="1689" spans="1:7" x14ac:dyDescent="0.25">
      <c r="A1689" s="24" t="s">
        <v>245</v>
      </c>
      <c r="B1689" s="24" t="s">
        <v>39</v>
      </c>
      <c r="C1689" s="24" t="s">
        <v>36</v>
      </c>
      <c r="D1689" s="24">
        <v>0.2</v>
      </c>
      <c r="E1689" s="24" t="s">
        <v>796</v>
      </c>
      <c r="F1689" s="24" t="s">
        <v>894</v>
      </c>
      <c r="G1689" s="24">
        <v>171976</v>
      </c>
    </row>
    <row r="1690" spans="1:7" x14ac:dyDescent="0.25">
      <c r="A1690" s="24" t="s">
        <v>245</v>
      </c>
      <c r="B1690" s="24" t="s">
        <v>40</v>
      </c>
      <c r="C1690" s="24" t="s">
        <v>31</v>
      </c>
      <c r="D1690" s="24">
        <v>0</v>
      </c>
      <c r="E1690" s="24" t="s">
        <v>796</v>
      </c>
      <c r="F1690" s="24" t="s">
        <v>894</v>
      </c>
      <c r="G1690" s="24">
        <v>171976</v>
      </c>
    </row>
    <row r="1691" spans="1:7" x14ac:dyDescent="0.25">
      <c r="A1691" s="24" t="s">
        <v>245</v>
      </c>
      <c r="B1691" s="24" t="s">
        <v>44</v>
      </c>
      <c r="C1691" s="24" t="s">
        <v>31</v>
      </c>
      <c r="D1691" s="24">
        <v>0</v>
      </c>
      <c r="E1691" s="24" t="s">
        <v>796</v>
      </c>
      <c r="F1691" s="24" t="s">
        <v>894</v>
      </c>
      <c r="G1691" s="24">
        <v>171976</v>
      </c>
    </row>
    <row r="1692" spans="1:7" x14ac:dyDescent="0.25">
      <c r="A1692" s="24" t="s">
        <v>245</v>
      </c>
      <c r="B1692" s="24" t="s">
        <v>45</v>
      </c>
      <c r="C1692" s="24" t="s">
        <v>31</v>
      </c>
      <c r="D1692" s="24">
        <v>0.2</v>
      </c>
      <c r="E1692" s="24" t="s">
        <v>796</v>
      </c>
      <c r="F1692" s="24" t="s">
        <v>894</v>
      </c>
      <c r="G1692" s="24">
        <v>171976</v>
      </c>
    </row>
    <row r="1693" spans="1:7" x14ac:dyDescent="0.25">
      <c r="A1693" s="24" t="s">
        <v>245</v>
      </c>
      <c r="B1693" s="24" t="s">
        <v>46</v>
      </c>
      <c r="C1693" s="24" t="s">
        <v>36</v>
      </c>
      <c r="D1693" s="24">
        <v>15.1</v>
      </c>
      <c r="E1693" s="24" t="s">
        <v>796</v>
      </c>
      <c r="F1693" s="24" t="s">
        <v>894</v>
      </c>
      <c r="G1693" s="24">
        <v>171976</v>
      </c>
    </row>
    <row r="1694" spans="1:7" x14ac:dyDescent="0.25">
      <c r="A1694" s="24" t="s">
        <v>245</v>
      </c>
      <c r="B1694" s="24" t="s">
        <v>47</v>
      </c>
      <c r="C1694" s="24" t="s">
        <v>48</v>
      </c>
      <c r="D1694" s="24">
        <v>5.7</v>
      </c>
      <c r="E1694" s="24" t="s">
        <v>796</v>
      </c>
      <c r="F1694" s="24" t="s">
        <v>894</v>
      </c>
      <c r="G1694" s="24">
        <v>171976</v>
      </c>
    </row>
    <row r="1695" spans="1:7" x14ac:dyDescent="0.25">
      <c r="A1695" s="24" t="s">
        <v>245</v>
      </c>
      <c r="B1695" s="24" t="s">
        <v>53</v>
      </c>
      <c r="C1695" s="24" t="s">
        <v>31</v>
      </c>
      <c r="D1695" s="24">
        <v>25.9</v>
      </c>
      <c r="E1695" s="24" t="s">
        <v>796</v>
      </c>
      <c r="F1695" s="24" t="s">
        <v>894</v>
      </c>
      <c r="G1695" s="24">
        <v>171976</v>
      </c>
    </row>
    <row r="1696" spans="1:7" x14ac:dyDescent="0.25">
      <c r="A1696" s="24" t="s">
        <v>245</v>
      </c>
      <c r="B1696" s="24" t="s">
        <v>55</v>
      </c>
      <c r="C1696" s="24" t="s">
        <v>31</v>
      </c>
      <c r="D1696" s="24">
        <v>0.7</v>
      </c>
      <c r="E1696" s="24" t="s">
        <v>796</v>
      </c>
      <c r="F1696" s="24" t="s">
        <v>894</v>
      </c>
      <c r="G1696" s="24">
        <v>171976</v>
      </c>
    </row>
    <row r="1697" spans="1:7" x14ac:dyDescent="0.25">
      <c r="A1697" s="24" t="s">
        <v>245</v>
      </c>
      <c r="B1697" s="24" t="s">
        <v>56</v>
      </c>
      <c r="C1697" s="24" t="s">
        <v>31</v>
      </c>
      <c r="D1697" s="24">
        <v>0.1</v>
      </c>
      <c r="E1697" s="24" t="s">
        <v>796</v>
      </c>
      <c r="F1697" s="24" t="s">
        <v>894</v>
      </c>
      <c r="G1697" s="24">
        <v>171976</v>
      </c>
    </row>
    <row r="1698" spans="1:7" x14ac:dyDescent="0.25">
      <c r="A1698" s="24" t="s">
        <v>245</v>
      </c>
      <c r="B1698" s="24" t="s">
        <v>57</v>
      </c>
      <c r="C1698" s="24" t="s">
        <v>36</v>
      </c>
      <c r="D1698" s="24">
        <v>40.799999999999997</v>
      </c>
      <c r="E1698" s="24" t="s">
        <v>796</v>
      </c>
      <c r="F1698" s="24" t="s">
        <v>894</v>
      </c>
      <c r="G1698" s="24">
        <v>171976</v>
      </c>
    </row>
    <row r="1699" spans="1:7" x14ac:dyDescent="0.25">
      <c r="A1699" s="24" t="s">
        <v>245</v>
      </c>
      <c r="B1699" s="24" t="s">
        <v>58</v>
      </c>
      <c r="C1699" s="24" t="s">
        <v>5</v>
      </c>
      <c r="D1699" s="24">
        <v>0</v>
      </c>
      <c r="E1699" s="24" t="s">
        <v>795</v>
      </c>
      <c r="F1699" s="24"/>
      <c r="G1699" s="24"/>
    </row>
    <row r="1700" spans="1:7" x14ac:dyDescent="0.25">
      <c r="A1700" s="24" t="s">
        <v>246</v>
      </c>
      <c r="B1700" s="24" t="s">
        <v>23</v>
      </c>
      <c r="C1700" s="24" t="s">
        <v>5</v>
      </c>
      <c r="D1700" s="24">
        <v>0</v>
      </c>
      <c r="E1700" s="24" t="s">
        <v>796</v>
      </c>
      <c r="F1700" s="24" t="s">
        <v>895</v>
      </c>
      <c r="G1700" s="24">
        <v>171983</v>
      </c>
    </row>
    <row r="1701" spans="1:7" x14ac:dyDescent="0.25">
      <c r="A1701" s="24" t="s">
        <v>246</v>
      </c>
      <c r="B1701" s="24" t="s">
        <v>26</v>
      </c>
      <c r="C1701" s="24" t="s">
        <v>5</v>
      </c>
      <c r="D1701" s="24">
        <v>0.17</v>
      </c>
      <c r="E1701" s="24" t="s">
        <v>799</v>
      </c>
      <c r="F1701" s="24" t="s">
        <v>895</v>
      </c>
      <c r="G1701" s="24">
        <v>171983</v>
      </c>
    </row>
    <row r="1702" spans="1:7" x14ac:dyDescent="0.25">
      <c r="A1702" s="24" t="s">
        <v>246</v>
      </c>
      <c r="B1702" s="24" t="s">
        <v>27</v>
      </c>
      <c r="C1702" s="24" t="s">
        <v>5</v>
      </c>
      <c r="D1702" s="24">
        <v>0.15</v>
      </c>
      <c r="E1702" s="24" t="s">
        <v>799</v>
      </c>
      <c r="F1702" s="24" t="s">
        <v>895</v>
      </c>
      <c r="G1702" s="24">
        <v>171983</v>
      </c>
    </row>
    <row r="1703" spans="1:7" x14ac:dyDescent="0.25">
      <c r="A1703" s="24" t="s">
        <v>246</v>
      </c>
      <c r="B1703" s="24" t="s">
        <v>28</v>
      </c>
      <c r="C1703" s="24" t="s">
        <v>5</v>
      </c>
      <c r="D1703" s="24">
        <v>0.13</v>
      </c>
      <c r="E1703" s="24" t="s">
        <v>799</v>
      </c>
      <c r="F1703" s="24" t="s">
        <v>895</v>
      </c>
      <c r="G1703" s="24">
        <v>171983</v>
      </c>
    </row>
    <row r="1704" spans="1:7" x14ac:dyDescent="0.25">
      <c r="A1704" s="24" t="s">
        <v>246</v>
      </c>
      <c r="B1704" s="24" t="s">
        <v>30</v>
      </c>
      <c r="C1704" s="24" t="s">
        <v>31</v>
      </c>
      <c r="D1704" s="24">
        <v>65</v>
      </c>
      <c r="E1704" s="24" t="s">
        <v>801</v>
      </c>
      <c r="F1704" s="24" t="s">
        <v>895</v>
      </c>
      <c r="G1704" s="24">
        <v>171983</v>
      </c>
    </row>
    <row r="1705" spans="1:7" x14ac:dyDescent="0.25">
      <c r="A1705" s="24" t="s">
        <v>246</v>
      </c>
      <c r="B1705" s="24" t="s">
        <v>32</v>
      </c>
      <c r="C1705" s="24" t="s">
        <v>33</v>
      </c>
      <c r="D1705" s="24">
        <v>20</v>
      </c>
      <c r="E1705" s="24" t="s">
        <v>796</v>
      </c>
      <c r="F1705" s="24" t="s">
        <v>895</v>
      </c>
      <c r="G1705" s="24">
        <v>171983</v>
      </c>
    </row>
    <row r="1706" spans="1:7" x14ac:dyDescent="0.25">
      <c r="A1706" s="24" t="s">
        <v>246</v>
      </c>
      <c r="B1706" s="24" t="s">
        <v>34</v>
      </c>
      <c r="C1706" s="24" t="s">
        <v>31</v>
      </c>
      <c r="D1706" s="24">
        <v>3.1</v>
      </c>
      <c r="E1706" s="24" t="s">
        <v>796</v>
      </c>
      <c r="F1706" s="24" t="s">
        <v>895</v>
      </c>
      <c r="G1706" s="24">
        <v>171983</v>
      </c>
    </row>
    <row r="1707" spans="1:7" x14ac:dyDescent="0.25">
      <c r="A1707" s="24" t="s">
        <v>246</v>
      </c>
      <c r="B1707" s="24" t="s">
        <v>35</v>
      </c>
      <c r="C1707" s="24" t="s">
        <v>36</v>
      </c>
      <c r="D1707" s="24">
        <v>0</v>
      </c>
      <c r="E1707" s="24" t="s">
        <v>796</v>
      </c>
      <c r="F1707" s="24" t="s">
        <v>895</v>
      </c>
      <c r="G1707" s="24">
        <v>171983</v>
      </c>
    </row>
    <row r="1708" spans="1:7" x14ac:dyDescent="0.25">
      <c r="A1708" s="24" t="s">
        <v>246</v>
      </c>
      <c r="B1708" s="24" t="s">
        <v>37</v>
      </c>
      <c r="C1708" s="24" t="s">
        <v>38</v>
      </c>
      <c r="D1708" s="24">
        <v>0.1</v>
      </c>
      <c r="E1708" s="24" t="s">
        <v>796</v>
      </c>
      <c r="F1708" s="24" t="s">
        <v>895</v>
      </c>
      <c r="G1708" s="24">
        <v>171983</v>
      </c>
    </row>
    <row r="1709" spans="1:7" x14ac:dyDescent="0.25">
      <c r="A1709" s="24" t="s">
        <v>246</v>
      </c>
      <c r="B1709" s="24" t="s">
        <v>39</v>
      </c>
      <c r="C1709" s="24" t="s">
        <v>36</v>
      </c>
      <c r="D1709" s="24">
        <v>0.1</v>
      </c>
      <c r="E1709" s="24" t="s">
        <v>796</v>
      </c>
      <c r="F1709" s="24" t="s">
        <v>895</v>
      </c>
      <c r="G1709" s="24">
        <v>171983</v>
      </c>
    </row>
    <row r="1710" spans="1:7" x14ac:dyDescent="0.25">
      <c r="A1710" s="24" t="s">
        <v>246</v>
      </c>
      <c r="B1710" s="24" t="s">
        <v>40</v>
      </c>
      <c r="C1710" s="24" t="s">
        <v>31</v>
      </c>
      <c r="D1710" s="24">
        <v>0</v>
      </c>
      <c r="E1710" s="24" t="s">
        <v>796</v>
      </c>
      <c r="F1710" s="24" t="s">
        <v>895</v>
      </c>
      <c r="G1710" s="24">
        <v>171983</v>
      </c>
    </row>
    <row r="1711" spans="1:7" x14ac:dyDescent="0.25">
      <c r="A1711" s="24" t="s">
        <v>246</v>
      </c>
      <c r="B1711" s="24" t="s">
        <v>41</v>
      </c>
      <c r="C1711" s="24" t="s">
        <v>31</v>
      </c>
      <c r="D1711" s="24">
        <v>0.1</v>
      </c>
      <c r="E1711" s="24" t="s">
        <v>796</v>
      </c>
      <c r="F1711" s="24" t="s">
        <v>895</v>
      </c>
      <c r="G1711" s="24">
        <v>171983</v>
      </c>
    </row>
    <row r="1712" spans="1:7" x14ac:dyDescent="0.25">
      <c r="A1712" s="24" t="s">
        <v>246</v>
      </c>
      <c r="B1712" s="24" t="s">
        <v>42</v>
      </c>
      <c r="C1712" s="24" t="s">
        <v>43</v>
      </c>
      <c r="D1712" s="24">
        <v>0.8</v>
      </c>
      <c r="E1712" s="24" t="s">
        <v>796</v>
      </c>
      <c r="F1712" s="24" t="s">
        <v>895</v>
      </c>
      <c r="G1712" s="24">
        <v>171983</v>
      </c>
    </row>
    <row r="1713" spans="1:7" x14ac:dyDescent="0.25">
      <c r="A1713" s="24" t="s">
        <v>246</v>
      </c>
      <c r="B1713" s="24" t="s">
        <v>44</v>
      </c>
      <c r="C1713" s="24" t="s">
        <v>31</v>
      </c>
      <c r="D1713" s="24">
        <v>0.3</v>
      </c>
      <c r="E1713" s="24" t="s">
        <v>796</v>
      </c>
      <c r="F1713" s="24" t="s">
        <v>895</v>
      </c>
      <c r="G1713" s="24">
        <v>171983</v>
      </c>
    </row>
    <row r="1714" spans="1:7" x14ac:dyDescent="0.25">
      <c r="A1714" s="24" t="s">
        <v>246</v>
      </c>
      <c r="B1714" s="24" t="s">
        <v>45</v>
      </c>
      <c r="C1714" s="24" t="s">
        <v>31</v>
      </c>
      <c r="D1714" s="24">
        <v>0.2</v>
      </c>
      <c r="E1714" s="24" t="s">
        <v>796</v>
      </c>
      <c r="F1714" s="24" t="s">
        <v>895</v>
      </c>
      <c r="G1714" s="24">
        <v>171983</v>
      </c>
    </row>
    <row r="1715" spans="1:7" x14ac:dyDescent="0.25">
      <c r="A1715" s="24" t="s">
        <v>246</v>
      </c>
      <c r="B1715" s="24" t="s">
        <v>46</v>
      </c>
      <c r="C1715" s="24" t="s">
        <v>36</v>
      </c>
      <c r="D1715" s="24">
        <v>7</v>
      </c>
      <c r="E1715" s="24" t="s">
        <v>796</v>
      </c>
      <c r="F1715" s="24" t="s">
        <v>895</v>
      </c>
      <c r="G1715" s="24">
        <v>171983</v>
      </c>
    </row>
    <row r="1716" spans="1:7" x14ac:dyDescent="0.25">
      <c r="A1716" s="24" t="s">
        <v>246</v>
      </c>
      <c r="B1716" s="24" t="s">
        <v>47</v>
      </c>
      <c r="C1716" s="24" t="s">
        <v>48</v>
      </c>
      <c r="D1716" s="24">
        <v>4.5999999999999996</v>
      </c>
      <c r="E1716" s="24" t="s">
        <v>796</v>
      </c>
      <c r="F1716" s="24" t="s">
        <v>895</v>
      </c>
      <c r="G1716" s="24">
        <v>171983</v>
      </c>
    </row>
    <row r="1717" spans="1:7" x14ac:dyDescent="0.25">
      <c r="A1717" s="24" t="s">
        <v>246</v>
      </c>
      <c r="B1717" s="24" t="s">
        <v>49</v>
      </c>
      <c r="C1717" s="24" t="s">
        <v>31</v>
      </c>
      <c r="D1717" s="24">
        <v>158.69999999999999</v>
      </c>
      <c r="E1717" s="24" t="s">
        <v>796</v>
      </c>
      <c r="F1717" s="24" t="s">
        <v>895</v>
      </c>
      <c r="G1717" s="24">
        <v>171983</v>
      </c>
    </row>
    <row r="1718" spans="1:7" x14ac:dyDescent="0.25">
      <c r="A1718" s="24" t="s">
        <v>246</v>
      </c>
      <c r="B1718" s="24" t="s">
        <v>50</v>
      </c>
      <c r="C1718" s="24" t="s">
        <v>31</v>
      </c>
      <c r="D1718" s="24">
        <v>267.39999999999998</v>
      </c>
      <c r="E1718" s="24" t="s">
        <v>796</v>
      </c>
      <c r="F1718" s="24" t="s">
        <v>895</v>
      </c>
      <c r="G1718" s="24">
        <v>171983</v>
      </c>
    </row>
    <row r="1719" spans="1:7" x14ac:dyDescent="0.25">
      <c r="A1719" s="24" t="s">
        <v>246</v>
      </c>
      <c r="B1719" s="24" t="s">
        <v>51</v>
      </c>
      <c r="C1719" s="24" t="s">
        <v>31</v>
      </c>
      <c r="D1719" s="24">
        <v>43.9</v>
      </c>
      <c r="E1719" s="24" t="s">
        <v>796</v>
      </c>
      <c r="F1719" s="24" t="s">
        <v>895</v>
      </c>
      <c r="G1719" s="24">
        <v>171983</v>
      </c>
    </row>
    <row r="1720" spans="1:7" x14ac:dyDescent="0.25">
      <c r="A1720" s="24" t="s">
        <v>246</v>
      </c>
      <c r="B1720" s="24" t="s">
        <v>52</v>
      </c>
      <c r="C1720" s="24" t="s">
        <v>31</v>
      </c>
      <c r="D1720" s="24">
        <v>108.7</v>
      </c>
      <c r="E1720" s="24" t="s">
        <v>796</v>
      </c>
      <c r="F1720" s="24" t="s">
        <v>895</v>
      </c>
      <c r="G1720" s="24">
        <v>171983</v>
      </c>
    </row>
    <row r="1721" spans="1:7" x14ac:dyDescent="0.25">
      <c r="A1721" s="24" t="s">
        <v>246</v>
      </c>
      <c r="B1721" s="24" t="s">
        <v>53</v>
      </c>
      <c r="C1721" s="24" t="s">
        <v>31</v>
      </c>
      <c r="D1721" s="24">
        <v>66.3</v>
      </c>
      <c r="E1721" s="24" t="s">
        <v>796</v>
      </c>
      <c r="F1721" s="24" t="s">
        <v>895</v>
      </c>
      <c r="G1721" s="24">
        <v>171983</v>
      </c>
    </row>
    <row r="1722" spans="1:7" x14ac:dyDescent="0.25">
      <c r="A1722" s="24" t="s">
        <v>246</v>
      </c>
      <c r="B1722" s="24" t="s">
        <v>54</v>
      </c>
      <c r="C1722" s="24" t="s">
        <v>31</v>
      </c>
      <c r="D1722" s="24">
        <v>3.9</v>
      </c>
      <c r="E1722" s="24" t="s">
        <v>796</v>
      </c>
      <c r="F1722" s="24" t="s">
        <v>895</v>
      </c>
      <c r="G1722" s="24">
        <v>171983</v>
      </c>
    </row>
    <row r="1723" spans="1:7" x14ac:dyDescent="0.25">
      <c r="A1723" s="24" t="s">
        <v>246</v>
      </c>
      <c r="B1723" s="24" t="s">
        <v>55</v>
      </c>
      <c r="C1723" s="24" t="s">
        <v>31</v>
      </c>
      <c r="D1723" s="24">
        <v>1.3</v>
      </c>
      <c r="E1723" s="24" t="s">
        <v>796</v>
      </c>
      <c r="F1723" s="24" t="s">
        <v>895</v>
      </c>
      <c r="G1723" s="24">
        <v>171983</v>
      </c>
    </row>
    <row r="1724" spans="1:7" x14ac:dyDescent="0.25">
      <c r="A1724" s="24" t="s">
        <v>246</v>
      </c>
      <c r="B1724" s="24" t="s">
        <v>56</v>
      </c>
      <c r="C1724" s="24" t="s">
        <v>31</v>
      </c>
      <c r="D1724" s="24">
        <v>0.8</v>
      </c>
      <c r="E1724" s="24" t="s">
        <v>796</v>
      </c>
      <c r="F1724" s="24" t="s">
        <v>895</v>
      </c>
      <c r="G1724" s="24">
        <v>171983</v>
      </c>
    </row>
    <row r="1725" spans="1:7" x14ac:dyDescent="0.25">
      <c r="A1725" s="24" t="s">
        <v>246</v>
      </c>
      <c r="B1725" s="24" t="s">
        <v>57</v>
      </c>
      <c r="C1725" s="24" t="s">
        <v>36</v>
      </c>
      <c r="D1725" s="24">
        <v>34.5</v>
      </c>
      <c r="E1725" s="24" t="s">
        <v>796</v>
      </c>
      <c r="F1725" s="24" t="s">
        <v>895</v>
      </c>
      <c r="G1725" s="24">
        <v>171983</v>
      </c>
    </row>
    <row r="1726" spans="1:7" x14ac:dyDescent="0.25">
      <c r="A1726" s="24" t="s">
        <v>246</v>
      </c>
      <c r="B1726" s="24" t="s">
        <v>58</v>
      </c>
      <c r="C1726" s="24" t="s">
        <v>5</v>
      </c>
      <c r="D1726" s="24">
        <v>0</v>
      </c>
      <c r="E1726" s="24" t="s">
        <v>795</v>
      </c>
      <c r="F1726" s="24"/>
      <c r="G1726" s="24"/>
    </row>
    <row r="1727" spans="1:7" x14ac:dyDescent="0.25">
      <c r="A1727" s="24" t="s">
        <v>247</v>
      </c>
      <c r="B1727" s="24" t="s">
        <v>23</v>
      </c>
      <c r="C1727" s="24" t="s">
        <v>5</v>
      </c>
      <c r="D1727" s="24">
        <v>0</v>
      </c>
      <c r="E1727" s="24" t="s">
        <v>796</v>
      </c>
      <c r="F1727" s="24" t="s">
        <v>896</v>
      </c>
      <c r="G1727" s="24">
        <v>174216</v>
      </c>
    </row>
    <row r="1728" spans="1:7" x14ac:dyDescent="0.25">
      <c r="A1728" s="24" t="s">
        <v>247</v>
      </c>
      <c r="B1728" s="24" t="s">
        <v>26</v>
      </c>
      <c r="C1728" s="24" t="s">
        <v>5</v>
      </c>
      <c r="D1728" s="24">
        <v>0.15</v>
      </c>
      <c r="E1728" s="24" t="s">
        <v>799</v>
      </c>
      <c r="F1728" s="24" t="s">
        <v>896</v>
      </c>
      <c r="G1728" s="24">
        <v>174216</v>
      </c>
    </row>
    <row r="1729" spans="1:7" x14ac:dyDescent="0.25">
      <c r="A1729" s="24" t="s">
        <v>247</v>
      </c>
      <c r="B1729" s="24" t="s">
        <v>27</v>
      </c>
      <c r="C1729" s="24" t="s">
        <v>5</v>
      </c>
      <c r="D1729" s="24">
        <v>0.18</v>
      </c>
      <c r="E1729" s="24" t="s">
        <v>799</v>
      </c>
      <c r="F1729" s="24" t="s">
        <v>896</v>
      </c>
      <c r="G1729" s="24">
        <v>174216</v>
      </c>
    </row>
    <row r="1730" spans="1:7" x14ac:dyDescent="0.25">
      <c r="A1730" s="24" t="s">
        <v>247</v>
      </c>
      <c r="B1730" s="24" t="s">
        <v>28</v>
      </c>
      <c r="C1730" s="24" t="s">
        <v>5</v>
      </c>
      <c r="D1730" s="24">
        <v>0.22</v>
      </c>
      <c r="E1730" s="24" t="s">
        <v>799</v>
      </c>
      <c r="F1730" s="24" t="s">
        <v>896</v>
      </c>
      <c r="G1730" s="24">
        <v>174216</v>
      </c>
    </row>
    <row r="1731" spans="1:7" x14ac:dyDescent="0.25">
      <c r="A1731" s="24" t="s">
        <v>247</v>
      </c>
      <c r="B1731" s="24" t="s">
        <v>30</v>
      </c>
      <c r="C1731" s="24" t="s">
        <v>31</v>
      </c>
      <c r="D1731" s="24">
        <v>28</v>
      </c>
      <c r="E1731" s="24" t="s">
        <v>801</v>
      </c>
      <c r="F1731" s="24" t="s">
        <v>896</v>
      </c>
      <c r="G1731" s="24">
        <v>174216</v>
      </c>
    </row>
    <row r="1732" spans="1:7" x14ac:dyDescent="0.25">
      <c r="A1732" s="24" t="s">
        <v>247</v>
      </c>
      <c r="B1732" s="24" t="s">
        <v>32</v>
      </c>
      <c r="C1732" s="24" t="s">
        <v>33</v>
      </c>
      <c r="D1732" s="24">
        <v>46.7</v>
      </c>
      <c r="E1732" s="24" t="s">
        <v>796</v>
      </c>
      <c r="F1732" s="24" t="s">
        <v>896</v>
      </c>
      <c r="G1732" s="24">
        <v>174216</v>
      </c>
    </row>
    <row r="1733" spans="1:7" x14ac:dyDescent="0.25">
      <c r="A1733" s="24" t="s">
        <v>247</v>
      </c>
      <c r="B1733" s="24" t="s">
        <v>34</v>
      </c>
      <c r="C1733" s="24" t="s">
        <v>31</v>
      </c>
      <c r="D1733" s="24">
        <v>7.8</v>
      </c>
      <c r="E1733" s="24" t="s">
        <v>796</v>
      </c>
      <c r="F1733" s="24" t="s">
        <v>896</v>
      </c>
      <c r="G1733" s="24">
        <v>174216</v>
      </c>
    </row>
    <row r="1734" spans="1:7" x14ac:dyDescent="0.25">
      <c r="A1734" s="24" t="s">
        <v>247</v>
      </c>
      <c r="B1734" s="24" t="s">
        <v>35</v>
      </c>
      <c r="C1734" s="24" t="s">
        <v>36</v>
      </c>
      <c r="D1734" s="24">
        <v>0</v>
      </c>
      <c r="E1734" s="24" t="s">
        <v>796</v>
      </c>
      <c r="F1734" s="24" t="s">
        <v>896</v>
      </c>
      <c r="G1734" s="24">
        <v>174216</v>
      </c>
    </row>
    <row r="1735" spans="1:7" x14ac:dyDescent="0.25">
      <c r="A1735" s="24" t="s">
        <v>247</v>
      </c>
      <c r="B1735" s="24" t="s">
        <v>37</v>
      </c>
      <c r="C1735" s="24" t="s">
        <v>38</v>
      </c>
      <c r="D1735" s="24">
        <v>0.5</v>
      </c>
      <c r="E1735" s="24" t="s">
        <v>796</v>
      </c>
      <c r="F1735" s="24" t="s">
        <v>896</v>
      </c>
      <c r="G1735" s="24">
        <v>174216</v>
      </c>
    </row>
    <row r="1736" spans="1:7" x14ac:dyDescent="0.25">
      <c r="A1736" s="24" t="s">
        <v>247</v>
      </c>
      <c r="B1736" s="24" t="s">
        <v>39</v>
      </c>
      <c r="C1736" s="24" t="s">
        <v>36</v>
      </c>
      <c r="D1736" s="24">
        <v>0.1</v>
      </c>
      <c r="E1736" s="24" t="s">
        <v>796</v>
      </c>
      <c r="F1736" s="24" t="s">
        <v>896</v>
      </c>
      <c r="G1736" s="24">
        <v>174216</v>
      </c>
    </row>
    <row r="1737" spans="1:7" x14ac:dyDescent="0.25">
      <c r="A1737" s="24" t="s">
        <v>247</v>
      </c>
      <c r="B1737" s="24" t="s">
        <v>44</v>
      </c>
      <c r="C1737" s="24" t="s">
        <v>31</v>
      </c>
      <c r="D1737" s="24">
        <v>0</v>
      </c>
      <c r="E1737" s="24" t="s">
        <v>796</v>
      </c>
      <c r="F1737" s="24" t="s">
        <v>896</v>
      </c>
      <c r="G1737" s="24">
        <v>174216</v>
      </c>
    </row>
    <row r="1738" spans="1:7" x14ac:dyDescent="0.25">
      <c r="A1738" s="24" t="s">
        <v>247</v>
      </c>
      <c r="B1738" s="24" t="s">
        <v>45</v>
      </c>
      <c r="C1738" s="24" t="s">
        <v>31</v>
      </c>
      <c r="D1738" s="24">
        <v>0.5</v>
      </c>
      <c r="E1738" s="24" t="s">
        <v>796</v>
      </c>
      <c r="F1738" s="24" t="s">
        <v>896</v>
      </c>
      <c r="G1738" s="24">
        <v>174216</v>
      </c>
    </row>
    <row r="1739" spans="1:7" x14ac:dyDescent="0.25">
      <c r="A1739" s="24" t="s">
        <v>247</v>
      </c>
      <c r="B1739" s="24" t="s">
        <v>46</v>
      </c>
      <c r="C1739" s="24" t="s">
        <v>36</v>
      </c>
      <c r="D1739" s="24">
        <v>11.7</v>
      </c>
      <c r="E1739" s="24" t="s">
        <v>796</v>
      </c>
      <c r="F1739" s="24" t="s">
        <v>896</v>
      </c>
      <c r="G1739" s="24">
        <v>174216</v>
      </c>
    </row>
    <row r="1740" spans="1:7" x14ac:dyDescent="0.25">
      <c r="A1740" s="24" t="s">
        <v>247</v>
      </c>
      <c r="B1740" s="24" t="s">
        <v>47</v>
      </c>
      <c r="C1740" s="24" t="s">
        <v>48</v>
      </c>
      <c r="D1740" s="24">
        <v>40.9</v>
      </c>
      <c r="E1740" s="24" t="s">
        <v>796</v>
      </c>
      <c r="F1740" s="24" t="s">
        <v>896</v>
      </c>
      <c r="G1740" s="24">
        <v>174216</v>
      </c>
    </row>
    <row r="1741" spans="1:7" x14ac:dyDescent="0.25">
      <c r="A1741" s="24" t="s">
        <v>247</v>
      </c>
      <c r="B1741" s="24" t="s">
        <v>49</v>
      </c>
      <c r="C1741" s="24" t="s">
        <v>31</v>
      </c>
      <c r="D1741" s="24">
        <v>278.3</v>
      </c>
      <c r="E1741" s="24" t="s">
        <v>796</v>
      </c>
      <c r="F1741" s="24" t="s">
        <v>896</v>
      </c>
      <c r="G1741" s="24">
        <v>174216</v>
      </c>
    </row>
    <row r="1742" spans="1:7" x14ac:dyDescent="0.25">
      <c r="A1742" s="24" t="s">
        <v>247</v>
      </c>
      <c r="B1742" s="24" t="s">
        <v>50</v>
      </c>
      <c r="C1742" s="24" t="s">
        <v>31</v>
      </c>
      <c r="D1742" s="24">
        <v>311.39999999999998</v>
      </c>
      <c r="E1742" s="24" t="s">
        <v>796</v>
      </c>
      <c r="F1742" s="24" t="s">
        <v>896</v>
      </c>
      <c r="G1742" s="24">
        <v>174216</v>
      </c>
    </row>
    <row r="1743" spans="1:7" x14ac:dyDescent="0.25">
      <c r="A1743" s="24" t="s">
        <v>247</v>
      </c>
      <c r="B1743" s="24" t="s">
        <v>53</v>
      </c>
      <c r="C1743" s="24" t="s">
        <v>31</v>
      </c>
      <c r="D1743" s="24">
        <v>33.1</v>
      </c>
      <c r="E1743" s="24" t="s">
        <v>796</v>
      </c>
      <c r="F1743" s="24" t="s">
        <v>896</v>
      </c>
      <c r="G1743" s="24">
        <v>174216</v>
      </c>
    </row>
    <row r="1744" spans="1:7" x14ac:dyDescent="0.25">
      <c r="A1744" s="24" t="s">
        <v>247</v>
      </c>
      <c r="B1744" s="24" t="s">
        <v>55</v>
      </c>
      <c r="C1744" s="24" t="s">
        <v>31</v>
      </c>
      <c r="D1744" s="24">
        <v>1.6</v>
      </c>
      <c r="E1744" s="24" t="s">
        <v>796</v>
      </c>
      <c r="F1744" s="24" t="s">
        <v>896</v>
      </c>
      <c r="G1744" s="24">
        <v>174216</v>
      </c>
    </row>
    <row r="1745" spans="1:7" x14ac:dyDescent="0.25">
      <c r="A1745" s="24" t="s">
        <v>247</v>
      </c>
      <c r="B1745" s="24" t="s">
        <v>56</v>
      </c>
      <c r="C1745" s="24" t="s">
        <v>31</v>
      </c>
      <c r="D1745" s="24">
        <v>0.1</v>
      </c>
      <c r="E1745" s="24" t="s">
        <v>796</v>
      </c>
      <c r="F1745" s="24" t="s">
        <v>896</v>
      </c>
      <c r="G1745" s="24">
        <v>174216</v>
      </c>
    </row>
    <row r="1746" spans="1:7" x14ac:dyDescent="0.25">
      <c r="A1746" s="24" t="s">
        <v>247</v>
      </c>
      <c r="B1746" s="24" t="s">
        <v>57</v>
      </c>
      <c r="C1746" s="24" t="s">
        <v>36</v>
      </c>
      <c r="D1746" s="24">
        <v>43.6</v>
      </c>
      <c r="E1746" s="24" t="s">
        <v>796</v>
      </c>
      <c r="F1746" s="24" t="s">
        <v>896</v>
      </c>
      <c r="G1746" s="24">
        <v>174216</v>
      </c>
    </row>
    <row r="1747" spans="1:7" x14ac:dyDescent="0.25">
      <c r="A1747" s="24" t="s">
        <v>247</v>
      </c>
      <c r="B1747" s="24" t="s">
        <v>58</v>
      </c>
      <c r="C1747" s="24" t="s">
        <v>5</v>
      </c>
      <c r="D1747" s="24">
        <v>0</v>
      </c>
      <c r="E1747" s="24" t="s">
        <v>795</v>
      </c>
      <c r="F1747" s="24"/>
      <c r="G1747" s="24"/>
    </row>
    <row r="1748" spans="1:7" x14ac:dyDescent="0.25">
      <c r="A1748" s="24" t="s">
        <v>248</v>
      </c>
      <c r="B1748" s="24" t="s">
        <v>26</v>
      </c>
      <c r="C1748" s="24" t="s">
        <v>5</v>
      </c>
      <c r="D1748" s="24">
        <v>0.83</v>
      </c>
      <c r="E1748" s="24" t="s">
        <v>799</v>
      </c>
      <c r="F1748" s="24" t="s">
        <v>897</v>
      </c>
      <c r="G1748" s="24">
        <v>174217</v>
      </c>
    </row>
    <row r="1749" spans="1:7" x14ac:dyDescent="0.25">
      <c r="A1749" s="24" t="s">
        <v>248</v>
      </c>
      <c r="B1749" s="24" t="s">
        <v>27</v>
      </c>
      <c r="C1749" s="24" t="s">
        <v>5</v>
      </c>
      <c r="D1749" s="24">
        <v>1</v>
      </c>
      <c r="E1749" s="24" t="s">
        <v>799</v>
      </c>
      <c r="F1749" s="24" t="s">
        <v>897</v>
      </c>
      <c r="G1749" s="24">
        <v>174217</v>
      </c>
    </row>
    <row r="1750" spans="1:7" x14ac:dyDescent="0.25">
      <c r="A1750" s="24" t="s">
        <v>248</v>
      </c>
      <c r="B1750" s="24" t="s">
        <v>28</v>
      </c>
      <c r="C1750" s="24" t="s">
        <v>5</v>
      </c>
      <c r="D1750" s="24">
        <v>1.19</v>
      </c>
      <c r="E1750" s="24" t="s">
        <v>799</v>
      </c>
      <c r="F1750" s="24" t="s">
        <v>897</v>
      </c>
      <c r="G1750" s="24">
        <v>174217</v>
      </c>
    </row>
    <row r="1751" spans="1:7" x14ac:dyDescent="0.25">
      <c r="A1751" s="24" t="s">
        <v>248</v>
      </c>
      <c r="B1751" s="24" t="s">
        <v>30</v>
      </c>
      <c r="C1751" s="24" t="s">
        <v>31</v>
      </c>
      <c r="D1751" s="24">
        <v>56</v>
      </c>
      <c r="E1751" s="24" t="s">
        <v>801</v>
      </c>
      <c r="F1751" s="24" t="s">
        <v>897</v>
      </c>
      <c r="G1751" s="24">
        <v>174217</v>
      </c>
    </row>
    <row r="1752" spans="1:7" x14ac:dyDescent="0.25">
      <c r="A1752" s="24" t="s">
        <v>248</v>
      </c>
      <c r="B1752" s="24" t="s">
        <v>32</v>
      </c>
      <c r="C1752" s="24" t="s">
        <v>33</v>
      </c>
      <c r="D1752" s="24">
        <v>68.400000000000006</v>
      </c>
      <c r="E1752" s="24" t="s">
        <v>796</v>
      </c>
      <c r="F1752" s="24" t="s">
        <v>897</v>
      </c>
      <c r="G1752" s="24">
        <v>174217</v>
      </c>
    </row>
    <row r="1753" spans="1:7" x14ac:dyDescent="0.25">
      <c r="A1753" s="24" t="s">
        <v>248</v>
      </c>
      <c r="B1753" s="24" t="s">
        <v>34</v>
      </c>
      <c r="C1753" s="24" t="s">
        <v>31</v>
      </c>
      <c r="D1753" s="24">
        <v>10.199999999999999</v>
      </c>
      <c r="E1753" s="24" t="s">
        <v>796</v>
      </c>
      <c r="F1753" s="24" t="s">
        <v>897</v>
      </c>
      <c r="G1753" s="24">
        <v>174217</v>
      </c>
    </row>
    <row r="1754" spans="1:7" x14ac:dyDescent="0.25">
      <c r="A1754" s="24" t="s">
        <v>248</v>
      </c>
      <c r="B1754" s="24" t="s">
        <v>40</v>
      </c>
      <c r="C1754" s="24" t="s">
        <v>31</v>
      </c>
      <c r="D1754" s="24">
        <v>0.2</v>
      </c>
      <c r="E1754" s="24" t="s">
        <v>796</v>
      </c>
      <c r="F1754" s="24" t="s">
        <v>897</v>
      </c>
      <c r="G1754" s="24">
        <v>174217</v>
      </c>
    </row>
    <row r="1755" spans="1:7" x14ac:dyDescent="0.25">
      <c r="A1755" s="24" t="s">
        <v>248</v>
      </c>
      <c r="B1755" s="24" t="s">
        <v>44</v>
      </c>
      <c r="C1755" s="24" t="s">
        <v>31</v>
      </c>
      <c r="D1755" s="24">
        <v>0.1</v>
      </c>
      <c r="E1755" s="24" t="s">
        <v>796</v>
      </c>
      <c r="F1755" s="24" t="s">
        <v>897</v>
      </c>
      <c r="G1755" s="24">
        <v>174217</v>
      </c>
    </row>
    <row r="1756" spans="1:7" x14ac:dyDescent="0.25">
      <c r="A1756" s="24" t="s">
        <v>248</v>
      </c>
      <c r="B1756" s="24" t="s">
        <v>45</v>
      </c>
      <c r="C1756" s="24" t="s">
        <v>31</v>
      </c>
      <c r="D1756" s="24">
        <v>0.7</v>
      </c>
      <c r="E1756" s="24" t="s">
        <v>796</v>
      </c>
      <c r="F1756" s="24" t="s">
        <v>897</v>
      </c>
      <c r="G1756" s="24">
        <v>174217</v>
      </c>
    </row>
    <row r="1757" spans="1:7" x14ac:dyDescent="0.25">
      <c r="A1757" s="24" t="s">
        <v>248</v>
      </c>
      <c r="B1757" s="24" t="s">
        <v>46</v>
      </c>
      <c r="C1757" s="24" t="s">
        <v>36</v>
      </c>
      <c r="D1757" s="24">
        <v>18</v>
      </c>
      <c r="E1757" s="24" t="s">
        <v>796</v>
      </c>
      <c r="F1757" s="24" t="s">
        <v>897</v>
      </c>
      <c r="G1757" s="24">
        <v>174217</v>
      </c>
    </row>
    <row r="1758" spans="1:7" x14ac:dyDescent="0.25">
      <c r="A1758" s="24" t="s">
        <v>248</v>
      </c>
      <c r="B1758" s="24" t="s">
        <v>47</v>
      </c>
      <c r="C1758" s="24" t="s">
        <v>48</v>
      </c>
      <c r="D1758" s="24">
        <v>57.1</v>
      </c>
      <c r="E1758" s="24" t="s">
        <v>796</v>
      </c>
      <c r="F1758" s="24" t="s">
        <v>897</v>
      </c>
      <c r="G1758" s="24">
        <v>174217</v>
      </c>
    </row>
    <row r="1759" spans="1:7" x14ac:dyDescent="0.25">
      <c r="A1759" s="24" t="s">
        <v>248</v>
      </c>
      <c r="B1759" s="24" t="s">
        <v>53</v>
      </c>
      <c r="C1759" s="24" t="s">
        <v>31</v>
      </c>
      <c r="D1759" s="24">
        <v>27.8</v>
      </c>
      <c r="E1759" s="24" t="s">
        <v>796</v>
      </c>
      <c r="F1759" s="24" t="s">
        <v>897</v>
      </c>
      <c r="G1759" s="24">
        <v>174217</v>
      </c>
    </row>
    <row r="1760" spans="1:7" x14ac:dyDescent="0.25">
      <c r="A1760" s="24" t="s">
        <v>248</v>
      </c>
      <c r="B1760" s="24" t="s">
        <v>55</v>
      </c>
      <c r="C1760" s="24" t="s">
        <v>31</v>
      </c>
      <c r="D1760" s="24">
        <v>2</v>
      </c>
      <c r="E1760" s="24" t="s">
        <v>796</v>
      </c>
      <c r="F1760" s="24" t="s">
        <v>897</v>
      </c>
      <c r="G1760" s="24">
        <v>174217</v>
      </c>
    </row>
    <row r="1761" spans="1:7" x14ac:dyDescent="0.25">
      <c r="A1761" s="24" t="s">
        <v>248</v>
      </c>
      <c r="B1761" s="24" t="s">
        <v>56</v>
      </c>
      <c r="C1761" s="24" t="s">
        <v>31</v>
      </c>
      <c r="D1761" s="24">
        <v>0.1</v>
      </c>
      <c r="E1761" s="24" t="s">
        <v>796</v>
      </c>
      <c r="F1761" s="24" t="s">
        <v>897</v>
      </c>
      <c r="G1761" s="24">
        <v>174217</v>
      </c>
    </row>
    <row r="1762" spans="1:7" x14ac:dyDescent="0.25">
      <c r="A1762" s="24" t="s">
        <v>248</v>
      </c>
      <c r="B1762" s="24" t="s">
        <v>57</v>
      </c>
      <c r="C1762" s="24" t="s">
        <v>36</v>
      </c>
      <c r="D1762" s="24">
        <v>67.3</v>
      </c>
      <c r="E1762" s="24" t="s">
        <v>796</v>
      </c>
      <c r="F1762" s="24" t="s">
        <v>897</v>
      </c>
      <c r="G1762" s="24">
        <v>174217</v>
      </c>
    </row>
    <row r="1763" spans="1:7" x14ac:dyDescent="0.25">
      <c r="A1763" s="24" t="s">
        <v>248</v>
      </c>
      <c r="B1763" s="24" t="s">
        <v>58</v>
      </c>
      <c r="C1763" s="24" t="s">
        <v>5</v>
      </c>
      <c r="D1763" s="24">
        <v>0</v>
      </c>
      <c r="E1763" s="24" t="s">
        <v>795</v>
      </c>
      <c r="F1763" s="24"/>
      <c r="G1763" s="24"/>
    </row>
    <row r="1764" spans="1:7" x14ac:dyDescent="0.25">
      <c r="A1764" s="24" t="s">
        <v>249</v>
      </c>
      <c r="B1764" s="24" t="s">
        <v>26</v>
      </c>
      <c r="C1764" s="24" t="s">
        <v>5</v>
      </c>
      <c r="D1764" s="24">
        <v>0.59</v>
      </c>
      <c r="E1764" s="24" t="s">
        <v>799</v>
      </c>
      <c r="F1764" s="24" t="s">
        <v>897</v>
      </c>
      <c r="G1764" s="24">
        <v>174217</v>
      </c>
    </row>
    <row r="1765" spans="1:7" x14ac:dyDescent="0.25">
      <c r="A1765" s="24" t="s">
        <v>249</v>
      </c>
      <c r="B1765" s="24" t="s">
        <v>27</v>
      </c>
      <c r="C1765" s="24" t="s">
        <v>5</v>
      </c>
      <c r="D1765" s="24">
        <v>0.7</v>
      </c>
      <c r="E1765" s="24" t="s">
        <v>799</v>
      </c>
      <c r="F1765" s="24" t="s">
        <v>897</v>
      </c>
      <c r="G1765" s="24">
        <v>174217</v>
      </c>
    </row>
    <row r="1766" spans="1:7" x14ac:dyDescent="0.25">
      <c r="A1766" s="24" t="s">
        <v>249</v>
      </c>
      <c r="B1766" s="24" t="s">
        <v>28</v>
      </c>
      <c r="C1766" s="24" t="s">
        <v>5</v>
      </c>
      <c r="D1766" s="24">
        <v>0.84</v>
      </c>
      <c r="E1766" s="24" t="s">
        <v>799</v>
      </c>
      <c r="F1766" s="24" t="s">
        <v>897</v>
      </c>
      <c r="G1766" s="24">
        <v>174217</v>
      </c>
    </row>
    <row r="1767" spans="1:7" x14ac:dyDescent="0.25">
      <c r="A1767" s="24" t="s">
        <v>249</v>
      </c>
      <c r="B1767" s="24" t="s">
        <v>30</v>
      </c>
      <c r="C1767" s="24" t="s">
        <v>31</v>
      </c>
      <c r="D1767" s="24">
        <v>56</v>
      </c>
      <c r="E1767" s="24" t="s">
        <v>801</v>
      </c>
      <c r="F1767" s="24" t="s">
        <v>897</v>
      </c>
      <c r="G1767" s="24">
        <v>174217</v>
      </c>
    </row>
    <row r="1768" spans="1:7" x14ac:dyDescent="0.25">
      <c r="A1768" s="24" t="s">
        <v>249</v>
      </c>
      <c r="B1768" s="24" t="s">
        <v>32</v>
      </c>
      <c r="C1768" s="24" t="s">
        <v>33</v>
      </c>
      <c r="D1768" s="24">
        <v>54.3</v>
      </c>
      <c r="E1768" s="24" t="s">
        <v>796</v>
      </c>
      <c r="F1768" s="24" t="s">
        <v>897</v>
      </c>
      <c r="G1768" s="24">
        <v>174217</v>
      </c>
    </row>
    <row r="1769" spans="1:7" x14ac:dyDescent="0.25">
      <c r="A1769" s="24" t="s">
        <v>249</v>
      </c>
      <c r="B1769" s="24" t="s">
        <v>34</v>
      </c>
      <c r="C1769" s="24" t="s">
        <v>31</v>
      </c>
      <c r="D1769" s="24">
        <v>8.1</v>
      </c>
      <c r="E1769" s="24" t="s">
        <v>796</v>
      </c>
      <c r="F1769" s="24" t="s">
        <v>897</v>
      </c>
      <c r="G1769" s="24">
        <v>174217</v>
      </c>
    </row>
    <row r="1770" spans="1:7" x14ac:dyDescent="0.25">
      <c r="A1770" s="24" t="s">
        <v>249</v>
      </c>
      <c r="B1770" s="24" t="s">
        <v>40</v>
      </c>
      <c r="C1770" s="24" t="s">
        <v>31</v>
      </c>
      <c r="D1770" s="24">
        <v>0.2</v>
      </c>
      <c r="E1770" s="24" t="s">
        <v>796</v>
      </c>
      <c r="F1770" s="24" t="s">
        <v>897</v>
      </c>
      <c r="G1770" s="24">
        <v>174217</v>
      </c>
    </row>
    <row r="1771" spans="1:7" x14ac:dyDescent="0.25">
      <c r="A1771" s="24" t="s">
        <v>249</v>
      </c>
      <c r="B1771" s="24" t="s">
        <v>44</v>
      </c>
      <c r="C1771" s="24" t="s">
        <v>31</v>
      </c>
      <c r="D1771" s="24">
        <v>0.1</v>
      </c>
      <c r="E1771" s="24" t="s">
        <v>796</v>
      </c>
      <c r="F1771" s="24" t="s">
        <v>897</v>
      </c>
      <c r="G1771" s="24">
        <v>174217</v>
      </c>
    </row>
    <row r="1772" spans="1:7" x14ac:dyDescent="0.25">
      <c r="A1772" s="24" t="s">
        <v>249</v>
      </c>
      <c r="B1772" s="24" t="s">
        <v>45</v>
      </c>
      <c r="C1772" s="24" t="s">
        <v>31</v>
      </c>
      <c r="D1772" s="24">
        <v>0.6</v>
      </c>
      <c r="E1772" s="24" t="s">
        <v>796</v>
      </c>
      <c r="F1772" s="24" t="s">
        <v>897</v>
      </c>
      <c r="G1772" s="24">
        <v>174217</v>
      </c>
    </row>
    <row r="1773" spans="1:7" x14ac:dyDescent="0.25">
      <c r="A1773" s="24" t="s">
        <v>249</v>
      </c>
      <c r="B1773" s="24" t="s">
        <v>46</v>
      </c>
      <c r="C1773" s="24" t="s">
        <v>36</v>
      </c>
      <c r="D1773" s="24">
        <v>14.3</v>
      </c>
      <c r="E1773" s="24" t="s">
        <v>796</v>
      </c>
      <c r="F1773" s="24" t="s">
        <v>897</v>
      </c>
      <c r="G1773" s="24">
        <v>174217</v>
      </c>
    </row>
    <row r="1774" spans="1:7" x14ac:dyDescent="0.25">
      <c r="A1774" s="24" t="s">
        <v>249</v>
      </c>
      <c r="B1774" s="24" t="s">
        <v>47</v>
      </c>
      <c r="C1774" s="24" t="s">
        <v>48</v>
      </c>
      <c r="D1774" s="24">
        <v>45.4</v>
      </c>
      <c r="E1774" s="24" t="s">
        <v>796</v>
      </c>
      <c r="F1774" s="24" t="s">
        <v>897</v>
      </c>
      <c r="G1774" s="24">
        <v>174217</v>
      </c>
    </row>
    <row r="1775" spans="1:7" x14ac:dyDescent="0.25">
      <c r="A1775" s="24" t="s">
        <v>249</v>
      </c>
      <c r="B1775" s="24" t="s">
        <v>53</v>
      </c>
      <c r="C1775" s="24" t="s">
        <v>31</v>
      </c>
      <c r="D1775" s="24">
        <v>22.1</v>
      </c>
      <c r="E1775" s="24" t="s">
        <v>796</v>
      </c>
      <c r="F1775" s="24" t="s">
        <v>897</v>
      </c>
      <c r="G1775" s="24">
        <v>174217</v>
      </c>
    </row>
    <row r="1776" spans="1:7" x14ac:dyDescent="0.25">
      <c r="A1776" s="24" t="s">
        <v>249</v>
      </c>
      <c r="B1776" s="24" t="s">
        <v>55</v>
      </c>
      <c r="C1776" s="24" t="s">
        <v>31</v>
      </c>
      <c r="D1776" s="24">
        <v>1.6</v>
      </c>
      <c r="E1776" s="24" t="s">
        <v>796</v>
      </c>
      <c r="F1776" s="24" t="s">
        <v>897</v>
      </c>
      <c r="G1776" s="24">
        <v>174217</v>
      </c>
    </row>
    <row r="1777" spans="1:7" x14ac:dyDescent="0.25">
      <c r="A1777" s="24" t="s">
        <v>249</v>
      </c>
      <c r="B1777" s="24" t="s">
        <v>56</v>
      </c>
      <c r="C1777" s="24" t="s">
        <v>31</v>
      </c>
      <c r="D1777" s="24">
        <v>0.1</v>
      </c>
      <c r="E1777" s="24" t="s">
        <v>796</v>
      </c>
      <c r="F1777" s="24" t="s">
        <v>897</v>
      </c>
      <c r="G1777" s="24">
        <v>174217</v>
      </c>
    </row>
    <row r="1778" spans="1:7" x14ac:dyDescent="0.25">
      <c r="A1778" s="24" t="s">
        <v>249</v>
      </c>
      <c r="B1778" s="24" t="s">
        <v>57</v>
      </c>
      <c r="C1778" s="24" t="s">
        <v>36</v>
      </c>
      <c r="D1778" s="24">
        <v>53.5</v>
      </c>
      <c r="E1778" s="24" t="s">
        <v>796</v>
      </c>
      <c r="F1778" s="24" t="s">
        <v>897</v>
      </c>
      <c r="G1778" s="24">
        <v>174217</v>
      </c>
    </row>
    <row r="1779" spans="1:7" x14ac:dyDescent="0.25">
      <c r="A1779" s="24" t="s">
        <v>249</v>
      </c>
      <c r="B1779" s="24" t="s">
        <v>58</v>
      </c>
      <c r="C1779" s="24" t="s">
        <v>5</v>
      </c>
      <c r="D1779" s="24">
        <v>0</v>
      </c>
      <c r="E1779" s="24" t="s">
        <v>795</v>
      </c>
      <c r="F1779" s="24"/>
      <c r="G1779" s="24"/>
    </row>
    <row r="1780" spans="1:7" x14ac:dyDescent="0.25">
      <c r="A1780" s="24" t="s">
        <v>250</v>
      </c>
      <c r="B1780" s="24" t="s">
        <v>23</v>
      </c>
      <c r="C1780" s="24" t="s">
        <v>5</v>
      </c>
      <c r="D1780" s="24">
        <v>0</v>
      </c>
      <c r="E1780" s="24" t="s">
        <v>796</v>
      </c>
      <c r="F1780" s="24" t="s">
        <v>896</v>
      </c>
      <c r="G1780" s="24">
        <v>174216</v>
      </c>
    </row>
    <row r="1781" spans="1:7" x14ac:dyDescent="0.25">
      <c r="A1781" s="24" t="s">
        <v>250</v>
      </c>
      <c r="B1781" s="24" t="s">
        <v>32</v>
      </c>
      <c r="C1781" s="24" t="s">
        <v>33</v>
      </c>
      <c r="D1781" s="24">
        <v>42.3</v>
      </c>
      <c r="E1781" s="24" t="s">
        <v>796</v>
      </c>
      <c r="F1781" s="24" t="s">
        <v>896</v>
      </c>
      <c r="G1781" s="24">
        <v>174216</v>
      </c>
    </row>
    <row r="1782" spans="1:7" x14ac:dyDescent="0.25">
      <c r="A1782" s="24" t="s">
        <v>250</v>
      </c>
      <c r="B1782" s="24" t="s">
        <v>34</v>
      </c>
      <c r="C1782" s="24" t="s">
        <v>31</v>
      </c>
      <c r="D1782" s="24">
        <v>7</v>
      </c>
      <c r="E1782" s="24" t="s">
        <v>796</v>
      </c>
      <c r="F1782" s="24" t="s">
        <v>896</v>
      </c>
      <c r="G1782" s="24">
        <v>174216</v>
      </c>
    </row>
    <row r="1783" spans="1:7" x14ac:dyDescent="0.25">
      <c r="A1783" s="24" t="s">
        <v>250</v>
      </c>
      <c r="B1783" s="24" t="s">
        <v>35</v>
      </c>
      <c r="C1783" s="24" t="s">
        <v>36</v>
      </c>
      <c r="D1783" s="24">
        <v>0</v>
      </c>
      <c r="E1783" s="24" t="s">
        <v>796</v>
      </c>
      <c r="F1783" s="24" t="s">
        <v>896</v>
      </c>
      <c r="G1783" s="24">
        <v>174216</v>
      </c>
    </row>
    <row r="1784" spans="1:7" x14ac:dyDescent="0.25">
      <c r="A1784" s="24" t="s">
        <v>250</v>
      </c>
      <c r="B1784" s="24" t="s">
        <v>37</v>
      </c>
      <c r="C1784" s="24" t="s">
        <v>38</v>
      </c>
      <c r="D1784" s="24">
        <v>0.5</v>
      </c>
      <c r="E1784" s="24" t="s">
        <v>796</v>
      </c>
      <c r="F1784" s="24" t="s">
        <v>896</v>
      </c>
      <c r="G1784" s="24">
        <v>174216</v>
      </c>
    </row>
    <row r="1785" spans="1:7" x14ac:dyDescent="0.25">
      <c r="A1785" s="24" t="s">
        <v>250</v>
      </c>
      <c r="B1785" s="24" t="s">
        <v>39</v>
      </c>
      <c r="C1785" s="24" t="s">
        <v>36</v>
      </c>
      <c r="D1785" s="24">
        <v>0.1</v>
      </c>
      <c r="E1785" s="24" t="s">
        <v>796</v>
      </c>
      <c r="F1785" s="24" t="s">
        <v>896</v>
      </c>
      <c r="G1785" s="24">
        <v>174216</v>
      </c>
    </row>
    <row r="1786" spans="1:7" x14ac:dyDescent="0.25">
      <c r="A1786" s="24" t="s">
        <v>250</v>
      </c>
      <c r="B1786" s="24" t="s">
        <v>40</v>
      </c>
      <c r="C1786" s="24" t="s">
        <v>31</v>
      </c>
      <c r="D1786" s="24">
        <v>0.1</v>
      </c>
      <c r="E1786" s="24" t="s">
        <v>796</v>
      </c>
      <c r="F1786" s="24" t="s">
        <v>896</v>
      </c>
      <c r="G1786" s="24">
        <v>174216</v>
      </c>
    </row>
    <row r="1787" spans="1:7" x14ac:dyDescent="0.25">
      <c r="A1787" s="24" t="s">
        <v>250</v>
      </c>
      <c r="B1787" s="24" t="s">
        <v>41</v>
      </c>
      <c r="C1787" s="24" t="s">
        <v>31</v>
      </c>
      <c r="D1787" s="24">
        <v>0.2</v>
      </c>
      <c r="E1787" s="24" t="s">
        <v>796</v>
      </c>
      <c r="F1787" s="24" t="s">
        <v>896</v>
      </c>
      <c r="G1787" s="24">
        <v>174216</v>
      </c>
    </row>
    <row r="1788" spans="1:7" x14ac:dyDescent="0.25">
      <c r="A1788" s="24" t="s">
        <v>250</v>
      </c>
      <c r="B1788" s="24" t="s">
        <v>42</v>
      </c>
      <c r="C1788" s="24" t="s">
        <v>43</v>
      </c>
      <c r="D1788" s="24">
        <v>1.4</v>
      </c>
      <c r="E1788" s="24" t="s">
        <v>796</v>
      </c>
      <c r="F1788" s="24" t="s">
        <v>896</v>
      </c>
      <c r="G1788" s="24">
        <v>174216</v>
      </c>
    </row>
    <row r="1789" spans="1:7" x14ac:dyDescent="0.25">
      <c r="A1789" s="24" t="s">
        <v>250</v>
      </c>
      <c r="B1789" s="24" t="s">
        <v>44</v>
      </c>
      <c r="C1789" s="24" t="s">
        <v>31</v>
      </c>
      <c r="D1789" s="24">
        <v>0</v>
      </c>
      <c r="E1789" s="24" t="s">
        <v>796</v>
      </c>
      <c r="F1789" s="24" t="s">
        <v>896</v>
      </c>
      <c r="G1789" s="24">
        <v>174216</v>
      </c>
    </row>
    <row r="1790" spans="1:7" x14ac:dyDescent="0.25">
      <c r="A1790" s="24" t="s">
        <v>250</v>
      </c>
      <c r="B1790" s="24" t="s">
        <v>45</v>
      </c>
      <c r="C1790" s="24" t="s">
        <v>31</v>
      </c>
      <c r="D1790" s="24">
        <v>0.4</v>
      </c>
      <c r="E1790" s="24" t="s">
        <v>796</v>
      </c>
      <c r="F1790" s="24" t="s">
        <v>896</v>
      </c>
      <c r="G1790" s="24">
        <v>174216</v>
      </c>
    </row>
    <row r="1791" spans="1:7" x14ac:dyDescent="0.25">
      <c r="A1791" s="24" t="s">
        <v>250</v>
      </c>
      <c r="B1791" s="24" t="s">
        <v>46</v>
      </c>
      <c r="C1791" s="24" t="s">
        <v>36</v>
      </c>
      <c r="D1791" s="24">
        <v>10.6</v>
      </c>
      <c r="E1791" s="24" t="s">
        <v>796</v>
      </c>
      <c r="F1791" s="24" t="s">
        <v>896</v>
      </c>
      <c r="G1791" s="24">
        <v>174216</v>
      </c>
    </row>
    <row r="1792" spans="1:7" x14ac:dyDescent="0.25">
      <c r="A1792" s="24" t="s">
        <v>250</v>
      </c>
      <c r="B1792" s="24" t="s">
        <v>47</v>
      </c>
      <c r="C1792" s="24" t="s">
        <v>48</v>
      </c>
      <c r="D1792" s="24">
        <v>37</v>
      </c>
      <c r="E1792" s="24" t="s">
        <v>796</v>
      </c>
      <c r="F1792" s="24" t="s">
        <v>896</v>
      </c>
      <c r="G1792" s="24">
        <v>174216</v>
      </c>
    </row>
    <row r="1793" spans="1:7" x14ac:dyDescent="0.25">
      <c r="A1793" s="24" t="s">
        <v>250</v>
      </c>
      <c r="B1793" s="24" t="s">
        <v>57</v>
      </c>
      <c r="C1793" s="24" t="s">
        <v>36</v>
      </c>
      <c r="D1793" s="24">
        <v>39.4</v>
      </c>
      <c r="E1793" s="24" t="s">
        <v>796</v>
      </c>
      <c r="F1793" s="24" t="s">
        <v>896</v>
      </c>
      <c r="G1793" s="24">
        <v>174216</v>
      </c>
    </row>
    <row r="1794" spans="1:7" x14ac:dyDescent="0.25">
      <c r="A1794" s="24" t="s">
        <v>250</v>
      </c>
      <c r="B1794" s="24" t="s">
        <v>58</v>
      </c>
      <c r="C1794" s="24" t="s">
        <v>5</v>
      </c>
      <c r="D1794" s="24">
        <v>0</v>
      </c>
      <c r="E1794" s="24" t="s">
        <v>795</v>
      </c>
      <c r="F1794" s="24"/>
      <c r="G1794" s="24"/>
    </row>
    <row r="1795" spans="1:7" x14ac:dyDescent="0.25">
      <c r="A1795" s="24" t="s">
        <v>251</v>
      </c>
      <c r="B1795" s="24" t="s">
        <v>20</v>
      </c>
      <c r="C1795" s="24" t="s">
        <v>5</v>
      </c>
      <c r="D1795" s="24">
        <v>1.6</v>
      </c>
      <c r="E1795" s="24" t="s">
        <v>809</v>
      </c>
      <c r="F1795" s="24"/>
      <c r="G1795" s="24"/>
    </row>
    <row r="1796" spans="1:7" x14ac:dyDescent="0.25">
      <c r="A1796" s="24" t="s">
        <v>251</v>
      </c>
      <c r="B1796" s="24" t="s">
        <v>23</v>
      </c>
      <c r="C1796" s="24" t="s">
        <v>5</v>
      </c>
      <c r="D1796" s="24">
        <v>0</v>
      </c>
      <c r="E1796" s="24" t="s">
        <v>796</v>
      </c>
      <c r="F1796" s="24" t="s">
        <v>896</v>
      </c>
      <c r="G1796" s="24">
        <v>174216</v>
      </c>
    </row>
    <row r="1797" spans="1:7" x14ac:dyDescent="0.25">
      <c r="A1797" s="24" t="s">
        <v>251</v>
      </c>
      <c r="B1797" s="24" t="s">
        <v>35</v>
      </c>
      <c r="C1797" s="24" t="s">
        <v>36</v>
      </c>
      <c r="D1797" s="24">
        <v>0</v>
      </c>
      <c r="E1797" s="24" t="s">
        <v>796</v>
      </c>
      <c r="F1797" s="24" t="s">
        <v>896</v>
      </c>
      <c r="G1797" s="24">
        <v>174216</v>
      </c>
    </row>
    <row r="1798" spans="1:7" x14ac:dyDescent="0.25">
      <c r="A1798" s="24" t="s">
        <v>251</v>
      </c>
      <c r="B1798" s="24" t="s">
        <v>39</v>
      </c>
      <c r="C1798" s="24" t="s">
        <v>36</v>
      </c>
      <c r="D1798" s="24">
        <v>0.1</v>
      </c>
      <c r="E1798" s="24" t="s">
        <v>796</v>
      </c>
      <c r="F1798" s="24" t="s">
        <v>896</v>
      </c>
      <c r="G1798" s="24">
        <v>174216</v>
      </c>
    </row>
    <row r="1799" spans="1:7" x14ac:dyDescent="0.25">
      <c r="A1799" s="24" t="s">
        <v>251</v>
      </c>
      <c r="B1799" s="24" t="s">
        <v>58</v>
      </c>
      <c r="C1799" s="24" t="s">
        <v>5</v>
      </c>
      <c r="D1799" s="24">
        <v>0</v>
      </c>
      <c r="E1799" s="24" t="s">
        <v>795</v>
      </c>
      <c r="F1799" s="24"/>
      <c r="G1799" s="24"/>
    </row>
    <row r="1800" spans="1:7" x14ac:dyDescent="0.25">
      <c r="A1800" s="24" t="s">
        <v>252</v>
      </c>
      <c r="B1800" s="24" t="s">
        <v>58</v>
      </c>
      <c r="C1800" s="24" t="s">
        <v>5</v>
      </c>
      <c r="D1800" s="24">
        <v>0</v>
      </c>
      <c r="E1800" s="24" t="s">
        <v>795</v>
      </c>
      <c r="F1800" s="24"/>
      <c r="G1800" s="24"/>
    </row>
    <row r="1801" spans="1:7" x14ac:dyDescent="0.25">
      <c r="A1801" s="24" t="s">
        <v>253</v>
      </c>
      <c r="B1801" s="24" t="s">
        <v>26</v>
      </c>
      <c r="C1801" s="24" t="s">
        <v>5</v>
      </c>
      <c r="D1801" s="24">
        <v>0.03</v>
      </c>
      <c r="E1801" s="24" t="s">
        <v>799</v>
      </c>
      <c r="F1801" s="24" t="s">
        <v>898</v>
      </c>
      <c r="G1801" s="24">
        <v>174215</v>
      </c>
    </row>
    <row r="1802" spans="1:7" x14ac:dyDescent="0.25">
      <c r="A1802" s="24" t="s">
        <v>253</v>
      </c>
      <c r="B1802" s="24" t="s">
        <v>27</v>
      </c>
      <c r="C1802" s="24" t="s">
        <v>5</v>
      </c>
      <c r="D1802" s="24">
        <v>0.02</v>
      </c>
      <c r="E1802" s="24" t="s">
        <v>799</v>
      </c>
      <c r="F1802" s="24" t="s">
        <v>898</v>
      </c>
      <c r="G1802" s="24">
        <v>174215</v>
      </c>
    </row>
    <row r="1803" spans="1:7" x14ac:dyDescent="0.25">
      <c r="A1803" s="24" t="s">
        <v>253</v>
      </c>
      <c r="B1803" s="24" t="s">
        <v>28</v>
      </c>
      <c r="C1803" s="24" t="s">
        <v>5</v>
      </c>
      <c r="D1803" s="24">
        <v>0.04</v>
      </c>
      <c r="E1803" s="24" t="s">
        <v>799</v>
      </c>
      <c r="F1803" s="24" t="s">
        <v>898</v>
      </c>
      <c r="G1803" s="24">
        <v>174215</v>
      </c>
    </row>
    <row r="1804" spans="1:7" x14ac:dyDescent="0.25">
      <c r="A1804" s="24" t="s">
        <v>253</v>
      </c>
      <c r="B1804" s="24" t="s">
        <v>30</v>
      </c>
      <c r="C1804" s="24" t="s">
        <v>31</v>
      </c>
      <c r="D1804" s="24">
        <v>112</v>
      </c>
      <c r="E1804" s="24" t="s">
        <v>801</v>
      </c>
      <c r="F1804" s="24" t="s">
        <v>898</v>
      </c>
      <c r="G1804" s="24">
        <v>174215</v>
      </c>
    </row>
    <row r="1805" spans="1:7" x14ac:dyDescent="0.25">
      <c r="A1805" s="24" t="s">
        <v>253</v>
      </c>
      <c r="B1805" s="24" t="s">
        <v>32</v>
      </c>
      <c r="C1805" s="24" t="s">
        <v>33</v>
      </c>
      <c r="D1805" s="24">
        <v>263.89999999999998</v>
      </c>
      <c r="E1805" s="24" t="s">
        <v>796</v>
      </c>
      <c r="F1805" s="24" t="s">
        <v>898</v>
      </c>
      <c r="G1805" s="24">
        <v>174215</v>
      </c>
    </row>
    <row r="1806" spans="1:7" x14ac:dyDescent="0.25">
      <c r="A1806" s="24" t="s">
        <v>253</v>
      </c>
      <c r="B1806" s="24" t="s">
        <v>34</v>
      </c>
      <c r="C1806" s="24" t="s">
        <v>31</v>
      </c>
      <c r="D1806" s="24">
        <v>12.4</v>
      </c>
      <c r="E1806" s="24" t="s">
        <v>796</v>
      </c>
      <c r="F1806" s="24" t="s">
        <v>898</v>
      </c>
      <c r="G1806" s="24">
        <v>174215</v>
      </c>
    </row>
    <row r="1807" spans="1:7" x14ac:dyDescent="0.25">
      <c r="A1807" s="24" t="s">
        <v>253</v>
      </c>
      <c r="B1807" s="24" t="s">
        <v>40</v>
      </c>
      <c r="C1807" s="24" t="s">
        <v>31</v>
      </c>
      <c r="D1807" s="24">
        <v>0</v>
      </c>
      <c r="E1807" s="24" t="s">
        <v>796</v>
      </c>
      <c r="F1807" s="24" t="s">
        <v>898</v>
      </c>
      <c r="G1807" s="24">
        <v>174215</v>
      </c>
    </row>
    <row r="1808" spans="1:7" x14ac:dyDescent="0.25">
      <c r="A1808" s="24" t="s">
        <v>253</v>
      </c>
      <c r="B1808" s="24" t="s">
        <v>41</v>
      </c>
      <c r="C1808" s="24" t="s">
        <v>31</v>
      </c>
      <c r="D1808" s="24">
        <v>2.1</v>
      </c>
      <c r="E1808" s="24" t="s">
        <v>796</v>
      </c>
      <c r="F1808" s="24" t="s">
        <v>898</v>
      </c>
      <c r="G1808" s="24">
        <v>174215</v>
      </c>
    </row>
    <row r="1809" spans="1:7" x14ac:dyDescent="0.25">
      <c r="A1809" s="24" t="s">
        <v>253</v>
      </c>
      <c r="B1809" s="24" t="s">
        <v>42</v>
      </c>
      <c r="C1809" s="24" t="s">
        <v>43</v>
      </c>
      <c r="D1809" s="24">
        <v>2.8</v>
      </c>
      <c r="E1809" s="24" t="s">
        <v>796</v>
      </c>
      <c r="F1809" s="24" t="s">
        <v>898</v>
      </c>
      <c r="G1809" s="24">
        <v>174215</v>
      </c>
    </row>
    <row r="1810" spans="1:7" x14ac:dyDescent="0.25">
      <c r="A1810" s="24" t="s">
        <v>253</v>
      </c>
      <c r="B1810" s="24" t="s">
        <v>44</v>
      </c>
      <c r="C1810" s="24" t="s">
        <v>31</v>
      </c>
      <c r="D1810" s="24">
        <v>0.4</v>
      </c>
      <c r="E1810" s="24" t="s">
        <v>796</v>
      </c>
      <c r="F1810" s="24" t="s">
        <v>898</v>
      </c>
      <c r="G1810" s="24">
        <v>174215</v>
      </c>
    </row>
    <row r="1811" spans="1:7" x14ac:dyDescent="0.25">
      <c r="A1811" s="24" t="s">
        <v>253</v>
      </c>
      <c r="B1811" s="24" t="s">
        <v>45</v>
      </c>
      <c r="C1811" s="24" t="s">
        <v>31</v>
      </c>
      <c r="D1811" s="24">
        <v>1.2</v>
      </c>
      <c r="E1811" s="24" t="s">
        <v>796</v>
      </c>
      <c r="F1811" s="24" t="s">
        <v>898</v>
      </c>
      <c r="G1811" s="24">
        <v>174215</v>
      </c>
    </row>
    <row r="1812" spans="1:7" x14ac:dyDescent="0.25">
      <c r="A1812" s="24" t="s">
        <v>253</v>
      </c>
      <c r="B1812" s="24" t="s">
        <v>46</v>
      </c>
      <c r="C1812" s="24" t="s">
        <v>36</v>
      </c>
      <c r="D1812" s="24">
        <v>7</v>
      </c>
      <c r="E1812" s="24" t="s">
        <v>796</v>
      </c>
      <c r="F1812" s="24" t="s">
        <v>898</v>
      </c>
      <c r="G1812" s="24">
        <v>174215</v>
      </c>
    </row>
    <row r="1813" spans="1:7" x14ac:dyDescent="0.25">
      <c r="A1813" s="24" t="s">
        <v>253</v>
      </c>
      <c r="B1813" s="24" t="s">
        <v>47</v>
      </c>
      <c r="C1813" s="24" t="s">
        <v>48</v>
      </c>
      <c r="D1813" s="24">
        <v>37.4</v>
      </c>
      <c r="E1813" s="24" t="s">
        <v>796</v>
      </c>
      <c r="F1813" s="24" t="s">
        <v>898</v>
      </c>
      <c r="G1813" s="24">
        <v>174215</v>
      </c>
    </row>
    <row r="1814" spans="1:7" x14ac:dyDescent="0.25">
      <c r="A1814" s="24" t="s">
        <v>253</v>
      </c>
      <c r="B1814" s="24" t="s">
        <v>50</v>
      </c>
      <c r="C1814" s="24" t="s">
        <v>31</v>
      </c>
      <c r="D1814" s="24">
        <v>826.7</v>
      </c>
      <c r="E1814" s="24" t="s">
        <v>796</v>
      </c>
      <c r="F1814" s="24" t="s">
        <v>898</v>
      </c>
      <c r="G1814" s="24">
        <v>174215</v>
      </c>
    </row>
    <row r="1815" spans="1:7" x14ac:dyDescent="0.25">
      <c r="A1815" s="24" t="s">
        <v>253</v>
      </c>
      <c r="B1815" s="24" t="s">
        <v>54</v>
      </c>
      <c r="C1815" s="24" t="s">
        <v>31</v>
      </c>
      <c r="D1815" s="24">
        <v>14.1</v>
      </c>
      <c r="E1815" s="24" t="s">
        <v>796</v>
      </c>
      <c r="F1815" s="24" t="s">
        <v>898</v>
      </c>
      <c r="G1815" s="24">
        <v>174215</v>
      </c>
    </row>
    <row r="1816" spans="1:7" x14ac:dyDescent="0.25">
      <c r="A1816" s="24" t="s">
        <v>253</v>
      </c>
      <c r="B1816" s="24" t="s">
        <v>57</v>
      </c>
      <c r="C1816" s="24" t="s">
        <v>36</v>
      </c>
      <c r="D1816" s="24">
        <v>104.6</v>
      </c>
      <c r="E1816" s="24" t="s">
        <v>796</v>
      </c>
      <c r="F1816" s="24" t="s">
        <v>898</v>
      </c>
      <c r="G1816" s="24">
        <v>174215</v>
      </c>
    </row>
    <row r="1817" spans="1:7" x14ac:dyDescent="0.25">
      <c r="A1817" s="24" t="s">
        <v>253</v>
      </c>
      <c r="B1817" s="24" t="s">
        <v>58</v>
      </c>
      <c r="C1817" s="24" t="s">
        <v>5</v>
      </c>
      <c r="D1817" s="24">
        <v>0</v>
      </c>
      <c r="E1817" s="24" t="s">
        <v>795</v>
      </c>
      <c r="F1817" s="24"/>
      <c r="G1817" s="24"/>
    </row>
    <row r="1818" spans="1:7" x14ac:dyDescent="0.25">
      <c r="A1818" s="24" t="s">
        <v>254</v>
      </c>
      <c r="B1818" s="24" t="s">
        <v>23</v>
      </c>
      <c r="C1818" s="24" t="s">
        <v>5</v>
      </c>
      <c r="D1818" s="24">
        <v>0</v>
      </c>
      <c r="E1818" s="24" t="s">
        <v>796</v>
      </c>
      <c r="F1818" s="24" t="s">
        <v>899</v>
      </c>
      <c r="G1818" s="24">
        <v>174212</v>
      </c>
    </row>
    <row r="1819" spans="1:7" x14ac:dyDescent="0.25">
      <c r="A1819" s="24" t="s">
        <v>254</v>
      </c>
      <c r="B1819" s="24" t="s">
        <v>30</v>
      </c>
      <c r="C1819" s="24" t="s">
        <v>31</v>
      </c>
      <c r="D1819" s="24">
        <v>85</v>
      </c>
      <c r="E1819" s="24" t="s">
        <v>801</v>
      </c>
      <c r="F1819" s="24" t="s">
        <v>899</v>
      </c>
      <c r="G1819" s="24">
        <v>174212</v>
      </c>
    </row>
    <row r="1820" spans="1:7" x14ac:dyDescent="0.25">
      <c r="A1820" s="24" t="s">
        <v>254</v>
      </c>
      <c r="B1820" s="24" t="s">
        <v>32</v>
      </c>
      <c r="C1820" s="24" t="s">
        <v>33</v>
      </c>
      <c r="D1820" s="24">
        <v>2.2999999999999998</v>
      </c>
      <c r="E1820" s="24" t="s">
        <v>796</v>
      </c>
      <c r="F1820" s="24" t="s">
        <v>899</v>
      </c>
      <c r="G1820" s="24">
        <v>174212</v>
      </c>
    </row>
    <row r="1821" spans="1:7" x14ac:dyDescent="0.25">
      <c r="A1821" s="24" t="s">
        <v>254</v>
      </c>
      <c r="B1821" s="24" t="s">
        <v>34</v>
      </c>
      <c r="C1821" s="24" t="s">
        <v>31</v>
      </c>
      <c r="D1821" s="24">
        <v>2.2999999999999998</v>
      </c>
      <c r="E1821" s="24" t="s">
        <v>796</v>
      </c>
      <c r="F1821" s="24" t="s">
        <v>899</v>
      </c>
      <c r="G1821" s="24">
        <v>174212</v>
      </c>
    </row>
    <row r="1822" spans="1:7" x14ac:dyDescent="0.25">
      <c r="A1822" s="24" t="s">
        <v>254</v>
      </c>
      <c r="B1822" s="24" t="s">
        <v>35</v>
      </c>
      <c r="C1822" s="24" t="s">
        <v>36</v>
      </c>
      <c r="D1822" s="24">
        <v>0</v>
      </c>
      <c r="E1822" s="24" t="s">
        <v>796</v>
      </c>
      <c r="F1822" s="24" t="s">
        <v>899</v>
      </c>
      <c r="G1822" s="24">
        <v>174212</v>
      </c>
    </row>
    <row r="1823" spans="1:7" x14ac:dyDescent="0.25">
      <c r="A1823" s="24" t="s">
        <v>254</v>
      </c>
      <c r="B1823" s="24" t="s">
        <v>37</v>
      </c>
      <c r="C1823" s="24" t="s">
        <v>38</v>
      </c>
      <c r="D1823" s="24">
        <v>4.5</v>
      </c>
      <c r="E1823" s="24" t="s">
        <v>796</v>
      </c>
      <c r="F1823" s="24" t="s">
        <v>899</v>
      </c>
      <c r="G1823" s="24">
        <v>174212</v>
      </c>
    </row>
    <row r="1824" spans="1:7" x14ac:dyDescent="0.25">
      <c r="A1824" s="24" t="s">
        <v>254</v>
      </c>
      <c r="B1824" s="24" t="s">
        <v>39</v>
      </c>
      <c r="C1824" s="24" t="s">
        <v>36</v>
      </c>
      <c r="D1824" s="24">
        <v>26.1</v>
      </c>
      <c r="E1824" s="24" t="s">
        <v>796</v>
      </c>
      <c r="F1824" s="24" t="s">
        <v>899</v>
      </c>
      <c r="G1824" s="24">
        <v>174212</v>
      </c>
    </row>
    <row r="1825" spans="1:7" x14ac:dyDescent="0.25">
      <c r="A1825" s="24" t="s">
        <v>254</v>
      </c>
      <c r="B1825" s="24" t="s">
        <v>44</v>
      </c>
      <c r="C1825" s="24" t="s">
        <v>31</v>
      </c>
      <c r="D1825" s="24">
        <v>0.2</v>
      </c>
      <c r="E1825" s="24" t="s">
        <v>796</v>
      </c>
      <c r="F1825" s="24" t="s">
        <v>899</v>
      </c>
      <c r="G1825" s="24">
        <v>174212</v>
      </c>
    </row>
    <row r="1826" spans="1:7" x14ac:dyDescent="0.25">
      <c r="A1826" s="24" t="s">
        <v>254</v>
      </c>
      <c r="B1826" s="24" t="s">
        <v>45</v>
      </c>
      <c r="C1826" s="24" t="s">
        <v>31</v>
      </c>
      <c r="D1826" s="24">
        <v>3.4</v>
      </c>
      <c r="E1826" s="24" t="s">
        <v>796</v>
      </c>
      <c r="F1826" s="24" t="s">
        <v>899</v>
      </c>
      <c r="G1826" s="24">
        <v>174212</v>
      </c>
    </row>
    <row r="1827" spans="1:7" x14ac:dyDescent="0.25">
      <c r="A1827" s="24" t="s">
        <v>254</v>
      </c>
      <c r="B1827" s="24" t="s">
        <v>46</v>
      </c>
      <c r="C1827" s="24" t="s">
        <v>36</v>
      </c>
      <c r="D1827" s="24">
        <v>0.8</v>
      </c>
      <c r="E1827" s="24" t="s">
        <v>796</v>
      </c>
      <c r="F1827" s="24" t="s">
        <v>899</v>
      </c>
      <c r="G1827" s="24">
        <v>174212</v>
      </c>
    </row>
    <row r="1828" spans="1:7" x14ac:dyDescent="0.25">
      <c r="A1828" s="24" t="s">
        <v>254</v>
      </c>
      <c r="B1828" s="24" t="s">
        <v>47</v>
      </c>
      <c r="C1828" s="24" t="s">
        <v>48</v>
      </c>
      <c r="D1828" s="24">
        <v>5.7</v>
      </c>
      <c r="E1828" s="24" t="s">
        <v>796</v>
      </c>
      <c r="F1828" s="24" t="s">
        <v>899</v>
      </c>
      <c r="G1828" s="24">
        <v>174212</v>
      </c>
    </row>
    <row r="1829" spans="1:7" x14ac:dyDescent="0.25">
      <c r="A1829" s="24" t="s">
        <v>254</v>
      </c>
      <c r="B1829" s="24" t="s">
        <v>49</v>
      </c>
      <c r="C1829" s="24" t="s">
        <v>31</v>
      </c>
      <c r="D1829" s="24">
        <v>341.9</v>
      </c>
      <c r="E1829" s="24" t="s">
        <v>796</v>
      </c>
      <c r="F1829" s="24" t="s">
        <v>899</v>
      </c>
      <c r="G1829" s="24">
        <v>174212</v>
      </c>
    </row>
    <row r="1830" spans="1:7" x14ac:dyDescent="0.25">
      <c r="A1830" s="24" t="s">
        <v>254</v>
      </c>
      <c r="B1830" s="24" t="s">
        <v>50</v>
      </c>
      <c r="C1830" s="24" t="s">
        <v>31</v>
      </c>
      <c r="D1830" s="24">
        <v>284</v>
      </c>
      <c r="E1830" s="24" t="s">
        <v>796</v>
      </c>
      <c r="F1830" s="24" t="s">
        <v>899</v>
      </c>
      <c r="G1830" s="24">
        <v>174212</v>
      </c>
    </row>
    <row r="1831" spans="1:7" x14ac:dyDescent="0.25">
      <c r="A1831" s="24" t="s">
        <v>254</v>
      </c>
      <c r="B1831" s="24" t="s">
        <v>53</v>
      </c>
      <c r="C1831" s="24" t="s">
        <v>31</v>
      </c>
      <c r="D1831" s="24">
        <v>54.5</v>
      </c>
      <c r="E1831" s="24" t="s">
        <v>796</v>
      </c>
      <c r="F1831" s="24" t="s">
        <v>899</v>
      </c>
      <c r="G1831" s="24">
        <v>174212</v>
      </c>
    </row>
    <row r="1832" spans="1:7" x14ac:dyDescent="0.25">
      <c r="A1832" s="24" t="s">
        <v>254</v>
      </c>
      <c r="B1832" s="24" t="s">
        <v>55</v>
      </c>
      <c r="C1832" s="24" t="s">
        <v>31</v>
      </c>
      <c r="D1832" s="24">
        <v>0.9</v>
      </c>
      <c r="E1832" s="24" t="s">
        <v>796</v>
      </c>
      <c r="F1832" s="24" t="s">
        <v>899</v>
      </c>
      <c r="G1832" s="24">
        <v>174212</v>
      </c>
    </row>
    <row r="1833" spans="1:7" x14ac:dyDescent="0.25">
      <c r="A1833" s="24" t="s">
        <v>254</v>
      </c>
      <c r="B1833" s="24" t="s">
        <v>56</v>
      </c>
      <c r="C1833" s="24" t="s">
        <v>31</v>
      </c>
      <c r="D1833" s="24">
        <v>0.2</v>
      </c>
      <c r="E1833" s="24" t="s">
        <v>796</v>
      </c>
      <c r="F1833" s="24" t="s">
        <v>899</v>
      </c>
      <c r="G1833" s="24">
        <v>174212</v>
      </c>
    </row>
    <row r="1834" spans="1:7" x14ac:dyDescent="0.25">
      <c r="A1834" s="24" t="s">
        <v>254</v>
      </c>
      <c r="B1834" s="24" t="s">
        <v>57</v>
      </c>
      <c r="C1834" s="24" t="s">
        <v>36</v>
      </c>
      <c r="D1834" s="24">
        <v>50.9</v>
      </c>
      <c r="E1834" s="24" t="s">
        <v>796</v>
      </c>
      <c r="F1834" s="24" t="s">
        <v>899</v>
      </c>
      <c r="G1834" s="24">
        <v>174212</v>
      </c>
    </row>
    <row r="1835" spans="1:7" x14ac:dyDescent="0.25">
      <c r="A1835" s="24" t="s">
        <v>254</v>
      </c>
      <c r="B1835" s="24" t="s">
        <v>58</v>
      </c>
      <c r="C1835" s="24" t="s">
        <v>5</v>
      </c>
      <c r="D1835" s="24">
        <v>0</v>
      </c>
      <c r="E1835" s="24" t="s">
        <v>795</v>
      </c>
      <c r="F1835" s="24"/>
      <c r="G1835" s="24"/>
    </row>
    <row r="1836" spans="1:7" x14ac:dyDescent="0.25">
      <c r="A1836" s="24" t="s">
        <v>255</v>
      </c>
      <c r="B1836" s="24" t="s">
        <v>23</v>
      </c>
      <c r="C1836" s="24" t="s">
        <v>5</v>
      </c>
      <c r="D1836" s="24">
        <v>0</v>
      </c>
      <c r="E1836" s="24" t="s">
        <v>796</v>
      </c>
      <c r="F1836" s="24" t="s">
        <v>894</v>
      </c>
      <c r="G1836" s="24">
        <v>171976</v>
      </c>
    </row>
    <row r="1837" spans="1:7" x14ac:dyDescent="0.25">
      <c r="A1837" s="24" t="s">
        <v>255</v>
      </c>
      <c r="B1837" s="24" t="s">
        <v>29</v>
      </c>
      <c r="C1837" s="24" t="s">
        <v>5</v>
      </c>
      <c r="D1837" s="24">
        <v>0.04</v>
      </c>
      <c r="E1837" s="24" t="s">
        <v>799</v>
      </c>
      <c r="F1837" s="24" t="s">
        <v>894</v>
      </c>
      <c r="G1837" s="24">
        <v>171976</v>
      </c>
    </row>
    <row r="1838" spans="1:7" x14ac:dyDescent="0.25">
      <c r="A1838" s="24" t="s">
        <v>255</v>
      </c>
      <c r="B1838" s="24" t="s">
        <v>30</v>
      </c>
      <c r="C1838" s="24" t="s">
        <v>31</v>
      </c>
      <c r="D1838" s="24">
        <v>50</v>
      </c>
      <c r="E1838" s="24" t="s">
        <v>801</v>
      </c>
      <c r="F1838" s="24" t="s">
        <v>894</v>
      </c>
      <c r="G1838" s="24">
        <v>171976</v>
      </c>
    </row>
    <row r="1839" spans="1:7" x14ac:dyDescent="0.25">
      <c r="A1839" s="24" t="s">
        <v>255</v>
      </c>
      <c r="B1839" s="24" t="s">
        <v>32</v>
      </c>
      <c r="C1839" s="24" t="s">
        <v>33</v>
      </c>
      <c r="D1839" s="24">
        <v>122.2</v>
      </c>
      <c r="E1839" s="24" t="s">
        <v>796</v>
      </c>
      <c r="F1839" s="24" t="s">
        <v>894</v>
      </c>
      <c r="G1839" s="24">
        <v>171976</v>
      </c>
    </row>
    <row r="1840" spans="1:7" x14ac:dyDescent="0.25">
      <c r="A1840" s="24" t="s">
        <v>255</v>
      </c>
      <c r="B1840" s="24" t="s">
        <v>34</v>
      </c>
      <c r="C1840" s="24" t="s">
        <v>31</v>
      </c>
      <c r="D1840" s="24">
        <v>0</v>
      </c>
      <c r="E1840" s="24" t="s">
        <v>796</v>
      </c>
      <c r="F1840" s="24" t="s">
        <v>894</v>
      </c>
      <c r="G1840" s="24">
        <v>171976</v>
      </c>
    </row>
    <row r="1841" spans="1:7" x14ac:dyDescent="0.25">
      <c r="A1841" s="24" t="s">
        <v>255</v>
      </c>
      <c r="B1841" s="24" t="s">
        <v>35</v>
      </c>
      <c r="C1841" s="24" t="s">
        <v>36</v>
      </c>
      <c r="D1841" s="24">
        <v>0.1</v>
      </c>
      <c r="E1841" s="24" t="s">
        <v>796</v>
      </c>
      <c r="F1841" s="24" t="s">
        <v>894</v>
      </c>
      <c r="G1841" s="24">
        <v>171976</v>
      </c>
    </row>
    <row r="1842" spans="1:7" x14ac:dyDescent="0.25">
      <c r="A1842" s="24" t="s">
        <v>255</v>
      </c>
      <c r="B1842" s="24" t="s">
        <v>37</v>
      </c>
      <c r="C1842" s="24" t="s">
        <v>38</v>
      </c>
      <c r="D1842" s="24">
        <v>0.9</v>
      </c>
      <c r="E1842" s="24" t="s">
        <v>796</v>
      </c>
      <c r="F1842" s="24" t="s">
        <v>894</v>
      </c>
      <c r="G1842" s="24">
        <v>171976</v>
      </c>
    </row>
    <row r="1843" spans="1:7" x14ac:dyDescent="0.25">
      <c r="A1843" s="24" t="s">
        <v>255</v>
      </c>
      <c r="B1843" s="24" t="s">
        <v>39</v>
      </c>
      <c r="C1843" s="24" t="s">
        <v>36</v>
      </c>
      <c r="D1843" s="24">
        <v>0.2</v>
      </c>
      <c r="E1843" s="24" t="s">
        <v>796</v>
      </c>
      <c r="F1843" s="24" t="s">
        <v>894</v>
      </c>
      <c r="G1843" s="24">
        <v>171976</v>
      </c>
    </row>
    <row r="1844" spans="1:7" x14ac:dyDescent="0.25">
      <c r="A1844" s="24" t="s">
        <v>255</v>
      </c>
      <c r="B1844" s="24" t="s">
        <v>40</v>
      </c>
      <c r="C1844" s="24" t="s">
        <v>31</v>
      </c>
      <c r="D1844" s="24">
        <v>0</v>
      </c>
      <c r="E1844" s="24" t="s">
        <v>796</v>
      </c>
      <c r="F1844" s="24" t="s">
        <v>894</v>
      </c>
      <c r="G1844" s="24">
        <v>171976</v>
      </c>
    </row>
    <row r="1845" spans="1:7" x14ac:dyDescent="0.25">
      <c r="A1845" s="24" t="s">
        <v>255</v>
      </c>
      <c r="B1845" s="24" t="s">
        <v>44</v>
      </c>
      <c r="C1845" s="24" t="s">
        <v>31</v>
      </c>
      <c r="D1845" s="24">
        <v>0</v>
      </c>
      <c r="E1845" s="24" t="s">
        <v>796</v>
      </c>
      <c r="F1845" s="24" t="s">
        <v>894</v>
      </c>
      <c r="G1845" s="24">
        <v>171976</v>
      </c>
    </row>
    <row r="1846" spans="1:7" x14ac:dyDescent="0.25">
      <c r="A1846" s="24" t="s">
        <v>255</v>
      </c>
      <c r="B1846" s="24" t="s">
        <v>45</v>
      </c>
      <c r="C1846" s="24" t="s">
        <v>31</v>
      </c>
      <c r="D1846" s="24">
        <v>0.2</v>
      </c>
      <c r="E1846" s="24" t="s">
        <v>796</v>
      </c>
      <c r="F1846" s="24" t="s">
        <v>894</v>
      </c>
      <c r="G1846" s="24">
        <v>171976</v>
      </c>
    </row>
    <row r="1847" spans="1:7" x14ac:dyDescent="0.25">
      <c r="A1847" s="24" t="s">
        <v>255</v>
      </c>
      <c r="B1847" s="24" t="s">
        <v>46</v>
      </c>
      <c r="C1847" s="24" t="s">
        <v>36</v>
      </c>
      <c r="D1847" s="24">
        <v>15.3</v>
      </c>
      <c r="E1847" s="24" t="s">
        <v>796</v>
      </c>
      <c r="F1847" s="24" t="s">
        <v>894</v>
      </c>
      <c r="G1847" s="24">
        <v>171976</v>
      </c>
    </row>
    <row r="1848" spans="1:7" x14ac:dyDescent="0.25">
      <c r="A1848" s="24" t="s">
        <v>255</v>
      </c>
      <c r="B1848" s="24" t="s">
        <v>47</v>
      </c>
      <c r="C1848" s="24" t="s">
        <v>48</v>
      </c>
      <c r="D1848" s="24">
        <v>5.7</v>
      </c>
      <c r="E1848" s="24" t="s">
        <v>796</v>
      </c>
      <c r="F1848" s="24" t="s">
        <v>894</v>
      </c>
      <c r="G1848" s="24">
        <v>171976</v>
      </c>
    </row>
    <row r="1849" spans="1:7" x14ac:dyDescent="0.25">
      <c r="A1849" s="24" t="s">
        <v>255</v>
      </c>
      <c r="B1849" s="24" t="s">
        <v>53</v>
      </c>
      <c r="C1849" s="24" t="s">
        <v>31</v>
      </c>
      <c r="D1849" s="24">
        <v>26.3</v>
      </c>
      <c r="E1849" s="24" t="s">
        <v>796</v>
      </c>
      <c r="F1849" s="24" t="s">
        <v>894</v>
      </c>
      <c r="G1849" s="24">
        <v>171976</v>
      </c>
    </row>
    <row r="1850" spans="1:7" x14ac:dyDescent="0.25">
      <c r="A1850" s="24" t="s">
        <v>255</v>
      </c>
      <c r="B1850" s="24" t="s">
        <v>55</v>
      </c>
      <c r="C1850" s="24" t="s">
        <v>31</v>
      </c>
      <c r="D1850" s="24">
        <v>0.7</v>
      </c>
      <c r="E1850" s="24" t="s">
        <v>796</v>
      </c>
      <c r="F1850" s="24" t="s">
        <v>894</v>
      </c>
      <c r="G1850" s="24">
        <v>171976</v>
      </c>
    </row>
    <row r="1851" spans="1:7" x14ac:dyDescent="0.25">
      <c r="A1851" s="24" t="s">
        <v>255</v>
      </c>
      <c r="B1851" s="24" t="s">
        <v>56</v>
      </c>
      <c r="C1851" s="24" t="s">
        <v>31</v>
      </c>
      <c r="D1851" s="24">
        <v>0.1</v>
      </c>
      <c r="E1851" s="24" t="s">
        <v>796</v>
      </c>
      <c r="F1851" s="24" t="s">
        <v>894</v>
      </c>
      <c r="G1851" s="24">
        <v>171976</v>
      </c>
    </row>
    <row r="1852" spans="1:7" x14ac:dyDescent="0.25">
      <c r="A1852" s="24" t="s">
        <v>255</v>
      </c>
      <c r="B1852" s="24" t="s">
        <v>57</v>
      </c>
      <c r="C1852" s="24" t="s">
        <v>36</v>
      </c>
      <c r="D1852" s="24">
        <v>41.4</v>
      </c>
      <c r="E1852" s="24" t="s">
        <v>796</v>
      </c>
      <c r="F1852" s="24" t="s">
        <v>894</v>
      </c>
      <c r="G1852" s="24">
        <v>171976</v>
      </c>
    </row>
    <row r="1853" spans="1:7" x14ac:dyDescent="0.25">
      <c r="A1853" s="24" t="s">
        <v>255</v>
      </c>
      <c r="B1853" s="24" t="s">
        <v>58</v>
      </c>
      <c r="C1853" s="24" t="s">
        <v>5</v>
      </c>
      <c r="D1853" s="24">
        <v>0</v>
      </c>
      <c r="E1853" s="24" t="s">
        <v>795</v>
      </c>
      <c r="F1853" s="24"/>
      <c r="G1853" s="24"/>
    </row>
    <row r="1854" spans="1:7" x14ac:dyDescent="0.25">
      <c r="A1854" s="24" t="s">
        <v>256</v>
      </c>
      <c r="B1854" s="24" t="s">
        <v>23</v>
      </c>
      <c r="C1854" s="24" t="s">
        <v>5</v>
      </c>
      <c r="D1854" s="24">
        <v>0</v>
      </c>
      <c r="E1854" s="24" t="s">
        <v>796</v>
      </c>
      <c r="F1854" s="24" t="s">
        <v>893</v>
      </c>
      <c r="G1854" s="24">
        <v>174214</v>
      </c>
    </row>
    <row r="1855" spans="1:7" x14ac:dyDescent="0.25">
      <c r="A1855" s="24" t="s">
        <v>256</v>
      </c>
      <c r="B1855" s="24" t="s">
        <v>29</v>
      </c>
      <c r="C1855" s="24" t="s">
        <v>5</v>
      </c>
      <c r="D1855" s="24">
        <v>0.01</v>
      </c>
      <c r="E1855" s="24" t="s">
        <v>799</v>
      </c>
      <c r="F1855" s="24" t="s">
        <v>893</v>
      </c>
      <c r="G1855" s="24">
        <v>174214</v>
      </c>
    </row>
    <row r="1856" spans="1:7" x14ac:dyDescent="0.25">
      <c r="A1856" s="24" t="s">
        <v>256</v>
      </c>
      <c r="B1856" s="24" t="s">
        <v>30</v>
      </c>
      <c r="C1856" s="24" t="s">
        <v>31</v>
      </c>
      <c r="D1856" s="24">
        <v>30</v>
      </c>
      <c r="E1856" s="24" t="s">
        <v>801</v>
      </c>
      <c r="F1856" s="24" t="s">
        <v>893</v>
      </c>
      <c r="G1856" s="24">
        <v>174214</v>
      </c>
    </row>
    <row r="1857" spans="1:7" x14ac:dyDescent="0.25">
      <c r="A1857" s="24" t="s">
        <v>256</v>
      </c>
      <c r="B1857" s="24" t="s">
        <v>32</v>
      </c>
      <c r="C1857" s="24" t="s">
        <v>33</v>
      </c>
      <c r="D1857" s="24">
        <v>92.1</v>
      </c>
      <c r="E1857" s="24" t="s">
        <v>796</v>
      </c>
      <c r="F1857" s="24" t="s">
        <v>893</v>
      </c>
      <c r="G1857" s="24">
        <v>174214</v>
      </c>
    </row>
    <row r="1858" spans="1:7" x14ac:dyDescent="0.25">
      <c r="A1858" s="24" t="s">
        <v>256</v>
      </c>
      <c r="B1858" s="24" t="s">
        <v>34</v>
      </c>
      <c r="C1858" s="24" t="s">
        <v>31</v>
      </c>
      <c r="D1858" s="24">
        <v>0</v>
      </c>
      <c r="E1858" s="24" t="s">
        <v>796</v>
      </c>
      <c r="F1858" s="24" t="s">
        <v>893</v>
      </c>
      <c r="G1858" s="24">
        <v>174214</v>
      </c>
    </row>
    <row r="1859" spans="1:7" x14ac:dyDescent="0.25">
      <c r="A1859" s="24" t="s">
        <v>256</v>
      </c>
      <c r="B1859" s="24" t="s">
        <v>35</v>
      </c>
      <c r="C1859" s="24" t="s">
        <v>36</v>
      </c>
      <c r="D1859" s="24">
        <v>0</v>
      </c>
      <c r="E1859" s="24" t="s">
        <v>796</v>
      </c>
      <c r="F1859" s="24" t="s">
        <v>893</v>
      </c>
      <c r="G1859" s="24">
        <v>174214</v>
      </c>
    </row>
    <row r="1860" spans="1:7" x14ac:dyDescent="0.25">
      <c r="A1860" s="24" t="s">
        <v>256</v>
      </c>
      <c r="B1860" s="24" t="s">
        <v>37</v>
      </c>
      <c r="C1860" s="24" t="s">
        <v>38</v>
      </c>
      <c r="D1860" s="24">
        <v>0.7</v>
      </c>
      <c r="E1860" s="24" t="s">
        <v>796</v>
      </c>
      <c r="F1860" s="24" t="s">
        <v>893</v>
      </c>
      <c r="G1860" s="24">
        <v>174214</v>
      </c>
    </row>
    <row r="1861" spans="1:7" x14ac:dyDescent="0.25">
      <c r="A1861" s="24" t="s">
        <v>256</v>
      </c>
      <c r="B1861" s="24" t="s">
        <v>39</v>
      </c>
      <c r="C1861" s="24" t="s">
        <v>36</v>
      </c>
      <c r="D1861" s="24">
        <v>0.2</v>
      </c>
      <c r="E1861" s="24" t="s">
        <v>796</v>
      </c>
      <c r="F1861" s="24" t="s">
        <v>893</v>
      </c>
      <c r="G1861" s="24">
        <v>174214</v>
      </c>
    </row>
    <row r="1862" spans="1:7" x14ac:dyDescent="0.25">
      <c r="A1862" s="24" t="s">
        <v>256</v>
      </c>
      <c r="B1862" s="24" t="s">
        <v>40</v>
      </c>
      <c r="C1862" s="24" t="s">
        <v>31</v>
      </c>
      <c r="D1862" s="24">
        <v>0</v>
      </c>
      <c r="E1862" s="24" t="s">
        <v>796</v>
      </c>
      <c r="F1862" s="24" t="s">
        <v>893</v>
      </c>
      <c r="G1862" s="24">
        <v>174214</v>
      </c>
    </row>
    <row r="1863" spans="1:7" x14ac:dyDescent="0.25">
      <c r="A1863" s="24" t="s">
        <v>256</v>
      </c>
      <c r="B1863" s="24" t="s">
        <v>41</v>
      </c>
      <c r="C1863" s="24" t="s">
        <v>31</v>
      </c>
      <c r="D1863" s="24">
        <v>0</v>
      </c>
      <c r="E1863" s="24" t="s">
        <v>796</v>
      </c>
      <c r="F1863" s="24" t="s">
        <v>893</v>
      </c>
      <c r="G1863" s="24">
        <v>174214</v>
      </c>
    </row>
    <row r="1864" spans="1:7" x14ac:dyDescent="0.25">
      <c r="A1864" s="24" t="s">
        <v>256</v>
      </c>
      <c r="B1864" s="24" t="s">
        <v>42</v>
      </c>
      <c r="C1864" s="24" t="s">
        <v>43</v>
      </c>
      <c r="D1864" s="24">
        <v>0.4</v>
      </c>
      <c r="E1864" s="24" t="s">
        <v>796</v>
      </c>
      <c r="F1864" s="24" t="s">
        <v>893</v>
      </c>
      <c r="G1864" s="24">
        <v>174214</v>
      </c>
    </row>
    <row r="1865" spans="1:7" x14ac:dyDescent="0.25">
      <c r="A1865" s="24" t="s">
        <v>256</v>
      </c>
      <c r="B1865" s="24" t="s">
        <v>44</v>
      </c>
      <c r="C1865" s="24" t="s">
        <v>31</v>
      </c>
      <c r="D1865" s="24">
        <v>0</v>
      </c>
      <c r="E1865" s="24" t="s">
        <v>796</v>
      </c>
      <c r="F1865" s="24" t="s">
        <v>893</v>
      </c>
      <c r="G1865" s="24">
        <v>174214</v>
      </c>
    </row>
    <row r="1866" spans="1:7" x14ac:dyDescent="0.25">
      <c r="A1866" s="24" t="s">
        <v>256</v>
      </c>
      <c r="B1866" s="24" t="s">
        <v>45</v>
      </c>
      <c r="C1866" s="24" t="s">
        <v>31</v>
      </c>
      <c r="D1866" s="24">
        <v>0.2</v>
      </c>
      <c r="E1866" s="24" t="s">
        <v>796</v>
      </c>
      <c r="F1866" s="24" t="s">
        <v>893</v>
      </c>
      <c r="G1866" s="24">
        <v>174214</v>
      </c>
    </row>
    <row r="1867" spans="1:7" x14ac:dyDescent="0.25">
      <c r="A1867" s="24" t="s">
        <v>256</v>
      </c>
      <c r="B1867" s="24" t="s">
        <v>46</v>
      </c>
      <c r="C1867" s="24" t="s">
        <v>36</v>
      </c>
      <c r="D1867" s="24">
        <v>11.5</v>
      </c>
      <c r="E1867" s="24" t="s">
        <v>796</v>
      </c>
      <c r="F1867" s="24" t="s">
        <v>893</v>
      </c>
      <c r="G1867" s="24">
        <v>174214</v>
      </c>
    </row>
    <row r="1868" spans="1:7" x14ac:dyDescent="0.25">
      <c r="A1868" s="24" t="s">
        <v>256</v>
      </c>
      <c r="B1868" s="24" t="s">
        <v>47</v>
      </c>
      <c r="C1868" s="24" t="s">
        <v>48</v>
      </c>
      <c r="D1868" s="24">
        <v>5.0999999999999996</v>
      </c>
      <c r="E1868" s="24" t="s">
        <v>796</v>
      </c>
      <c r="F1868" s="24" t="s">
        <v>893</v>
      </c>
      <c r="G1868" s="24">
        <v>174214</v>
      </c>
    </row>
    <row r="1869" spans="1:7" x14ac:dyDescent="0.25">
      <c r="A1869" s="24" t="s">
        <v>256</v>
      </c>
      <c r="B1869" s="24" t="s">
        <v>49</v>
      </c>
      <c r="C1869" s="24" t="s">
        <v>31</v>
      </c>
      <c r="D1869" s="24">
        <v>614.70000000000005</v>
      </c>
      <c r="E1869" s="24" t="s">
        <v>796</v>
      </c>
      <c r="F1869" s="24" t="s">
        <v>893</v>
      </c>
      <c r="G1869" s="24">
        <v>174214</v>
      </c>
    </row>
    <row r="1870" spans="1:7" x14ac:dyDescent="0.25">
      <c r="A1870" s="24" t="s">
        <v>256</v>
      </c>
      <c r="B1870" s="24" t="s">
        <v>50</v>
      </c>
      <c r="C1870" s="24" t="s">
        <v>31</v>
      </c>
      <c r="D1870" s="24">
        <v>47.1</v>
      </c>
      <c r="E1870" s="24" t="s">
        <v>796</v>
      </c>
      <c r="F1870" s="24" t="s">
        <v>893</v>
      </c>
      <c r="G1870" s="24">
        <v>174214</v>
      </c>
    </row>
    <row r="1871" spans="1:7" x14ac:dyDescent="0.25">
      <c r="A1871" s="24" t="s">
        <v>256</v>
      </c>
      <c r="B1871" s="24" t="s">
        <v>53</v>
      </c>
      <c r="C1871" s="24" t="s">
        <v>31</v>
      </c>
      <c r="D1871" s="24">
        <v>19.399999999999999</v>
      </c>
      <c r="E1871" s="24" t="s">
        <v>796</v>
      </c>
      <c r="F1871" s="24" t="s">
        <v>893</v>
      </c>
      <c r="G1871" s="24">
        <v>174214</v>
      </c>
    </row>
    <row r="1872" spans="1:7" x14ac:dyDescent="0.25">
      <c r="A1872" s="24" t="s">
        <v>256</v>
      </c>
      <c r="B1872" s="24" t="s">
        <v>55</v>
      </c>
      <c r="C1872" s="24" t="s">
        <v>31</v>
      </c>
      <c r="D1872" s="24">
        <v>0.5</v>
      </c>
      <c r="E1872" s="24" t="s">
        <v>796</v>
      </c>
      <c r="F1872" s="24" t="s">
        <v>893</v>
      </c>
      <c r="G1872" s="24">
        <v>174214</v>
      </c>
    </row>
    <row r="1873" spans="1:7" x14ac:dyDescent="0.25">
      <c r="A1873" s="24" t="s">
        <v>256</v>
      </c>
      <c r="B1873" s="24" t="s">
        <v>56</v>
      </c>
      <c r="C1873" s="24" t="s">
        <v>31</v>
      </c>
      <c r="D1873" s="24">
        <v>0.1</v>
      </c>
      <c r="E1873" s="24" t="s">
        <v>796</v>
      </c>
      <c r="F1873" s="24" t="s">
        <v>893</v>
      </c>
      <c r="G1873" s="24">
        <v>174214</v>
      </c>
    </row>
    <row r="1874" spans="1:7" x14ac:dyDescent="0.25">
      <c r="A1874" s="24" t="s">
        <v>256</v>
      </c>
      <c r="B1874" s="24" t="s">
        <v>57</v>
      </c>
      <c r="C1874" s="24" t="s">
        <v>36</v>
      </c>
      <c r="D1874" s="24">
        <v>31.3</v>
      </c>
      <c r="E1874" s="24" t="s">
        <v>796</v>
      </c>
      <c r="F1874" s="24" t="s">
        <v>893</v>
      </c>
      <c r="G1874" s="24">
        <v>174214</v>
      </c>
    </row>
    <row r="1875" spans="1:7" x14ac:dyDescent="0.25">
      <c r="A1875" s="24" t="s">
        <v>256</v>
      </c>
      <c r="B1875" s="24" t="s">
        <v>58</v>
      </c>
      <c r="C1875" s="24" t="s">
        <v>5</v>
      </c>
      <c r="D1875" s="24">
        <v>0</v>
      </c>
      <c r="E1875" s="24" t="s">
        <v>795</v>
      </c>
      <c r="F1875" s="24"/>
      <c r="G1875" s="24"/>
    </row>
    <row r="1876" spans="1:7" x14ac:dyDescent="0.25">
      <c r="A1876" s="24" t="s">
        <v>257</v>
      </c>
      <c r="B1876" s="24" t="s">
        <v>23</v>
      </c>
      <c r="C1876" s="24" t="s">
        <v>5</v>
      </c>
      <c r="D1876" s="24">
        <v>1</v>
      </c>
      <c r="E1876" s="24" t="s">
        <v>796</v>
      </c>
      <c r="F1876" s="24" t="s">
        <v>900</v>
      </c>
      <c r="G1876" s="24">
        <v>171978</v>
      </c>
    </row>
    <row r="1877" spans="1:7" x14ac:dyDescent="0.25">
      <c r="A1877" s="24" t="s">
        <v>257</v>
      </c>
      <c r="B1877" s="24" t="s">
        <v>29</v>
      </c>
      <c r="C1877" s="24" t="s">
        <v>5</v>
      </c>
      <c r="D1877" s="24">
        <v>0.05</v>
      </c>
      <c r="E1877" s="24" t="s">
        <v>799</v>
      </c>
      <c r="F1877" s="24" t="s">
        <v>900</v>
      </c>
      <c r="G1877" s="24">
        <v>171978</v>
      </c>
    </row>
    <row r="1878" spans="1:7" x14ac:dyDescent="0.25">
      <c r="A1878" s="24" t="s">
        <v>257</v>
      </c>
      <c r="B1878" s="24" t="s">
        <v>35</v>
      </c>
      <c r="C1878" s="24" t="s">
        <v>36</v>
      </c>
      <c r="D1878" s="24">
        <v>0</v>
      </c>
      <c r="E1878" s="24" t="s">
        <v>796</v>
      </c>
      <c r="F1878" s="24" t="s">
        <v>900</v>
      </c>
      <c r="G1878" s="24">
        <v>171978</v>
      </c>
    </row>
    <row r="1879" spans="1:7" x14ac:dyDescent="0.25">
      <c r="A1879" s="24" t="s">
        <v>257</v>
      </c>
      <c r="B1879" s="24" t="s">
        <v>37</v>
      </c>
      <c r="C1879" s="24" t="s">
        <v>38</v>
      </c>
      <c r="D1879" s="24">
        <v>1.4</v>
      </c>
      <c r="E1879" s="24" t="s">
        <v>796</v>
      </c>
      <c r="F1879" s="24" t="s">
        <v>900</v>
      </c>
      <c r="G1879" s="24">
        <v>171978</v>
      </c>
    </row>
    <row r="1880" spans="1:7" x14ac:dyDescent="0.25">
      <c r="A1880" s="24" t="s">
        <v>257</v>
      </c>
      <c r="B1880" s="24" t="s">
        <v>39</v>
      </c>
      <c r="C1880" s="24" t="s">
        <v>36</v>
      </c>
      <c r="D1880" s="24">
        <v>1.6</v>
      </c>
      <c r="E1880" s="24" t="s">
        <v>796</v>
      </c>
      <c r="F1880" s="24" t="s">
        <v>900</v>
      </c>
      <c r="G1880" s="24">
        <v>171978</v>
      </c>
    </row>
    <row r="1881" spans="1:7" x14ac:dyDescent="0.25">
      <c r="A1881" s="24" t="s">
        <v>257</v>
      </c>
      <c r="B1881" s="24" t="s">
        <v>58</v>
      </c>
      <c r="C1881" s="24" t="s">
        <v>5</v>
      </c>
      <c r="D1881" s="24">
        <v>0</v>
      </c>
      <c r="E1881" s="24" t="s">
        <v>795</v>
      </c>
      <c r="F1881" s="24"/>
      <c r="G1881" s="24"/>
    </row>
    <row r="1882" spans="1:7" x14ac:dyDescent="0.25">
      <c r="A1882" s="24" t="s">
        <v>258</v>
      </c>
      <c r="B1882" s="24" t="s">
        <v>58</v>
      </c>
      <c r="C1882" s="24" t="s">
        <v>5</v>
      </c>
      <c r="D1882" s="24">
        <v>0</v>
      </c>
      <c r="E1882" s="24" t="s">
        <v>795</v>
      </c>
      <c r="F1882" s="24"/>
      <c r="G1882" s="24"/>
    </row>
    <row r="1883" spans="1:7" x14ac:dyDescent="0.25">
      <c r="A1883" s="24" t="s">
        <v>259</v>
      </c>
      <c r="B1883" s="24" t="s">
        <v>29</v>
      </c>
      <c r="C1883" s="24" t="s">
        <v>5</v>
      </c>
      <c r="D1883" s="24">
        <v>0</v>
      </c>
      <c r="E1883" s="24" t="s">
        <v>799</v>
      </c>
      <c r="F1883" s="24" t="s">
        <v>901</v>
      </c>
      <c r="G1883" s="24">
        <v>175179</v>
      </c>
    </row>
    <row r="1884" spans="1:7" x14ac:dyDescent="0.25">
      <c r="A1884" s="24" t="s">
        <v>259</v>
      </c>
      <c r="B1884" s="24" t="s">
        <v>58</v>
      </c>
      <c r="C1884" s="24" t="s">
        <v>5</v>
      </c>
      <c r="D1884" s="24">
        <v>0</v>
      </c>
      <c r="E1884" s="24" t="s">
        <v>795</v>
      </c>
      <c r="F1884" s="24"/>
      <c r="G1884" s="24"/>
    </row>
    <row r="1885" spans="1:7" x14ac:dyDescent="0.25">
      <c r="A1885" s="24" t="s">
        <v>260</v>
      </c>
      <c r="B1885" s="24" t="s">
        <v>26</v>
      </c>
      <c r="C1885" s="24" t="s">
        <v>5</v>
      </c>
      <c r="D1885" s="24">
        <v>0.34</v>
      </c>
      <c r="E1885" s="24" t="s">
        <v>799</v>
      </c>
      <c r="F1885" s="24" t="s">
        <v>901</v>
      </c>
      <c r="G1885" s="24">
        <v>175179</v>
      </c>
    </row>
    <row r="1886" spans="1:7" x14ac:dyDescent="0.25">
      <c r="A1886" s="24" t="s">
        <v>260</v>
      </c>
      <c r="B1886" s="24" t="s">
        <v>27</v>
      </c>
      <c r="C1886" s="24" t="s">
        <v>5</v>
      </c>
      <c r="D1886" s="24">
        <v>0.28999999999999998</v>
      </c>
      <c r="E1886" s="24" t="s">
        <v>799</v>
      </c>
      <c r="F1886" s="24" t="s">
        <v>901</v>
      </c>
      <c r="G1886" s="24">
        <v>175179</v>
      </c>
    </row>
    <row r="1887" spans="1:7" x14ac:dyDescent="0.25">
      <c r="A1887" s="24" t="s">
        <v>260</v>
      </c>
      <c r="B1887" s="24" t="s">
        <v>28</v>
      </c>
      <c r="C1887" s="24" t="s">
        <v>5</v>
      </c>
      <c r="D1887" s="24">
        <v>0.51</v>
      </c>
      <c r="E1887" s="24" t="s">
        <v>799</v>
      </c>
      <c r="F1887" s="24" t="s">
        <v>901</v>
      </c>
      <c r="G1887" s="24">
        <v>175179</v>
      </c>
    </row>
    <row r="1888" spans="1:7" x14ac:dyDescent="0.25">
      <c r="A1888" s="24" t="s">
        <v>260</v>
      </c>
      <c r="B1888" s="24" t="s">
        <v>29</v>
      </c>
      <c r="C1888" s="24" t="s">
        <v>5</v>
      </c>
      <c r="D1888" s="24">
        <v>0.01</v>
      </c>
      <c r="E1888" s="24" t="s">
        <v>799</v>
      </c>
      <c r="F1888" s="24" t="s">
        <v>901</v>
      </c>
      <c r="G1888" s="24">
        <v>175179</v>
      </c>
    </row>
    <row r="1889" spans="1:7" x14ac:dyDescent="0.25">
      <c r="A1889" s="24" t="s">
        <v>260</v>
      </c>
      <c r="B1889" s="24" t="s">
        <v>30</v>
      </c>
      <c r="C1889" s="24" t="s">
        <v>31</v>
      </c>
      <c r="D1889" s="24">
        <v>161</v>
      </c>
      <c r="E1889" s="24" t="s">
        <v>801</v>
      </c>
      <c r="F1889" s="24" t="s">
        <v>901</v>
      </c>
      <c r="G1889" s="24">
        <v>175179</v>
      </c>
    </row>
    <row r="1890" spans="1:7" x14ac:dyDescent="0.25">
      <c r="A1890" s="24" t="s">
        <v>260</v>
      </c>
      <c r="B1890" s="24" t="s">
        <v>53</v>
      </c>
      <c r="C1890" s="24" t="s">
        <v>31</v>
      </c>
      <c r="D1890" s="24">
        <v>44.5</v>
      </c>
      <c r="E1890" s="24" t="s">
        <v>796</v>
      </c>
      <c r="F1890" s="24" t="s">
        <v>901</v>
      </c>
      <c r="G1890" s="24">
        <v>175179</v>
      </c>
    </row>
    <row r="1891" spans="1:7" x14ac:dyDescent="0.25">
      <c r="A1891" s="24" t="s">
        <v>260</v>
      </c>
      <c r="B1891" s="24" t="s">
        <v>55</v>
      </c>
      <c r="C1891" s="24" t="s">
        <v>31</v>
      </c>
      <c r="D1891" s="24">
        <v>1.7</v>
      </c>
      <c r="E1891" s="24" t="s">
        <v>796</v>
      </c>
      <c r="F1891" s="24" t="s">
        <v>901</v>
      </c>
      <c r="G1891" s="24">
        <v>175179</v>
      </c>
    </row>
    <row r="1892" spans="1:7" x14ac:dyDescent="0.25">
      <c r="A1892" s="24" t="s">
        <v>260</v>
      </c>
      <c r="B1892" s="24" t="s">
        <v>56</v>
      </c>
      <c r="C1892" s="24" t="s">
        <v>31</v>
      </c>
      <c r="D1892" s="24">
        <v>0.5</v>
      </c>
      <c r="E1892" s="24" t="s">
        <v>796</v>
      </c>
      <c r="F1892" s="24" t="s">
        <v>901</v>
      </c>
      <c r="G1892" s="24">
        <v>175179</v>
      </c>
    </row>
    <row r="1893" spans="1:7" x14ac:dyDescent="0.25">
      <c r="A1893" s="24" t="s">
        <v>260</v>
      </c>
      <c r="B1893" s="24" t="s">
        <v>58</v>
      </c>
      <c r="C1893" s="24" t="s">
        <v>5</v>
      </c>
      <c r="D1893" s="24">
        <v>0</v>
      </c>
      <c r="E1893" s="24" t="s">
        <v>795</v>
      </c>
      <c r="F1893" s="24"/>
      <c r="G1893" s="24"/>
    </row>
    <row r="1894" spans="1:7" x14ac:dyDescent="0.25">
      <c r="A1894" s="24" t="s">
        <v>261</v>
      </c>
      <c r="B1894" s="24" t="s">
        <v>30</v>
      </c>
      <c r="C1894" s="24" t="s">
        <v>31</v>
      </c>
      <c r="D1894" s="24">
        <v>42</v>
      </c>
      <c r="E1894" s="24" t="s">
        <v>801</v>
      </c>
      <c r="F1894" s="24" t="s">
        <v>902</v>
      </c>
      <c r="G1894" s="24">
        <v>175164</v>
      </c>
    </row>
    <row r="1895" spans="1:7" x14ac:dyDescent="0.25">
      <c r="A1895" s="24" t="s">
        <v>261</v>
      </c>
      <c r="B1895" s="24" t="s">
        <v>32</v>
      </c>
      <c r="C1895" s="24" t="s">
        <v>33</v>
      </c>
      <c r="D1895" s="24">
        <v>7.1</v>
      </c>
      <c r="E1895" s="24" t="s">
        <v>796</v>
      </c>
      <c r="F1895" s="24" t="s">
        <v>902</v>
      </c>
      <c r="G1895" s="24">
        <v>175164</v>
      </c>
    </row>
    <row r="1896" spans="1:7" x14ac:dyDescent="0.25">
      <c r="A1896" s="24" t="s">
        <v>261</v>
      </c>
      <c r="B1896" s="24" t="s">
        <v>34</v>
      </c>
      <c r="C1896" s="24" t="s">
        <v>31</v>
      </c>
      <c r="D1896" s="24">
        <v>7.1</v>
      </c>
      <c r="E1896" s="24" t="s">
        <v>796</v>
      </c>
      <c r="F1896" s="24" t="s">
        <v>902</v>
      </c>
      <c r="G1896" s="24">
        <v>175164</v>
      </c>
    </row>
    <row r="1897" spans="1:7" x14ac:dyDescent="0.25">
      <c r="A1897" s="24" t="s">
        <v>261</v>
      </c>
      <c r="B1897" s="24" t="s">
        <v>40</v>
      </c>
      <c r="C1897" s="24" t="s">
        <v>31</v>
      </c>
      <c r="D1897" s="24">
        <v>0</v>
      </c>
      <c r="E1897" s="24" t="s">
        <v>796</v>
      </c>
      <c r="F1897" s="24" t="s">
        <v>902</v>
      </c>
      <c r="G1897" s="24">
        <v>175164</v>
      </c>
    </row>
    <row r="1898" spans="1:7" x14ac:dyDescent="0.25">
      <c r="A1898" s="24" t="s">
        <v>261</v>
      </c>
      <c r="B1898" s="24" t="s">
        <v>41</v>
      </c>
      <c r="C1898" s="24" t="s">
        <v>31</v>
      </c>
      <c r="D1898" s="24">
        <v>0</v>
      </c>
      <c r="E1898" s="24" t="s">
        <v>796</v>
      </c>
      <c r="F1898" s="24" t="s">
        <v>902</v>
      </c>
      <c r="G1898" s="24">
        <v>175164</v>
      </c>
    </row>
    <row r="1899" spans="1:7" x14ac:dyDescent="0.25">
      <c r="A1899" s="24" t="s">
        <v>261</v>
      </c>
      <c r="B1899" s="24" t="s">
        <v>42</v>
      </c>
      <c r="C1899" s="24" t="s">
        <v>43</v>
      </c>
      <c r="D1899" s="24">
        <v>1.1000000000000001</v>
      </c>
      <c r="E1899" s="24" t="s">
        <v>796</v>
      </c>
      <c r="F1899" s="24" t="s">
        <v>902</v>
      </c>
      <c r="G1899" s="24">
        <v>175164</v>
      </c>
    </row>
    <row r="1900" spans="1:7" x14ac:dyDescent="0.25">
      <c r="A1900" s="24" t="s">
        <v>261</v>
      </c>
      <c r="B1900" s="24" t="s">
        <v>44</v>
      </c>
      <c r="C1900" s="24" t="s">
        <v>31</v>
      </c>
      <c r="D1900" s="24">
        <v>0.2</v>
      </c>
      <c r="E1900" s="24" t="s">
        <v>796</v>
      </c>
      <c r="F1900" s="24" t="s">
        <v>902</v>
      </c>
      <c r="G1900" s="24">
        <v>175164</v>
      </c>
    </row>
    <row r="1901" spans="1:7" x14ac:dyDescent="0.25">
      <c r="A1901" s="24" t="s">
        <v>261</v>
      </c>
      <c r="B1901" s="24" t="s">
        <v>45</v>
      </c>
      <c r="C1901" s="24" t="s">
        <v>31</v>
      </c>
      <c r="D1901" s="24">
        <v>0.4</v>
      </c>
      <c r="E1901" s="24" t="s">
        <v>796</v>
      </c>
      <c r="F1901" s="24" t="s">
        <v>902</v>
      </c>
      <c r="G1901" s="24">
        <v>175164</v>
      </c>
    </row>
    <row r="1902" spans="1:7" x14ac:dyDescent="0.25">
      <c r="A1902" s="24" t="s">
        <v>261</v>
      </c>
      <c r="B1902" s="24" t="s">
        <v>46</v>
      </c>
      <c r="C1902" s="24" t="s">
        <v>36</v>
      </c>
      <c r="D1902" s="24">
        <v>9.1</v>
      </c>
      <c r="E1902" s="24" t="s">
        <v>796</v>
      </c>
      <c r="F1902" s="24" t="s">
        <v>902</v>
      </c>
      <c r="G1902" s="24">
        <v>175164</v>
      </c>
    </row>
    <row r="1903" spans="1:7" x14ac:dyDescent="0.25">
      <c r="A1903" s="24" t="s">
        <v>261</v>
      </c>
      <c r="B1903" s="24" t="s">
        <v>47</v>
      </c>
      <c r="C1903" s="24" t="s">
        <v>48</v>
      </c>
      <c r="D1903" s="24">
        <v>44.6</v>
      </c>
      <c r="E1903" s="24" t="s">
        <v>796</v>
      </c>
      <c r="F1903" s="24" t="s">
        <v>902</v>
      </c>
      <c r="G1903" s="24">
        <v>175164</v>
      </c>
    </row>
    <row r="1904" spans="1:7" x14ac:dyDescent="0.25">
      <c r="A1904" s="24" t="s">
        <v>261</v>
      </c>
      <c r="B1904" s="24" t="s">
        <v>50</v>
      </c>
      <c r="C1904" s="24" t="s">
        <v>31</v>
      </c>
      <c r="D1904" s="24">
        <v>206.7</v>
      </c>
      <c r="E1904" s="24" t="s">
        <v>796</v>
      </c>
      <c r="F1904" s="24" t="s">
        <v>902</v>
      </c>
      <c r="G1904" s="24">
        <v>175164</v>
      </c>
    </row>
    <row r="1905" spans="1:7" x14ac:dyDescent="0.25">
      <c r="A1905" s="24" t="s">
        <v>261</v>
      </c>
      <c r="B1905" s="24" t="s">
        <v>51</v>
      </c>
      <c r="C1905" s="24" t="s">
        <v>31</v>
      </c>
      <c r="D1905" s="24">
        <v>46.6</v>
      </c>
      <c r="E1905" s="24" t="s">
        <v>796</v>
      </c>
      <c r="F1905" s="24" t="s">
        <v>902</v>
      </c>
      <c r="G1905" s="24">
        <v>175164</v>
      </c>
    </row>
    <row r="1906" spans="1:7" x14ac:dyDescent="0.25">
      <c r="A1906" s="24" t="s">
        <v>261</v>
      </c>
      <c r="B1906" s="24" t="s">
        <v>52</v>
      </c>
      <c r="C1906" s="24" t="s">
        <v>31</v>
      </c>
      <c r="D1906" s="24">
        <v>221.9</v>
      </c>
      <c r="E1906" s="24" t="s">
        <v>796</v>
      </c>
      <c r="F1906" s="24" t="s">
        <v>902</v>
      </c>
      <c r="G1906" s="24">
        <v>175164</v>
      </c>
    </row>
    <row r="1907" spans="1:7" x14ac:dyDescent="0.25">
      <c r="A1907" s="24" t="s">
        <v>261</v>
      </c>
      <c r="B1907" s="24" t="s">
        <v>53</v>
      </c>
      <c r="C1907" s="24" t="s">
        <v>31</v>
      </c>
      <c r="D1907" s="24">
        <v>49.6</v>
      </c>
      <c r="E1907" s="24" t="s">
        <v>796</v>
      </c>
      <c r="F1907" s="24" t="s">
        <v>902</v>
      </c>
      <c r="G1907" s="24">
        <v>175164</v>
      </c>
    </row>
    <row r="1908" spans="1:7" x14ac:dyDescent="0.25">
      <c r="A1908" s="24" t="s">
        <v>261</v>
      </c>
      <c r="B1908" s="24" t="s">
        <v>54</v>
      </c>
      <c r="C1908" s="24" t="s">
        <v>31</v>
      </c>
      <c r="D1908" s="24">
        <v>0.6</v>
      </c>
      <c r="E1908" s="24" t="s">
        <v>796</v>
      </c>
      <c r="F1908" s="24" t="s">
        <v>902</v>
      </c>
      <c r="G1908" s="24">
        <v>175164</v>
      </c>
    </row>
    <row r="1909" spans="1:7" x14ac:dyDescent="0.25">
      <c r="A1909" s="24" t="s">
        <v>261</v>
      </c>
      <c r="B1909" s="24" t="s">
        <v>55</v>
      </c>
      <c r="C1909" s="24" t="s">
        <v>31</v>
      </c>
      <c r="D1909" s="24">
        <v>6</v>
      </c>
      <c r="E1909" s="24" t="s">
        <v>796</v>
      </c>
      <c r="F1909" s="24" t="s">
        <v>902</v>
      </c>
      <c r="G1909" s="24">
        <v>175164</v>
      </c>
    </row>
    <row r="1910" spans="1:7" x14ac:dyDescent="0.25">
      <c r="A1910" s="24" t="s">
        <v>261</v>
      </c>
      <c r="B1910" s="24" t="s">
        <v>56</v>
      </c>
      <c r="C1910" s="24" t="s">
        <v>31</v>
      </c>
      <c r="D1910" s="24">
        <v>0.9</v>
      </c>
      <c r="E1910" s="24" t="s">
        <v>796</v>
      </c>
      <c r="F1910" s="24" t="s">
        <v>902</v>
      </c>
      <c r="G1910" s="24">
        <v>175164</v>
      </c>
    </row>
    <row r="1911" spans="1:7" x14ac:dyDescent="0.25">
      <c r="A1911" s="24" t="s">
        <v>261</v>
      </c>
      <c r="B1911" s="24" t="s">
        <v>57</v>
      </c>
      <c r="C1911" s="24" t="s">
        <v>36</v>
      </c>
      <c r="D1911" s="24">
        <v>36.9</v>
      </c>
      <c r="E1911" s="24" t="s">
        <v>796</v>
      </c>
      <c r="F1911" s="24" t="s">
        <v>902</v>
      </c>
      <c r="G1911" s="24">
        <v>175164</v>
      </c>
    </row>
    <row r="1912" spans="1:7" x14ac:dyDescent="0.25">
      <c r="A1912" s="24" t="s">
        <v>261</v>
      </c>
      <c r="B1912" s="24" t="s">
        <v>58</v>
      </c>
      <c r="C1912" s="24" t="s">
        <v>5</v>
      </c>
      <c r="D1912" s="24">
        <v>0</v>
      </c>
      <c r="E1912" s="24" t="s">
        <v>795</v>
      </c>
      <c r="F1912" s="24"/>
      <c r="G1912" s="24"/>
    </row>
    <row r="1913" spans="1:7" x14ac:dyDescent="0.25">
      <c r="A1913" s="24" t="s">
        <v>262</v>
      </c>
      <c r="B1913" s="24" t="s">
        <v>30</v>
      </c>
      <c r="C1913" s="24" t="s">
        <v>31</v>
      </c>
      <c r="D1913" s="24">
        <v>42</v>
      </c>
      <c r="E1913" s="24" t="s">
        <v>801</v>
      </c>
      <c r="F1913" s="24" t="s">
        <v>902</v>
      </c>
      <c r="G1913" s="24">
        <v>175164</v>
      </c>
    </row>
    <row r="1914" spans="1:7" x14ac:dyDescent="0.25">
      <c r="A1914" s="24" t="s">
        <v>262</v>
      </c>
      <c r="B1914" s="24" t="s">
        <v>32</v>
      </c>
      <c r="C1914" s="24" t="s">
        <v>33</v>
      </c>
      <c r="D1914" s="24">
        <v>6</v>
      </c>
      <c r="E1914" s="24" t="s">
        <v>796</v>
      </c>
      <c r="F1914" s="24" t="s">
        <v>902</v>
      </c>
      <c r="G1914" s="24">
        <v>175164</v>
      </c>
    </row>
    <row r="1915" spans="1:7" x14ac:dyDescent="0.25">
      <c r="A1915" s="24" t="s">
        <v>262</v>
      </c>
      <c r="B1915" s="24" t="s">
        <v>34</v>
      </c>
      <c r="C1915" s="24" t="s">
        <v>31</v>
      </c>
      <c r="D1915" s="24">
        <v>6</v>
      </c>
      <c r="E1915" s="24" t="s">
        <v>796</v>
      </c>
      <c r="F1915" s="24" t="s">
        <v>902</v>
      </c>
      <c r="G1915" s="24">
        <v>175164</v>
      </c>
    </row>
    <row r="1916" spans="1:7" x14ac:dyDescent="0.25">
      <c r="A1916" s="24" t="s">
        <v>262</v>
      </c>
      <c r="B1916" s="24" t="s">
        <v>40</v>
      </c>
      <c r="C1916" s="24" t="s">
        <v>31</v>
      </c>
      <c r="D1916" s="24">
        <v>0</v>
      </c>
      <c r="E1916" s="24" t="s">
        <v>796</v>
      </c>
      <c r="F1916" s="24" t="s">
        <v>902</v>
      </c>
      <c r="G1916" s="24">
        <v>175164</v>
      </c>
    </row>
    <row r="1917" spans="1:7" x14ac:dyDescent="0.25">
      <c r="A1917" s="24" t="s">
        <v>262</v>
      </c>
      <c r="B1917" s="24" t="s">
        <v>41</v>
      </c>
      <c r="C1917" s="24" t="s">
        <v>31</v>
      </c>
      <c r="D1917" s="24">
        <v>0</v>
      </c>
      <c r="E1917" s="24" t="s">
        <v>796</v>
      </c>
      <c r="F1917" s="24" t="s">
        <v>902</v>
      </c>
      <c r="G1917" s="24">
        <v>175164</v>
      </c>
    </row>
    <row r="1918" spans="1:7" x14ac:dyDescent="0.25">
      <c r="A1918" s="24" t="s">
        <v>262</v>
      </c>
      <c r="B1918" s="24" t="s">
        <v>42</v>
      </c>
      <c r="C1918" s="24" t="s">
        <v>43</v>
      </c>
      <c r="D1918" s="24">
        <v>0.9</v>
      </c>
      <c r="E1918" s="24" t="s">
        <v>796</v>
      </c>
      <c r="F1918" s="24" t="s">
        <v>902</v>
      </c>
      <c r="G1918" s="24">
        <v>175164</v>
      </c>
    </row>
    <row r="1919" spans="1:7" x14ac:dyDescent="0.25">
      <c r="A1919" s="24" t="s">
        <v>262</v>
      </c>
      <c r="B1919" s="24" t="s">
        <v>44</v>
      </c>
      <c r="C1919" s="24" t="s">
        <v>31</v>
      </c>
      <c r="D1919" s="24">
        <v>0.1</v>
      </c>
      <c r="E1919" s="24" t="s">
        <v>796</v>
      </c>
      <c r="F1919" s="24" t="s">
        <v>902</v>
      </c>
      <c r="G1919" s="24">
        <v>175164</v>
      </c>
    </row>
    <row r="1920" spans="1:7" x14ac:dyDescent="0.25">
      <c r="A1920" s="24" t="s">
        <v>262</v>
      </c>
      <c r="B1920" s="24" t="s">
        <v>45</v>
      </c>
      <c r="C1920" s="24" t="s">
        <v>31</v>
      </c>
      <c r="D1920" s="24">
        <v>0.3</v>
      </c>
      <c r="E1920" s="24" t="s">
        <v>796</v>
      </c>
      <c r="F1920" s="24" t="s">
        <v>902</v>
      </c>
      <c r="G1920" s="24">
        <v>175164</v>
      </c>
    </row>
    <row r="1921" spans="1:7" x14ac:dyDescent="0.25">
      <c r="A1921" s="24" t="s">
        <v>262</v>
      </c>
      <c r="B1921" s="24" t="s">
        <v>46</v>
      </c>
      <c r="C1921" s="24" t="s">
        <v>36</v>
      </c>
      <c r="D1921" s="24">
        <v>7.7</v>
      </c>
      <c r="E1921" s="24" t="s">
        <v>796</v>
      </c>
      <c r="F1921" s="24" t="s">
        <v>902</v>
      </c>
      <c r="G1921" s="24">
        <v>175164</v>
      </c>
    </row>
    <row r="1922" spans="1:7" x14ac:dyDescent="0.25">
      <c r="A1922" s="24" t="s">
        <v>262</v>
      </c>
      <c r="B1922" s="24" t="s">
        <v>47</v>
      </c>
      <c r="C1922" s="24" t="s">
        <v>48</v>
      </c>
      <c r="D1922" s="24">
        <v>37.5</v>
      </c>
      <c r="E1922" s="24" t="s">
        <v>796</v>
      </c>
      <c r="F1922" s="24" t="s">
        <v>902</v>
      </c>
      <c r="G1922" s="24">
        <v>175164</v>
      </c>
    </row>
    <row r="1923" spans="1:7" x14ac:dyDescent="0.25">
      <c r="A1923" s="24" t="s">
        <v>262</v>
      </c>
      <c r="B1923" s="24" t="s">
        <v>50</v>
      </c>
      <c r="C1923" s="24" t="s">
        <v>31</v>
      </c>
      <c r="D1923" s="24">
        <v>173.7</v>
      </c>
      <c r="E1923" s="24" t="s">
        <v>796</v>
      </c>
      <c r="F1923" s="24" t="s">
        <v>902</v>
      </c>
      <c r="G1923" s="24">
        <v>175164</v>
      </c>
    </row>
    <row r="1924" spans="1:7" x14ac:dyDescent="0.25">
      <c r="A1924" s="24" t="s">
        <v>262</v>
      </c>
      <c r="B1924" s="24" t="s">
        <v>51</v>
      </c>
      <c r="C1924" s="24" t="s">
        <v>31</v>
      </c>
      <c r="D1924" s="24">
        <v>39.200000000000003</v>
      </c>
      <c r="E1924" s="24" t="s">
        <v>796</v>
      </c>
      <c r="F1924" s="24" t="s">
        <v>902</v>
      </c>
      <c r="G1924" s="24">
        <v>175164</v>
      </c>
    </row>
    <row r="1925" spans="1:7" x14ac:dyDescent="0.25">
      <c r="A1925" s="24" t="s">
        <v>262</v>
      </c>
      <c r="B1925" s="24" t="s">
        <v>52</v>
      </c>
      <c r="C1925" s="24" t="s">
        <v>31</v>
      </c>
      <c r="D1925" s="24">
        <v>186.5</v>
      </c>
      <c r="E1925" s="24" t="s">
        <v>796</v>
      </c>
      <c r="F1925" s="24" t="s">
        <v>902</v>
      </c>
      <c r="G1925" s="24">
        <v>175164</v>
      </c>
    </row>
    <row r="1926" spans="1:7" x14ac:dyDescent="0.25">
      <c r="A1926" s="24" t="s">
        <v>262</v>
      </c>
      <c r="B1926" s="24" t="s">
        <v>53</v>
      </c>
      <c r="C1926" s="24" t="s">
        <v>31</v>
      </c>
      <c r="D1926" s="24">
        <v>41.7</v>
      </c>
      <c r="E1926" s="24" t="s">
        <v>796</v>
      </c>
      <c r="F1926" s="24" t="s">
        <v>902</v>
      </c>
      <c r="G1926" s="24">
        <v>175164</v>
      </c>
    </row>
    <row r="1927" spans="1:7" x14ac:dyDescent="0.25">
      <c r="A1927" s="24" t="s">
        <v>262</v>
      </c>
      <c r="B1927" s="24" t="s">
        <v>54</v>
      </c>
      <c r="C1927" s="24" t="s">
        <v>31</v>
      </c>
      <c r="D1927" s="24">
        <v>0.5</v>
      </c>
      <c r="E1927" s="24" t="s">
        <v>796</v>
      </c>
      <c r="F1927" s="24" t="s">
        <v>902</v>
      </c>
      <c r="G1927" s="24">
        <v>175164</v>
      </c>
    </row>
    <row r="1928" spans="1:7" x14ac:dyDescent="0.25">
      <c r="A1928" s="24" t="s">
        <v>262</v>
      </c>
      <c r="B1928" s="24" t="s">
        <v>55</v>
      </c>
      <c r="C1928" s="24" t="s">
        <v>31</v>
      </c>
      <c r="D1928" s="24">
        <v>5.0999999999999996</v>
      </c>
      <c r="E1928" s="24" t="s">
        <v>796</v>
      </c>
      <c r="F1928" s="24" t="s">
        <v>902</v>
      </c>
      <c r="G1928" s="24">
        <v>175164</v>
      </c>
    </row>
    <row r="1929" spans="1:7" x14ac:dyDescent="0.25">
      <c r="A1929" s="24" t="s">
        <v>262</v>
      </c>
      <c r="B1929" s="24" t="s">
        <v>56</v>
      </c>
      <c r="C1929" s="24" t="s">
        <v>31</v>
      </c>
      <c r="D1929" s="24">
        <v>0.8</v>
      </c>
      <c r="E1929" s="24" t="s">
        <v>796</v>
      </c>
      <c r="F1929" s="24" t="s">
        <v>902</v>
      </c>
      <c r="G1929" s="24">
        <v>175164</v>
      </c>
    </row>
    <row r="1930" spans="1:7" x14ac:dyDescent="0.25">
      <c r="A1930" s="24" t="s">
        <v>262</v>
      </c>
      <c r="B1930" s="24" t="s">
        <v>57</v>
      </c>
      <c r="C1930" s="24" t="s">
        <v>36</v>
      </c>
      <c r="D1930" s="24">
        <v>31</v>
      </c>
      <c r="E1930" s="24" t="s">
        <v>796</v>
      </c>
      <c r="F1930" s="24" t="s">
        <v>902</v>
      </c>
      <c r="G1930" s="24">
        <v>175164</v>
      </c>
    </row>
    <row r="1931" spans="1:7" x14ac:dyDescent="0.25">
      <c r="A1931" s="24" t="s">
        <v>262</v>
      </c>
      <c r="B1931" s="24" t="s">
        <v>58</v>
      </c>
      <c r="C1931" s="24" t="s">
        <v>5</v>
      </c>
      <c r="D1931" s="24">
        <v>0</v>
      </c>
      <c r="E1931" s="24" t="s">
        <v>795</v>
      </c>
      <c r="F1931" s="24"/>
      <c r="G1931" s="24"/>
    </row>
    <row r="1932" spans="1:7" x14ac:dyDescent="0.25">
      <c r="A1932" s="24" t="s">
        <v>263</v>
      </c>
      <c r="B1932" s="24" t="s">
        <v>26</v>
      </c>
      <c r="C1932" s="24" t="s">
        <v>5</v>
      </c>
      <c r="D1932" s="24">
        <v>0.6</v>
      </c>
      <c r="E1932" s="24" t="s">
        <v>799</v>
      </c>
      <c r="F1932" s="24" t="s">
        <v>903</v>
      </c>
      <c r="G1932" s="24">
        <v>174204</v>
      </c>
    </row>
    <row r="1933" spans="1:7" x14ac:dyDescent="0.25">
      <c r="A1933" s="24" t="s">
        <v>263</v>
      </c>
      <c r="B1933" s="24" t="s">
        <v>27</v>
      </c>
      <c r="C1933" s="24" t="s">
        <v>5</v>
      </c>
      <c r="D1933" s="24">
        <v>0.52</v>
      </c>
      <c r="E1933" s="24" t="s">
        <v>799</v>
      </c>
      <c r="F1933" s="24" t="s">
        <v>903</v>
      </c>
      <c r="G1933" s="24">
        <v>174204</v>
      </c>
    </row>
    <row r="1934" spans="1:7" x14ac:dyDescent="0.25">
      <c r="A1934" s="24" t="s">
        <v>263</v>
      </c>
      <c r="B1934" s="24" t="s">
        <v>28</v>
      </c>
      <c r="C1934" s="24" t="s">
        <v>5</v>
      </c>
      <c r="D1934" s="24">
        <v>1.04</v>
      </c>
      <c r="E1934" s="24" t="s">
        <v>799</v>
      </c>
      <c r="F1934" s="24" t="s">
        <v>903</v>
      </c>
      <c r="G1934" s="24">
        <v>174204</v>
      </c>
    </row>
    <row r="1935" spans="1:7" x14ac:dyDescent="0.25">
      <c r="A1935" s="24" t="s">
        <v>263</v>
      </c>
      <c r="B1935" s="24" t="s">
        <v>32</v>
      </c>
      <c r="C1935" s="24" t="s">
        <v>33</v>
      </c>
      <c r="D1935" s="24">
        <v>2.7</v>
      </c>
      <c r="E1935" s="24" t="s">
        <v>796</v>
      </c>
      <c r="F1935" s="24" t="s">
        <v>903</v>
      </c>
      <c r="G1935" s="24">
        <v>174204</v>
      </c>
    </row>
    <row r="1936" spans="1:7" x14ac:dyDescent="0.25">
      <c r="A1936" s="24" t="s">
        <v>263</v>
      </c>
      <c r="B1936" s="24" t="s">
        <v>34</v>
      </c>
      <c r="C1936" s="24" t="s">
        <v>31</v>
      </c>
      <c r="D1936" s="24">
        <v>4</v>
      </c>
      <c r="E1936" s="24" t="s">
        <v>796</v>
      </c>
      <c r="F1936" s="24" t="s">
        <v>903</v>
      </c>
      <c r="G1936" s="24">
        <v>174204</v>
      </c>
    </row>
    <row r="1937" spans="1:7" x14ac:dyDescent="0.25">
      <c r="A1937" s="24" t="s">
        <v>263</v>
      </c>
      <c r="B1937" s="24" t="s">
        <v>40</v>
      </c>
      <c r="C1937" s="24" t="s">
        <v>31</v>
      </c>
      <c r="D1937" s="24">
        <v>0.1</v>
      </c>
      <c r="E1937" s="24" t="s">
        <v>796</v>
      </c>
      <c r="F1937" s="24" t="s">
        <v>903</v>
      </c>
      <c r="G1937" s="24">
        <v>174204</v>
      </c>
    </row>
    <row r="1938" spans="1:7" x14ac:dyDescent="0.25">
      <c r="A1938" s="24" t="s">
        <v>263</v>
      </c>
      <c r="B1938" s="24" t="s">
        <v>41</v>
      </c>
      <c r="C1938" s="24" t="s">
        <v>31</v>
      </c>
      <c r="D1938" s="24">
        <v>0.1</v>
      </c>
      <c r="E1938" s="24" t="s">
        <v>796</v>
      </c>
      <c r="F1938" s="24" t="s">
        <v>903</v>
      </c>
      <c r="G1938" s="24">
        <v>174204</v>
      </c>
    </row>
    <row r="1939" spans="1:7" x14ac:dyDescent="0.25">
      <c r="A1939" s="24" t="s">
        <v>263</v>
      </c>
      <c r="B1939" s="24" t="s">
        <v>42</v>
      </c>
      <c r="C1939" s="24" t="s">
        <v>43</v>
      </c>
      <c r="D1939" s="24">
        <v>3.6</v>
      </c>
      <c r="E1939" s="24" t="s">
        <v>796</v>
      </c>
      <c r="F1939" s="24" t="s">
        <v>903</v>
      </c>
      <c r="G1939" s="24">
        <v>174204</v>
      </c>
    </row>
    <row r="1940" spans="1:7" x14ac:dyDescent="0.25">
      <c r="A1940" s="24" t="s">
        <v>263</v>
      </c>
      <c r="B1940" s="24" t="s">
        <v>44</v>
      </c>
      <c r="C1940" s="24" t="s">
        <v>31</v>
      </c>
      <c r="D1940" s="24">
        <v>0.2</v>
      </c>
      <c r="E1940" s="24" t="s">
        <v>796</v>
      </c>
      <c r="F1940" s="24" t="s">
        <v>903</v>
      </c>
      <c r="G1940" s="24">
        <v>174204</v>
      </c>
    </row>
    <row r="1941" spans="1:7" x14ac:dyDescent="0.25">
      <c r="A1941" s="24" t="s">
        <v>263</v>
      </c>
      <c r="B1941" s="24" t="s">
        <v>45</v>
      </c>
      <c r="C1941" s="24" t="s">
        <v>31</v>
      </c>
      <c r="D1941" s="24">
        <v>0.5</v>
      </c>
      <c r="E1941" s="24" t="s">
        <v>796</v>
      </c>
      <c r="F1941" s="24" t="s">
        <v>903</v>
      </c>
      <c r="G1941" s="24">
        <v>174204</v>
      </c>
    </row>
    <row r="1942" spans="1:7" x14ac:dyDescent="0.25">
      <c r="A1942" s="24" t="s">
        <v>263</v>
      </c>
      <c r="B1942" s="24" t="s">
        <v>46</v>
      </c>
      <c r="C1942" s="24" t="s">
        <v>36</v>
      </c>
      <c r="D1942" s="24">
        <v>12</v>
      </c>
      <c r="E1942" s="24" t="s">
        <v>796</v>
      </c>
      <c r="F1942" s="24" t="s">
        <v>903</v>
      </c>
      <c r="G1942" s="24">
        <v>174204</v>
      </c>
    </row>
    <row r="1943" spans="1:7" x14ac:dyDescent="0.25">
      <c r="A1943" s="24" t="s">
        <v>263</v>
      </c>
      <c r="B1943" s="24" t="s">
        <v>47</v>
      </c>
      <c r="C1943" s="24" t="s">
        <v>48</v>
      </c>
      <c r="D1943" s="24">
        <v>58.7</v>
      </c>
      <c r="E1943" s="24" t="s">
        <v>796</v>
      </c>
      <c r="F1943" s="24" t="s">
        <v>903</v>
      </c>
      <c r="G1943" s="24">
        <v>174204</v>
      </c>
    </row>
    <row r="1944" spans="1:7" x14ac:dyDescent="0.25">
      <c r="A1944" s="24" t="s">
        <v>263</v>
      </c>
      <c r="B1944" s="24" t="s">
        <v>53</v>
      </c>
      <c r="C1944" s="24" t="s">
        <v>31</v>
      </c>
      <c r="D1944" s="24">
        <v>45.4</v>
      </c>
      <c r="E1944" s="24" t="s">
        <v>796</v>
      </c>
      <c r="F1944" s="24" t="s">
        <v>903</v>
      </c>
      <c r="G1944" s="24">
        <v>174204</v>
      </c>
    </row>
    <row r="1945" spans="1:7" x14ac:dyDescent="0.25">
      <c r="A1945" s="24" t="s">
        <v>263</v>
      </c>
      <c r="B1945" s="24" t="s">
        <v>55</v>
      </c>
      <c r="C1945" s="24" t="s">
        <v>31</v>
      </c>
      <c r="D1945" s="24">
        <v>4.7</v>
      </c>
      <c r="E1945" s="24" t="s">
        <v>796</v>
      </c>
      <c r="F1945" s="24" t="s">
        <v>903</v>
      </c>
      <c r="G1945" s="24">
        <v>174204</v>
      </c>
    </row>
    <row r="1946" spans="1:7" x14ac:dyDescent="0.25">
      <c r="A1946" s="24" t="s">
        <v>263</v>
      </c>
      <c r="B1946" s="24" t="s">
        <v>56</v>
      </c>
      <c r="C1946" s="24" t="s">
        <v>31</v>
      </c>
      <c r="D1946" s="24">
        <v>0.9</v>
      </c>
      <c r="E1946" s="24" t="s">
        <v>796</v>
      </c>
      <c r="F1946" s="24" t="s">
        <v>903</v>
      </c>
      <c r="G1946" s="24">
        <v>174204</v>
      </c>
    </row>
    <row r="1947" spans="1:7" x14ac:dyDescent="0.25">
      <c r="A1947" s="24" t="s">
        <v>263</v>
      </c>
      <c r="B1947" s="24" t="s">
        <v>57</v>
      </c>
      <c r="C1947" s="24" t="s">
        <v>36</v>
      </c>
      <c r="D1947" s="24">
        <v>49.9</v>
      </c>
      <c r="E1947" s="24" t="s">
        <v>796</v>
      </c>
      <c r="F1947" s="24" t="s">
        <v>903</v>
      </c>
      <c r="G1947" s="24">
        <v>174204</v>
      </c>
    </row>
    <row r="1948" spans="1:7" x14ac:dyDescent="0.25">
      <c r="A1948" s="24" t="s">
        <v>263</v>
      </c>
      <c r="B1948" s="24" t="s">
        <v>58</v>
      </c>
      <c r="C1948" s="24" t="s">
        <v>5</v>
      </c>
      <c r="D1948" s="24">
        <v>0</v>
      </c>
      <c r="E1948" s="24" t="s">
        <v>795</v>
      </c>
      <c r="F1948" s="24"/>
      <c r="G1948" s="24"/>
    </row>
    <row r="1949" spans="1:7" x14ac:dyDescent="0.25">
      <c r="A1949" s="24" t="s">
        <v>264</v>
      </c>
      <c r="B1949" s="24" t="s">
        <v>20</v>
      </c>
      <c r="C1949" s="24" t="s">
        <v>5</v>
      </c>
      <c r="D1949" s="24">
        <v>0.9</v>
      </c>
      <c r="E1949" s="24" t="s">
        <v>796</v>
      </c>
      <c r="F1949" s="24" t="s">
        <v>904</v>
      </c>
      <c r="G1949" s="24">
        <v>173709</v>
      </c>
    </row>
    <row r="1950" spans="1:7" x14ac:dyDescent="0.25">
      <c r="A1950" s="24" t="s">
        <v>264</v>
      </c>
      <c r="B1950" s="24" t="s">
        <v>24</v>
      </c>
      <c r="C1950" s="24" t="s">
        <v>5</v>
      </c>
      <c r="D1950" s="24">
        <v>0</v>
      </c>
      <c r="E1950" s="24" t="s">
        <v>801</v>
      </c>
      <c r="F1950" s="24" t="s">
        <v>904</v>
      </c>
      <c r="G1950" s="24">
        <v>173709</v>
      </c>
    </row>
    <row r="1951" spans="1:7" x14ac:dyDescent="0.25">
      <c r="A1951" s="24" t="s">
        <v>264</v>
      </c>
      <c r="B1951" s="24" t="s">
        <v>32</v>
      </c>
      <c r="C1951" s="24" t="s">
        <v>33</v>
      </c>
      <c r="D1951" s="24">
        <v>17</v>
      </c>
      <c r="E1951" s="24" t="s">
        <v>801</v>
      </c>
      <c r="F1951" s="24" t="s">
        <v>904</v>
      </c>
      <c r="G1951" s="24">
        <v>173709</v>
      </c>
    </row>
    <row r="1952" spans="1:7" x14ac:dyDescent="0.25">
      <c r="A1952" s="24" t="s">
        <v>264</v>
      </c>
      <c r="B1952" s="24" t="s">
        <v>34</v>
      </c>
      <c r="C1952" s="24" t="s">
        <v>31</v>
      </c>
      <c r="D1952" s="24">
        <v>0</v>
      </c>
      <c r="E1952" s="24" t="s">
        <v>801</v>
      </c>
      <c r="F1952" s="24" t="s">
        <v>904</v>
      </c>
      <c r="G1952" s="24">
        <v>173709</v>
      </c>
    </row>
    <row r="1953" spans="1:7" x14ac:dyDescent="0.25">
      <c r="A1953" s="24" t="s">
        <v>264</v>
      </c>
      <c r="B1953" s="24" t="s">
        <v>35</v>
      </c>
      <c r="C1953" s="24" t="s">
        <v>36</v>
      </c>
      <c r="D1953" s="24">
        <v>1.2</v>
      </c>
      <c r="E1953" s="24" t="s">
        <v>801</v>
      </c>
      <c r="F1953" s="24" t="s">
        <v>904</v>
      </c>
      <c r="G1953" s="24">
        <v>173709</v>
      </c>
    </row>
    <row r="1954" spans="1:7" x14ac:dyDescent="0.25">
      <c r="A1954" s="24" t="s">
        <v>264</v>
      </c>
      <c r="B1954" s="24" t="s">
        <v>37</v>
      </c>
      <c r="C1954" s="24" t="s">
        <v>38</v>
      </c>
      <c r="D1954" s="24">
        <v>0.3</v>
      </c>
      <c r="E1954" s="24" t="s">
        <v>801</v>
      </c>
      <c r="F1954" s="24" t="s">
        <v>904</v>
      </c>
      <c r="G1954" s="24">
        <v>173709</v>
      </c>
    </row>
    <row r="1955" spans="1:7" x14ac:dyDescent="0.25">
      <c r="A1955" s="24" t="s">
        <v>264</v>
      </c>
      <c r="B1955" s="24" t="s">
        <v>39</v>
      </c>
      <c r="C1955" s="24" t="s">
        <v>36</v>
      </c>
      <c r="D1955" s="24">
        <v>0.2</v>
      </c>
      <c r="E1955" s="24" t="s">
        <v>801</v>
      </c>
      <c r="F1955" s="24" t="s">
        <v>904</v>
      </c>
      <c r="G1955" s="24">
        <v>173709</v>
      </c>
    </row>
    <row r="1956" spans="1:7" x14ac:dyDescent="0.25">
      <c r="A1956" s="24" t="s">
        <v>264</v>
      </c>
      <c r="B1956" s="24" t="s">
        <v>40</v>
      </c>
      <c r="C1956" s="24" t="s">
        <v>31</v>
      </c>
      <c r="D1956" s="24">
        <v>0</v>
      </c>
      <c r="E1956" s="24" t="s">
        <v>801</v>
      </c>
      <c r="F1956" s="24" t="s">
        <v>904</v>
      </c>
      <c r="G1956" s="24">
        <v>173709</v>
      </c>
    </row>
    <row r="1957" spans="1:7" x14ac:dyDescent="0.25">
      <c r="A1957" s="24" t="s">
        <v>264</v>
      </c>
      <c r="B1957" s="24" t="s">
        <v>41</v>
      </c>
      <c r="C1957" s="24" t="s">
        <v>31</v>
      </c>
      <c r="D1957" s="24">
        <v>0.1</v>
      </c>
      <c r="E1957" s="24" t="s">
        <v>801</v>
      </c>
      <c r="F1957" s="24" t="s">
        <v>904</v>
      </c>
      <c r="G1957" s="24">
        <v>173709</v>
      </c>
    </row>
    <row r="1958" spans="1:7" x14ac:dyDescent="0.25">
      <c r="A1958" s="24" t="s">
        <v>264</v>
      </c>
      <c r="B1958" s="24" t="s">
        <v>42</v>
      </c>
      <c r="C1958" s="24" t="s">
        <v>43</v>
      </c>
      <c r="D1958" s="24">
        <v>10.1</v>
      </c>
      <c r="E1958" s="24" t="s">
        <v>801</v>
      </c>
      <c r="F1958" s="24" t="s">
        <v>904</v>
      </c>
      <c r="G1958" s="24">
        <v>173709</v>
      </c>
    </row>
    <row r="1959" spans="1:7" x14ac:dyDescent="0.25">
      <c r="A1959" s="24" t="s">
        <v>264</v>
      </c>
      <c r="B1959" s="24" t="s">
        <v>44</v>
      </c>
      <c r="C1959" s="24" t="s">
        <v>31</v>
      </c>
      <c r="D1959" s="24">
        <v>0.3</v>
      </c>
      <c r="E1959" s="24" t="s">
        <v>801</v>
      </c>
      <c r="F1959" s="24" t="s">
        <v>904</v>
      </c>
      <c r="G1959" s="24">
        <v>173709</v>
      </c>
    </row>
    <row r="1960" spans="1:7" x14ac:dyDescent="0.25">
      <c r="A1960" s="24" t="s">
        <v>264</v>
      </c>
      <c r="B1960" s="24" t="s">
        <v>45</v>
      </c>
      <c r="C1960" s="24" t="s">
        <v>31</v>
      </c>
      <c r="D1960" s="24">
        <v>0.1</v>
      </c>
      <c r="E1960" s="24" t="s">
        <v>801</v>
      </c>
      <c r="F1960" s="24" t="s">
        <v>904</v>
      </c>
      <c r="G1960" s="24">
        <v>173709</v>
      </c>
    </row>
    <row r="1961" spans="1:7" x14ac:dyDescent="0.25">
      <c r="A1961" s="24" t="s">
        <v>264</v>
      </c>
      <c r="B1961" s="24" t="s">
        <v>46</v>
      </c>
      <c r="C1961" s="24" t="s">
        <v>36</v>
      </c>
      <c r="D1961" s="24">
        <v>2.5</v>
      </c>
      <c r="E1961" s="24" t="s">
        <v>801</v>
      </c>
      <c r="F1961" s="24" t="s">
        <v>904</v>
      </c>
      <c r="G1961" s="24">
        <v>173709</v>
      </c>
    </row>
    <row r="1962" spans="1:7" x14ac:dyDescent="0.25">
      <c r="A1962" s="24" t="s">
        <v>264</v>
      </c>
      <c r="B1962" s="24" t="s">
        <v>47</v>
      </c>
      <c r="C1962" s="24" t="s">
        <v>48</v>
      </c>
      <c r="D1962" s="24">
        <v>4</v>
      </c>
      <c r="E1962" s="24" t="s">
        <v>801</v>
      </c>
      <c r="F1962" s="24" t="s">
        <v>904</v>
      </c>
      <c r="G1962" s="24">
        <v>173709</v>
      </c>
    </row>
    <row r="1963" spans="1:7" x14ac:dyDescent="0.25">
      <c r="A1963" s="24" t="s">
        <v>264</v>
      </c>
      <c r="B1963" s="24" t="s">
        <v>50</v>
      </c>
      <c r="C1963" s="24" t="s">
        <v>31</v>
      </c>
      <c r="D1963" s="24">
        <v>179</v>
      </c>
      <c r="E1963" s="24" t="s">
        <v>801</v>
      </c>
      <c r="F1963" s="24" t="s">
        <v>904</v>
      </c>
      <c r="G1963" s="24">
        <v>173709</v>
      </c>
    </row>
    <row r="1964" spans="1:7" x14ac:dyDescent="0.25">
      <c r="A1964" s="24" t="s">
        <v>264</v>
      </c>
      <c r="B1964" s="24" t="s">
        <v>51</v>
      </c>
      <c r="C1964" s="24" t="s">
        <v>31</v>
      </c>
      <c r="D1964" s="24">
        <v>17</v>
      </c>
      <c r="E1964" s="24" t="s">
        <v>801</v>
      </c>
      <c r="F1964" s="24" t="s">
        <v>904</v>
      </c>
      <c r="G1964" s="24">
        <v>173709</v>
      </c>
    </row>
    <row r="1965" spans="1:7" x14ac:dyDescent="0.25">
      <c r="A1965" s="24" t="s">
        <v>264</v>
      </c>
      <c r="B1965" s="24" t="s">
        <v>52</v>
      </c>
      <c r="C1965" s="24" t="s">
        <v>31</v>
      </c>
      <c r="D1965" s="24">
        <v>139</v>
      </c>
      <c r="E1965" s="24" t="s">
        <v>801</v>
      </c>
      <c r="F1965" s="24" t="s">
        <v>904</v>
      </c>
      <c r="G1965" s="24">
        <v>173709</v>
      </c>
    </row>
    <row r="1966" spans="1:7" x14ac:dyDescent="0.25">
      <c r="A1966" s="24" t="s">
        <v>264</v>
      </c>
      <c r="B1966" s="24" t="s">
        <v>53</v>
      </c>
      <c r="C1966" s="24" t="s">
        <v>31</v>
      </c>
      <c r="D1966" s="24">
        <v>23</v>
      </c>
      <c r="E1966" s="24" t="s">
        <v>801</v>
      </c>
      <c r="F1966" s="24" t="s">
        <v>904</v>
      </c>
      <c r="G1966" s="24">
        <v>173709</v>
      </c>
    </row>
    <row r="1967" spans="1:7" x14ac:dyDescent="0.25">
      <c r="A1967" s="24" t="s">
        <v>264</v>
      </c>
      <c r="B1967" s="24" t="s">
        <v>54</v>
      </c>
      <c r="C1967" s="24" t="s">
        <v>31</v>
      </c>
      <c r="D1967" s="24">
        <v>1.6</v>
      </c>
      <c r="E1967" s="24" t="s">
        <v>801</v>
      </c>
      <c r="F1967" s="24" t="s">
        <v>904</v>
      </c>
      <c r="G1967" s="24">
        <v>173709</v>
      </c>
    </row>
    <row r="1968" spans="1:7" x14ac:dyDescent="0.25">
      <c r="A1968" s="24" t="s">
        <v>264</v>
      </c>
      <c r="B1968" s="24" t="s">
        <v>55</v>
      </c>
      <c r="C1968" s="24" t="s">
        <v>31</v>
      </c>
      <c r="D1968" s="24">
        <v>0.7</v>
      </c>
      <c r="E1968" s="24" t="s">
        <v>801</v>
      </c>
      <c r="F1968" s="24" t="s">
        <v>904</v>
      </c>
      <c r="G1968" s="24">
        <v>173709</v>
      </c>
    </row>
    <row r="1969" spans="1:7" x14ac:dyDescent="0.25">
      <c r="A1969" s="24" t="s">
        <v>264</v>
      </c>
      <c r="B1969" s="24" t="s">
        <v>56</v>
      </c>
      <c r="C1969" s="24" t="s">
        <v>31</v>
      </c>
      <c r="D1969" s="24">
        <v>0.1</v>
      </c>
      <c r="E1969" s="24" t="s">
        <v>801</v>
      </c>
      <c r="F1969" s="24" t="s">
        <v>904</v>
      </c>
      <c r="G1969" s="24">
        <v>173709</v>
      </c>
    </row>
    <row r="1970" spans="1:7" x14ac:dyDescent="0.25">
      <c r="A1970" s="24" t="s">
        <v>264</v>
      </c>
      <c r="B1970" s="24" t="s">
        <v>57</v>
      </c>
      <c r="C1970" s="24" t="s">
        <v>36</v>
      </c>
      <c r="D1970" s="24">
        <v>70.599999999999994</v>
      </c>
      <c r="E1970" s="24" t="s">
        <v>801</v>
      </c>
      <c r="F1970" s="24" t="s">
        <v>904</v>
      </c>
      <c r="G1970" s="24">
        <v>173709</v>
      </c>
    </row>
    <row r="1971" spans="1:7" x14ac:dyDescent="0.25">
      <c r="A1971" s="24" t="s">
        <v>264</v>
      </c>
      <c r="B1971" s="24" t="s">
        <v>58</v>
      </c>
      <c r="C1971" s="24" t="s">
        <v>5</v>
      </c>
      <c r="D1971" s="24">
        <v>0</v>
      </c>
      <c r="E1971" s="24" t="s">
        <v>795</v>
      </c>
      <c r="F1971" s="24"/>
      <c r="G1971" s="24"/>
    </row>
    <row r="1972" spans="1:7" x14ac:dyDescent="0.25">
      <c r="A1972" s="24" t="s">
        <v>264</v>
      </c>
      <c r="B1972" s="24" t="s">
        <v>18</v>
      </c>
      <c r="C1972" s="24" t="s">
        <v>5</v>
      </c>
      <c r="D1972" s="24">
        <v>69.7</v>
      </c>
      <c r="E1972" s="24" t="s">
        <v>803</v>
      </c>
      <c r="F1972" s="24"/>
      <c r="G1972" s="24"/>
    </row>
    <row r="1973" spans="1:7" x14ac:dyDescent="0.25">
      <c r="A1973" s="24" t="s">
        <v>265</v>
      </c>
      <c r="B1973" s="24" t="s">
        <v>20</v>
      </c>
      <c r="C1973" s="24" t="s">
        <v>5</v>
      </c>
      <c r="D1973" s="24">
        <v>1.2</v>
      </c>
      <c r="E1973" s="24" t="s">
        <v>796</v>
      </c>
      <c r="F1973" s="24" t="s">
        <v>904</v>
      </c>
      <c r="G1973" s="24">
        <v>173709</v>
      </c>
    </row>
    <row r="1974" spans="1:7" x14ac:dyDescent="0.25">
      <c r="A1974" s="24" t="s">
        <v>265</v>
      </c>
      <c r="B1974" s="24" t="s">
        <v>23</v>
      </c>
      <c r="C1974" s="24" t="s">
        <v>5</v>
      </c>
      <c r="D1974" s="24">
        <v>0</v>
      </c>
      <c r="E1974" s="24" t="s">
        <v>796</v>
      </c>
      <c r="F1974" s="24" t="s">
        <v>904</v>
      </c>
      <c r="G1974" s="24">
        <v>173709</v>
      </c>
    </row>
    <row r="1975" spans="1:7" x14ac:dyDescent="0.25">
      <c r="A1975" s="24" t="s">
        <v>265</v>
      </c>
      <c r="B1975" s="24" t="s">
        <v>29</v>
      </c>
      <c r="C1975" s="24" t="s">
        <v>5</v>
      </c>
      <c r="D1975" s="24">
        <v>0</v>
      </c>
      <c r="E1975" s="24" t="s">
        <v>799</v>
      </c>
      <c r="F1975" s="24" t="s">
        <v>904</v>
      </c>
      <c r="G1975" s="24">
        <v>173709</v>
      </c>
    </row>
    <row r="1976" spans="1:7" x14ac:dyDescent="0.25">
      <c r="A1976" s="24" t="s">
        <v>265</v>
      </c>
      <c r="B1976" s="24" t="s">
        <v>35</v>
      </c>
      <c r="C1976" s="24" t="s">
        <v>36</v>
      </c>
      <c r="D1976" s="24">
        <v>1.6</v>
      </c>
      <c r="E1976" s="24" t="s">
        <v>796</v>
      </c>
      <c r="F1976" s="24" t="s">
        <v>904</v>
      </c>
      <c r="G1976" s="24">
        <v>173709</v>
      </c>
    </row>
    <row r="1977" spans="1:7" x14ac:dyDescent="0.25">
      <c r="A1977" s="24" t="s">
        <v>265</v>
      </c>
      <c r="B1977" s="24" t="s">
        <v>39</v>
      </c>
      <c r="C1977" s="24" t="s">
        <v>36</v>
      </c>
      <c r="D1977" s="24">
        <v>0.3</v>
      </c>
      <c r="E1977" s="24" t="s">
        <v>796</v>
      </c>
      <c r="F1977" s="24" t="s">
        <v>904</v>
      </c>
      <c r="G1977" s="24">
        <v>173709</v>
      </c>
    </row>
    <row r="1978" spans="1:7" x14ac:dyDescent="0.25">
      <c r="A1978" s="24" t="s">
        <v>265</v>
      </c>
      <c r="B1978" s="24" t="s">
        <v>58</v>
      </c>
      <c r="C1978" s="24" t="s">
        <v>5</v>
      </c>
      <c r="D1978" s="24">
        <v>0</v>
      </c>
      <c r="E1978" s="24" t="s">
        <v>795</v>
      </c>
      <c r="F1978" s="24"/>
      <c r="G1978" s="24"/>
    </row>
    <row r="1979" spans="1:7" x14ac:dyDescent="0.25">
      <c r="A1979" s="24" t="s">
        <v>266</v>
      </c>
      <c r="B1979" s="24" t="s">
        <v>58</v>
      </c>
      <c r="C1979" s="24" t="s">
        <v>5</v>
      </c>
      <c r="D1979" s="24">
        <v>0</v>
      </c>
      <c r="E1979" s="24" t="s">
        <v>795</v>
      </c>
      <c r="F1979" s="24"/>
      <c r="G1979" s="24"/>
    </row>
    <row r="1980" spans="1:7" x14ac:dyDescent="0.25">
      <c r="A1980" s="24" t="s">
        <v>267</v>
      </c>
      <c r="B1980" s="24" t="s">
        <v>26</v>
      </c>
      <c r="C1980" s="24" t="s">
        <v>5</v>
      </c>
      <c r="D1980" s="24">
        <v>5.44</v>
      </c>
      <c r="E1980" s="24" t="s">
        <v>799</v>
      </c>
      <c r="F1980" s="24" t="s">
        <v>905</v>
      </c>
      <c r="G1980" s="24">
        <v>171951</v>
      </c>
    </row>
    <row r="1981" spans="1:7" x14ac:dyDescent="0.25">
      <c r="A1981" s="24" t="s">
        <v>267</v>
      </c>
      <c r="B1981" s="24" t="s">
        <v>27</v>
      </c>
      <c r="C1981" s="24" t="s">
        <v>5</v>
      </c>
      <c r="D1981" s="24">
        <v>5.44</v>
      </c>
      <c r="E1981" s="24" t="s">
        <v>799</v>
      </c>
      <c r="F1981" s="24" t="s">
        <v>905</v>
      </c>
      <c r="G1981" s="24">
        <v>171951</v>
      </c>
    </row>
    <row r="1982" spans="1:7" x14ac:dyDescent="0.25">
      <c r="A1982" s="24" t="s">
        <v>267</v>
      </c>
      <c r="B1982" s="24" t="s">
        <v>28</v>
      </c>
      <c r="C1982" s="24" t="s">
        <v>5</v>
      </c>
      <c r="D1982" s="24">
        <v>0.95</v>
      </c>
      <c r="E1982" s="24" t="s">
        <v>799</v>
      </c>
      <c r="F1982" s="24" t="s">
        <v>905</v>
      </c>
      <c r="G1982" s="24">
        <v>171951</v>
      </c>
    </row>
    <row r="1983" spans="1:7" x14ac:dyDescent="0.25">
      <c r="A1983" s="24" t="s">
        <v>267</v>
      </c>
      <c r="B1983" s="24" t="s">
        <v>32</v>
      </c>
      <c r="C1983" s="24" t="s">
        <v>33</v>
      </c>
      <c r="D1983" s="24">
        <v>36.9</v>
      </c>
      <c r="E1983" s="24" t="s">
        <v>796</v>
      </c>
      <c r="F1983" s="24" t="s">
        <v>905</v>
      </c>
      <c r="G1983" s="24">
        <v>171951</v>
      </c>
    </row>
    <row r="1984" spans="1:7" x14ac:dyDescent="0.25">
      <c r="A1984" s="24" t="s">
        <v>267</v>
      </c>
      <c r="B1984" s="24" t="s">
        <v>34</v>
      </c>
      <c r="C1984" s="24" t="s">
        <v>31</v>
      </c>
      <c r="D1984" s="24">
        <v>0</v>
      </c>
      <c r="E1984" s="24" t="s">
        <v>796</v>
      </c>
      <c r="F1984" s="24" t="s">
        <v>905</v>
      </c>
      <c r="G1984" s="24">
        <v>171951</v>
      </c>
    </row>
    <row r="1985" spans="1:7" x14ac:dyDescent="0.25">
      <c r="A1985" s="24" t="s">
        <v>267</v>
      </c>
      <c r="B1985" s="24" t="s">
        <v>40</v>
      </c>
      <c r="C1985" s="24" t="s">
        <v>31</v>
      </c>
      <c r="D1985" s="24">
        <v>0.1</v>
      </c>
      <c r="E1985" s="24" t="s">
        <v>796</v>
      </c>
      <c r="F1985" s="24" t="s">
        <v>905</v>
      </c>
      <c r="G1985" s="24">
        <v>171951</v>
      </c>
    </row>
    <row r="1986" spans="1:7" x14ac:dyDescent="0.25">
      <c r="A1986" s="24" t="s">
        <v>267</v>
      </c>
      <c r="B1986" s="24" t="s">
        <v>41</v>
      </c>
      <c r="C1986" s="24" t="s">
        <v>31</v>
      </c>
      <c r="D1986" s="24">
        <v>0.2</v>
      </c>
      <c r="E1986" s="24" t="s">
        <v>796</v>
      </c>
      <c r="F1986" s="24" t="s">
        <v>905</v>
      </c>
      <c r="G1986" s="24">
        <v>171951</v>
      </c>
    </row>
    <row r="1987" spans="1:7" x14ac:dyDescent="0.25">
      <c r="A1987" s="24" t="s">
        <v>267</v>
      </c>
      <c r="B1987" s="24" t="s">
        <v>42</v>
      </c>
      <c r="C1987" s="24" t="s">
        <v>43</v>
      </c>
      <c r="D1987" s="24">
        <v>5.5</v>
      </c>
      <c r="E1987" s="24" t="s">
        <v>796</v>
      </c>
      <c r="F1987" s="24" t="s">
        <v>905</v>
      </c>
      <c r="G1987" s="24">
        <v>171951</v>
      </c>
    </row>
    <row r="1988" spans="1:7" x14ac:dyDescent="0.25">
      <c r="A1988" s="24" t="s">
        <v>267</v>
      </c>
      <c r="B1988" s="24" t="s">
        <v>44</v>
      </c>
      <c r="C1988" s="24" t="s">
        <v>31</v>
      </c>
      <c r="D1988" s="24">
        <v>0.4</v>
      </c>
      <c r="E1988" s="24" t="s">
        <v>796</v>
      </c>
      <c r="F1988" s="24" t="s">
        <v>905</v>
      </c>
      <c r="G1988" s="24">
        <v>171951</v>
      </c>
    </row>
    <row r="1989" spans="1:7" x14ac:dyDescent="0.25">
      <c r="A1989" s="24" t="s">
        <v>267</v>
      </c>
      <c r="B1989" s="24" t="s">
        <v>45</v>
      </c>
      <c r="C1989" s="24" t="s">
        <v>31</v>
      </c>
      <c r="D1989" s="24">
        <v>0.9</v>
      </c>
      <c r="E1989" s="24" t="s">
        <v>796</v>
      </c>
      <c r="F1989" s="24" t="s">
        <v>905</v>
      </c>
      <c r="G1989" s="24">
        <v>171951</v>
      </c>
    </row>
    <row r="1990" spans="1:7" x14ac:dyDescent="0.25">
      <c r="A1990" s="24" t="s">
        <v>267</v>
      </c>
      <c r="B1990" s="24" t="s">
        <v>46</v>
      </c>
      <c r="C1990" s="24" t="s">
        <v>36</v>
      </c>
      <c r="D1990" s="24">
        <v>2.2999999999999998</v>
      </c>
      <c r="E1990" s="24" t="s">
        <v>796</v>
      </c>
      <c r="F1990" s="24" t="s">
        <v>905</v>
      </c>
      <c r="G1990" s="24">
        <v>171951</v>
      </c>
    </row>
    <row r="1991" spans="1:7" x14ac:dyDescent="0.25">
      <c r="A1991" s="24" t="s">
        <v>267</v>
      </c>
      <c r="B1991" s="24" t="s">
        <v>47</v>
      </c>
      <c r="C1991" s="24" t="s">
        <v>48</v>
      </c>
      <c r="D1991" s="24">
        <v>18.399999999999999</v>
      </c>
      <c r="E1991" s="24" t="s">
        <v>796</v>
      </c>
      <c r="F1991" s="24" t="s">
        <v>905</v>
      </c>
      <c r="G1991" s="24">
        <v>171951</v>
      </c>
    </row>
    <row r="1992" spans="1:7" x14ac:dyDescent="0.25">
      <c r="A1992" s="24" t="s">
        <v>267</v>
      </c>
      <c r="B1992" s="24" t="s">
        <v>51</v>
      </c>
      <c r="C1992" s="24" t="s">
        <v>31</v>
      </c>
      <c r="D1992" s="24">
        <v>27</v>
      </c>
      <c r="E1992" s="24" t="s">
        <v>796</v>
      </c>
      <c r="F1992" s="24" t="s">
        <v>905</v>
      </c>
      <c r="G1992" s="24">
        <v>171951</v>
      </c>
    </row>
    <row r="1993" spans="1:7" x14ac:dyDescent="0.25">
      <c r="A1993" s="24" t="s">
        <v>267</v>
      </c>
      <c r="B1993" s="24" t="s">
        <v>52</v>
      </c>
      <c r="C1993" s="24" t="s">
        <v>31</v>
      </c>
      <c r="D1993" s="24">
        <v>295</v>
      </c>
      <c r="E1993" s="24" t="s">
        <v>796</v>
      </c>
      <c r="F1993" s="24" t="s">
        <v>905</v>
      </c>
      <c r="G1993" s="24">
        <v>171951</v>
      </c>
    </row>
    <row r="1994" spans="1:7" x14ac:dyDescent="0.25">
      <c r="A1994" s="24" t="s">
        <v>267</v>
      </c>
      <c r="B1994" s="24" t="s">
        <v>53</v>
      </c>
      <c r="C1994" s="24" t="s">
        <v>31</v>
      </c>
      <c r="D1994" s="24">
        <v>30.7</v>
      </c>
      <c r="E1994" s="24" t="s">
        <v>796</v>
      </c>
      <c r="F1994" s="24" t="s">
        <v>905</v>
      </c>
      <c r="G1994" s="24">
        <v>171951</v>
      </c>
    </row>
    <row r="1995" spans="1:7" x14ac:dyDescent="0.25">
      <c r="A1995" s="24" t="s">
        <v>267</v>
      </c>
      <c r="B1995" s="24" t="s">
        <v>54</v>
      </c>
      <c r="C1995" s="24" t="s">
        <v>31</v>
      </c>
      <c r="D1995" s="24">
        <v>0.6</v>
      </c>
      <c r="E1995" s="24" t="s">
        <v>796</v>
      </c>
      <c r="F1995" s="24" t="s">
        <v>905</v>
      </c>
      <c r="G1995" s="24">
        <v>171951</v>
      </c>
    </row>
    <row r="1996" spans="1:7" x14ac:dyDescent="0.25">
      <c r="A1996" s="24" t="s">
        <v>267</v>
      </c>
      <c r="B1996" s="24" t="s">
        <v>55</v>
      </c>
      <c r="C1996" s="24" t="s">
        <v>31</v>
      </c>
      <c r="D1996" s="24">
        <v>0.9</v>
      </c>
      <c r="E1996" s="24" t="s">
        <v>796</v>
      </c>
      <c r="F1996" s="24" t="s">
        <v>905</v>
      </c>
      <c r="G1996" s="24">
        <v>171951</v>
      </c>
    </row>
    <row r="1997" spans="1:7" x14ac:dyDescent="0.25">
      <c r="A1997" s="24" t="s">
        <v>267</v>
      </c>
      <c r="B1997" s="24" t="s">
        <v>56</v>
      </c>
      <c r="C1997" s="24" t="s">
        <v>31</v>
      </c>
      <c r="D1997" s="24">
        <v>0.1</v>
      </c>
      <c r="E1997" s="24" t="s">
        <v>796</v>
      </c>
      <c r="F1997" s="24" t="s">
        <v>905</v>
      </c>
      <c r="G1997" s="24">
        <v>171951</v>
      </c>
    </row>
    <row r="1998" spans="1:7" x14ac:dyDescent="0.25">
      <c r="A1998" s="24" t="s">
        <v>267</v>
      </c>
      <c r="B1998" s="24" t="s">
        <v>57</v>
      </c>
      <c r="C1998" s="24" t="s">
        <v>36</v>
      </c>
      <c r="D1998" s="24">
        <v>44.9</v>
      </c>
      <c r="E1998" s="24" t="s">
        <v>796</v>
      </c>
      <c r="F1998" s="24" t="s">
        <v>905</v>
      </c>
      <c r="G1998" s="24">
        <v>171951</v>
      </c>
    </row>
    <row r="1999" spans="1:7" x14ac:dyDescent="0.25">
      <c r="A1999" s="24" t="s">
        <v>267</v>
      </c>
      <c r="B1999" s="24" t="s">
        <v>58</v>
      </c>
      <c r="C1999" s="24" t="s">
        <v>5</v>
      </c>
      <c r="D1999" s="24">
        <v>0</v>
      </c>
      <c r="E1999" s="24" t="s">
        <v>795</v>
      </c>
      <c r="F1999" s="24"/>
      <c r="G1999" s="24"/>
    </row>
    <row r="2000" spans="1:7" x14ac:dyDescent="0.25">
      <c r="A2000" s="24" t="s">
        <v>268</v>
      </c>
      <c r="B2000" s="24" t="s">
        <v>26</v>
      </c>
      <c r="C2000" s="24" t="s">
        <v>5</v>
      </c>
      <c r="D2000" s="24">
        <v>0.04</v>
      </c>
      <c r="E2000" s="24" t="s">
        <v>799</v>
      </c>
      <c r="F2000" s="24" t="s">
        <v>906</v>
      </c>
      <c r="G2000" s="24">
        <v>171958</v>
      </c>
    </row>
    <row r="2001" spans="1:7" x14ac:dyDescent="0.25">
      <c r="A2001" s="24" t="s">
        <v>268</v>
      </c>
      <c r="B2001" s="24" t="s">
        <v>27</v>
      </c>
      <c r="C2001" s="24" t="s">
        <v>5</v>
      </c>
      <c r="D2001" s="24">
        <v>0.03</v>
      </c>
      <c r="E2001" s="24" t="s">
        <v>799</v>
      </c>
      <c r="F2001" s="24" t="s">
        <v>906</v>
      </c>
      <c r="G2001" s="24">
        <v>171958</v>
      </c>
    </row>
    <row r="2002" spans="1:7" x14ac:dyDescent="0.25">
      <c r="A2002" s="24" t="s">
        <v>268</v>
      </c>
      <c r="B2002" s="24" t="s">
        <v>28</v>
      </c>
      <c r="C2002" s="24" t="s">
        <v>5</v>
      </c>
      <c r="D2002" s="24">
        <v>0.08</v>
      </c>
      <c r="E2002" s="24" t="s">
        <v>799</v>
      </c>
      <c r="F2002" s="24" t="s">
        <v>906</v>
      </c>
      <c r="G2002" s="24">
        <v>171958</v>
      </c>
    </row>
    <row r="2003" spans="1:7" x14ac:dyDescent="0.25">
      <c r="A2003" s="24" t="s">
        <v>268</v>
      </c>
      <c r="B2003" s="24" t="s">
        <v>30</v>
      </c>
      <c r="C2003" s="24" t="s">
        <v>31</v>
      </c>
      <c r="D2003" s="24">
        <v>41</v>
      </c>
      <c r="E2003" s="24" t="s">
        <v>801</v>
      </c>
      <c r="F2003" s="24" t="s">
        <v>906</v>
      </c>
      <c r="G2003" s="24">
        <v>171958</v>
      </c>
    </row>
    <row r="2004" spans="1:7" x14ac:dyDescent="0.25">
      <c r="A2004" s="24" t="s">
        <v>268</v>
      </c>
      <c r="B2004" s="24" t="s">
        <v>32</v>
      </c>
      <c r="C2004" s="24" t="s">
        <v>33</v>
      </c>
      <c r="D2004" s="24">
        <v>15.2</v>
      </c>
      <c r="E2004" s="24" t="s">
        <v>796</v>
      </c>
      <c r="F2004" s="24" t="s">
        <v>906</v>
      </c>
      <c r="G2004" s="24">
        <v>171958</v>
      </c>
    </row>
    <row r="2005" spans="1:7" x14ac:dyDescent="0.25">
      <c r="A2005" s="24" t="s">
        <v>268</v>
      </c>
      <c r="B2005" s="24" t="s">
        <v>34</v>
      </c>
      <c r="C2005" s="24" t="s">
        <v>31</v>
      </c>
      <c r="D2005" s="24">
        <v>0</v>
      </c>
      <c r="E2005" s="24" t="s">
        <v>796</v>
      </c>
      <c r="F2005" s="24" t="s">
        <v>906</v>
      </c>
      <c r="G2005" s="24">
        <v>171958</v>
      </c>
    </row>
    <row r="2006" spans="1:7" x14ac:dyDescent="0.25">
      <c r="A2006" s="24" t="s">
        <v>268</v>
      </c>
      <c r="B2006" s="24" t="s">
        <v>44</v>
      </c>
      <c r="C2006" s="24" t="s">
        <v>31</v>
      </c>
      <c r="D2006" s="24">
        <v>0.3</v>
      </c>
      <c r="E2006" s="24" t="s">
        <v>796</v>
      </c>
      <c r="F2006" s="24" t="s">
        <v>906</v>
      </c>
      <c r="G2006" s="24">
        <v>171958</v>
      </c>
    </row>
    <row r="2007" spans="1:7" x14ac:dyDescent="0.25">
      <c r="A2007" s="24" t="s">
        <v>268</v>
      </c>
      <c r="B2007" s="24" t="s">
        <v>45</v>
      </c>
      <c r="C2007" s="24" t="s">
        <v>31</v>
      </c>
      <c r="D2007" s="24">
        <v>0.2</v>
      </c>
      <c r="E2007" s="24" t="s">
        <v>796</v>
      </c>
      <c r="F2007" s="24" t="s">
        <v>906</v>
      </c>
      <c r="G2007" s="24">
        <v>171958</v>
      </c>
    </row>
    <row r="2008" spans="1:7" x14ac:dyDescent="0.25">
      <c r="A2008" s="24" t="s">
        <v>268</v>
      </c>
      <c r="B2008" s="24" t="s">
        <v>46</v>
      </c>
      <c r="C2008" s="24" t="s">
        <v>36</v>
      </c>
      <c r="D2008" s="24">
        <v>0.9</v>
      </c>
      <c r="E2008" s="24" t="s">
        <v>796</v>
      </c>
      <c r="F2008" s="24" t="s">
        <v>906</v>
      </c>
      <c r="G2008" s="24">
        <v>171958</v>
      </c>
    </row>
    <row r="2009" spans="1:7" x14ac:dyDescent="0.25">
      <c r="A2009" s="24" t="s">
        <v>268</v>
      </c>
      <c r="B2009" s="24" t="s">
        <v>47</v>
      </c>
      <c r="C2009" s="24" t="s">
        <v>48</v>
      </c>
      <c r="D2009" s="24">
        <v>1.7</v>
      </c>
      <c r="E2009" s="24" t="s">
        <v>796</v>
      </c>
      <c r="F2009" s="24" t="s">
        <v>906</v>
      </c>
      <c r="G2009" s="24">
        <v>171958</v>
      </c>
    </row>
    <row r="2010" spans="1:7" x14ac:dyDescent="0.25">
      <c r="A2010" s="24" t="s">
        <v>268</v>
      </c>
      <c r="B2010" s="24" t="s">
        <v>49</v>
      </c>
      <c r="C2010" s="24" t="s">
        <v>31</v>
      </c>
      <c r="D2010" s="24">
        <v>26.2</v>
      </c>
      <c r="E2010" s="24" t="s">
        <v>796</v>
      </c>
      <c r="F2010" s="24" t="s">
        <v>906</v>
      </c>
      <c r="G2010" s="24">
        <v>171958</v>
      </c>
    </row>
    <row r="2011" spans="1:7" x14ac:dyDescent="0.25">
      <c r="A2011" s="24" t="s">
        <v>268</v>
      </c>
      <c r="B2011" s="24" t="s">
        <v>50</v>
      </c>
      <c r="C2011" s="24" t="s">
        <v>31</v>
      </c>
      <c r="D2011" s="24">
        <v>331.5</v>
      </c>
      <c r="E2011" s="24" t="s">
        <v>796</v>
      </c>
      <c r="F2011" s="24" t="s">
        <v>906</v>
      </c>
      <c r="G2011" s="24">
        <v>171958</v>
      </c>
    </row>
    <row r="2012" spans="1:7" x14ac:dyDescent="0.25">
      <c r="A2012" s="24" t="s">
        <v>268</v>
      </c>
      <c r="B2012" s="24" t="s">
        <v>53</v>
      </c>
      <c r="C2012" s="24" t="s">
        <v>31</v>
      </c>
      <c r="D2012" s="24">
        <v>26.2</v>
      </c>
      <c r="E2012" s="24" t="s">
        <v>796</v>
      </c>
      <c r="F2012" s="24" t="s">
        <v>906</v>
      </c>
      <c r="G2012" s="24">
        <v>171958</v>
      </c>
    </row>
    <row r="2013" spans="1:7" x14ac:dyDescent="0.25">
      <c r="A2013" s="24" t="s">
        <v>268</v>
      </c>
      <c r="B2013" s="24" t="s">
        <v>55</v>
      </c>
      <c r="C2013" s="24" t="s">
        <v>31</v>
      </c>
      <c r="D2013" s="24">
        <v>0.3</v>
      </c>
      <c r="E2013" s="24" t="s">
        <v>796</v>
      </c>
      <c r="F2013" s="24" t="s">
        <v>906</v>
      </c>
      <c r="G2013" s="24">
        <v>171958</v>
      </c>
    </row>
    <row r="2014" spans="1:7" x14ac:dyDescent="0.25">
      <c r="A2014" s="24" t="s">
        <v>268</v>
      </c>
      <c r="B2014" s="24" t="s">
        <v>56</v>
      </c>
      <c r="C2014" s="24" t="s">
        <v>31</v>
      </c>
      <c r="D2014" s="24">
        <v>0</v>
      </c>
      <c r="E2014" s="24" t="s">
        <v>796</v>
      </c>
      <c r="F2014" s="24" t="s">
        <v>906</v>
      </c>
      <c r="G2014" s="24">
        <v>171958</v>
      </c>
    </row>
    <row r="2015" spans="1:7" x14ac:dyDescent="0.25">
      <c r="A2015" s="24" t="s">
        <v>268</v>
      </c>
      <c r="B2015" s="24" t="s">
        <v>57</v>
      </c>
      <c r="C2015" s="24" t="s">
        <v>36</v>
      </c>
      <c r="D2015" s="24">
        <v>30.9</v>
      </c>
      <c r="E2015" s="24" t="s">
        <v>796</v>
      </c>
      <c r="F2015" s="24" t="s">
        <v>906</v>
      </c>
      <c r="G2015" s="24">
        <v>171958</v>
      </c>
    </row>
    <row r="2016" spans="1:7" x14ac:dyDescent="0.25">
      <c r="A2016" s="24" t="s">
        <v>268</v>
      </c>
      <c r="B2016" s="24" t="s">
        <v>58</v>
      </c>
      <c r="C2016" s="24" t="s">
        <v>5</v>
      </c>
      <c r="D2016" s="24">
        <v>0</v>
      </c>
      <c r="E2016" s="24" t="s">
        <v>795</v>
      </c>
      <c r="F2016" s="24"/>
      <c r="G2016" s="24"/>
    </row>
    <row r="2017" spans="1:7" x14ac:dyDescent="0.25">
      <c r="A2017" s="24" t="s">
        <v>269</v>
      </c>
      <c r="B2017" s="24" t="s">
        <v>26</v>
      </c>
      <c r="C2017" s="24" t="s">
        <v>5</v>
      </c>
      <c r="D2017" s="24">
        <v>0.09</v>
      </c>
      <c r="E2017" s="24" t="s">
        <v>799</v>
      </c>
      <c r="F2017" s="24" t="s">
        <v>906</v>
      </c>
      <c r="G2017" s="24">
        <v>171958</v>
      </c>
    </row>
    <row r="2018" spans="1:7" x14ac:dyDescent="0.25">
      <c r="A2018" s="24" t="s">
        <v>269</v>
      </c>
      <c r="B2018" s="24" t="s">
        <v>27</v>
      </c>
      <c r="C2018" s="24" t="s">
        <v>5</v>
      </c>
      <c r="D2018" s="24">
        <v>7.0000000000000007E-2</v>
      </c>
      <c r="E2018" s="24" t="s">
        <v>799</v>
      </c>
      <c r="F2018" s="24" t="s">
        <v>906</v>
      </c>
      <c r="G2018" s="24">
        <v>171958</v>
      </c>
    </row>
    <row r="2019" spans="1:7" x14ac:dyDescent="0.25">
      <c r="A2019" s="24" t="s">
        <v>269</v>
      </c>
      <c r="B2019" s="24" t="s">
        <v>28</v>
      </c>
      <c r="C2019" s="24" t="s">
        <v>5</v>
      </c>
      <c r="D2019" s="24">
        <v>0.2</v>
      </c>
      <c r="E2019" s="24" t="s">
        <v>799</v>
      </c>
      <c r="F2019" s="24" t="s">
        <v>906</v>
      </c>
      <c r="G2019" s="24">
        <v>171958</v>
      </c>
    </row>
    <row r="2020" spans="1:7" x14ac:dyDescent="0.25">
      <c r="A2020" s="24" t="s">
        <v>269</v>
      </c>
      <c r="B2020" s="24" t="s">
        <v>32</v>
      </c>
      <c r="C2020" s="24" t="s">
        <v>33</v>
      </c>
      <c r="D2020" s="24">
        <v>14.2</v>
      </c>
      <c r="E2020" s="24" t="s">
        <v>796</v>
      </c>
      <c r="F2020" s="24" t="s">
        <v>906</v>
      </c>
      <c r="G2020" s="24">
        <v>171958</v>
      </c>
    </row>
    <row r="2021" spans="1:7" x14ac:dyDescent="0.25">
      <c r="A2021" s="24" t="s">
        <v>269</v>
      </c>
      <c r="B2021" s="24" t="s">
        <v>34</v>
      </c>
      <c r="C2021" s="24" t="s">
        <v>31</v>
      </c>
      <c r="D2021" s="24">
        <v>0</v>
      </c>
      <c r="E2021" s="24" t="s">
        <v>796</v>
      </c>
      <c r="F2021" s="24" t="s">
        <v>906</v>
      </c>
      <c r="G2021" s="24">
        <v>171958</v>
      </c>
    </row>
    <row r="2022" spans="1:7" x14ac:dyDescent="0.25">
      <c r="A2022" s="24" t="s">
        <v>269</v>
      </c>
      <c r="B2022" s="24" t="s">
        <v>40</v>
      </c>
      <c r="C2022" s="24" t="s">
        <v>31</v>
      </c>
      <c r="D2022" s="24">
        <v>0</v>
      </c>
      <c r="E2022" s="24" t="s">
        <v>796</v>
      </c>
      <c r="F2022" s="24" t="s">
        <v>906</v>
      </c>
      <c r="G2022" s="24">
        <v>171958</v>
      </c>
    </row>
    <row r="2023" spans="1:7" x14ac:dyDescent="0.25">
      <c r="A2023" s="24" t="s">
        <v>269</v>
      </c>
      <c r="B2023" s="24" t="s">
        <v>41</v>
      </c>
      <c r="C2023" s="24" t="s">
        <v>31</v>
      </c>
      <c r="D2023" s="24">
        <v>0.1</v>
      </c>
      <c r="E2023" s="24" t="s">
        <v>796</v>
      </c>
      <c r="F2023" s="24" t="s">
        <v>906</v>
      </c>
      <c r="G2023" s="24">
        <v>171958</v>
      </c>
    </row>
    <row r="2024" spans="1:7" x14ac:dyDescent="0.25">
      <c r="A2024" s="24" t="s">
        <v>269</v>
      </c>
      <c r="B2024" s="24" t="s">
        <v>42</v>
      </c>
      <c r="C2024" s="24" t="s">
        <v>43</v>
      </c>
      <c r="D2024" s="24">
        <v>2.1</v>
      </c>
      <c r="E2024" s="24" t="s">
        <v>796</v>
      </c>
      <c r="F2024" s="24" t="s">
        <v>906</v>
      </c>
      <c r="G2024" s="24">
        <v>171958</v>
      </c>
    </row>
    <row r="2025" spans="1:7" x14ac:dyDescent="0.25">
      <c r="A2025" s="24" t="s">
        <v>269</v>
      </c>
      <c r="B2025" s="24" t="s">
        <v>44</v>
      </c>
      <c r="C2025" s="24" t="s">
        <v>31</v>
      </c>
      <c r="D2025" s="24">
        <v>0.3</v>
      </c>
      <c r="E2025" s="24" t="s">
        <v>796</v>
      </c>
      <c r="F2025" s="24" t="s">
        <v>906</v>
      </c>
      <c r="G2025" s="24">
        <v>171958</v>
      </c>
    </row>
    <row r="2026" spans="1:7" x14ac:dyDescent="0.25">
      <c r="A2026" s="24" t="s">
        <v>269</v>
      </c>
      <c r="B2026" s="24" t="s">
        <v>45</v>
      </c>
      <c r="C2026" s="24" t="s">
        <v>31</v>
      </c>
      <c r="D2026" s="24">
        <v>0.2</v>
      </c>
      <c r="E2026" s="24" t="s">
        <v>796</v>
      </c>
      <c r="F2026" s="24" t="s">
        <v>906</v>
      </c>
      <c r="G2026" s="24">
        <v>171958</v>
      </c>
    </row>
    <row r="2027" spans="1:7" x14ac:dyDescent="0.25">
      <c r="A2027" s="24" t="s">
        <v>269</v>
      </c>
      <c r="B2027" s="24" t="s">
        <v>46</v>
      </c>
      <c r="C2027" s="24" t="s">
        <v>36</v>
      </c>
      <c r="D2027" s="24">
        <v>0.8</v>
      </c>
      <c r="E2027" s="24" t="s">
        <v>796</v>
      </c>
      <c r="F2027" s="24" t="s">
        <v>906</v>
      </c>
      <c r="G2027" s="24">
        <v>171958</v>
      </c>
    </row>
    <row r="2028" spans="1:7" x14ac:dyDescent="0.25">
      <c r="A2028" s="24" t="s">
        <v>269</v>
      </c>
      <c r="B2028" s="24" t="s">
        <v>47</v>
      </c>
      <c r="C2028" s="24" t="s">
        <v>48</v>
      </c>
      <c r="D2028" s="24">
        <v>1.6</v>
      </c>
      <c r="E2028" s="24" t="s">
        <v>796</v>
      </c>
      <c r="F2028" s="24" t="s">
        <v>906</v>
      </c>
      <c r="G2028" s="24">
        <v>171958</v>
      </c>
    </row>
    <row r="2029" spans="1:7" x14ac:dyDescent="0.25">
      <c r="A2029" s="24" t="s">
        <v>269</v>
      </c>
      <c r="B2029" s="24" t="s">
        <v>51</v>
      </c>
      <c r="C2029" s="24" t="s">
        <v>31</v>
      </c>
      <c r="D2029" s="24">
        <v>7.9</v>
      </c>
      <c r="E2029" s="24" t="s">
        <v>796</v>
      </c>
      <c r="F2029" s="24" t="s">
        <v>906</v>
      </c>
      <c r="G2029" s="24">
        <v>171958</v>
      </c>
    </row>
    <row r="2030" spans="1:7" x14ac:dyDescent="0.25">
      <c r="A2030" s="24" t="s">
        <v>269</v>
      </c>
      <c r="B2030" s="24" t="s">
        <v>52</v>
      </c>
      <c r="C2030" s="24" t="s">
        <v>31</v>
      </c>
      <c r="D2030" s="24">
        <v>160.4</v>
      </c>
      <c r="E2030" s="24" t="s">
        <v>796</v>
      </c>
      <c r="F2030" s="24" t="s">
        <v>906</v>
      </c>
      <c r="G2030" s="24">
        <v>171958</v>
      </c>
    </row>
    <row r="2031" spans="1:7" x14ac:dyDescent="0.25">
      <c r="A2031" s="24" t="s">
        <v>269</v>
      </c>
      <c r="B2031" s="24" t="s">
        <v>53</v>
      </c>
      <c r="C2031" s="24" t="s">
        <v>31</v>
      </c>
      <c r="D2031" s="24">
        <v>24.4</v>
      </c>
      <c r="E2031" s="24" t="s">
        <v>796</v>
      </c>
      <c r="F2031" s="24" t="s">
        <v>906</v>
      </c>
      <c r="G2031" s="24">
        <v>171958</v>
      </c>
    </row>
    <row r="2032" spans="1:7" x14ac:dyDescent="0.25">
      <c r="A2032" s="24" t="s">
        <v>269</v>
      </c>
      <c r="B2032" s="24" t="s">
        <v>54</v>
      </c>
      <c r="C2032" s="24" t="s">
        <v>31</v>
      </c>
      <c r="D2032" s="24">
        <v>0.7</v>
      </c>
      <c r="E2032" s="24" t="s">
        <v>796</v>
      </c>
      <c r="F2032" s="24" t="s">
        <v>906</v>
      </c>
      <c r="G2032" s="24">
        <v>171958</v>
      </c>
    </row>
    <row r="2033" spans="1:7" x14ac:dyDescent="0.25">
      <c r="A2033" s="24" t="s">
        <v>269</v>
      </c>
      <c r="B2033" s="24" t="s">
        <v>55</v>
      </c>
      <c r="C2033" s="24" t="s">
        <v>31</v>
      </c>
      <c r="D2033" s="24">
        <v>0.3</v>
      </c>
      <c r="E2033" s="24" t="s">
        <v>796</v>
      </c>
      <c r="F2033" s="24" t="s">
        <v>906</v>
      </c>
      <c r="G2033" s="24">
        <v>171958</v>
      </c>
    </row>
    <row r="2034" spans="1:7" x14ac:dyDescent="0.25">
      <c r="A2034" s="24" t="s">
        <v>269</v>
      </c>
      <c r="B2034" s="24" t="s">
        <v>56</v>
      </c>
      <c r="C2034" s="24" t="s">
        <v>31</v>
      </c>
      <c r="D2034" s="24">
        <v>0</v>
      </c>
      <c r="E2034" s="24" t="s">
        <v>796</v>
      </c>
      <c r="F2034" s="24" t="s">
        <v>906</v>
      </c>
      <c r="G2034" s="24">
        <v>171958</v>
      </c>
    </row>
    <row r="2035" spans="1:7" x14ac:dyDescent="0.25">
      <c r="A2035" s="24" t="s">
        <v>269</v>
      </c>
      <c r="B2035" s="24" t="s">
        <v>57</v>
      </c>
      <c r="C2035" s="24" t="s">
        <v>36</v>
      </c>
      <c r="D2035" s="24">
        <v>28.7</v>
      </c>
      <c r="E2035" s="24" t="s">
        <v>796</v>
      </c>
      <c r="F2035" s="24" t="s">
        <v>906</v>
      </c>
      <c r="G2035" s="24">
        <v>171958</v>
      </c>
    </row>
    <row r="2036" spans="1:7" x14ac:dyDescent="0.25">
      <c r="A2036" s="24" t="s">
        <v>269</v>
      </c>
      <c r="B2036" s="24" t="s">
        <v>58</v>
      </c>
      <c r="C2036" s="24" t="s">
        <v>5</v>
      </c>
      <c r="D2036" s="24">
        <v>0</v>
      </c>
      <c r="E2036" s="24" t="s">
        <v>795</v>
      </c>
      <c r="F2036" s="24"/>
      <c r="G2036" s="24"/>
    </row>
    <row r="2037" spans="1:7" x14ac:dyDescent="0.25">
      <c r="A2037" s="24" t="s">
        <v>270</v>
      </c>
      <c r="B2037" s="24" t="s">
        <v>26</v>
      </c>
      <c r="C2037" s="24" t="s">
        <v>5</v>
      </c>
      <c r="D2037" s="24">
        <v>0.04</v>
      </c>
      <c r="E2037" s="24" t="s">
        <v>799</v>
      </c>
      <c r="F2037" s="24" t="s">
        <v>906</v>
      </c>
      <c r="G2037" s="24">
        <v>171958</v>
      </c>
    </row>
    <row r="2038" spans="1:7" x14ac:dyDescent="0.25">
      <c r="A2038" s="24" t="s">
        <v>270</v>
      </c>
      <c r="B2038" s="24" t="s">
        <v>27</v>
      </c>
      <c r="C2038" s="24" t="s">
        <v>5</v>
      </c>
      <c r="D2038" s="24">
        <v>0.03</v>
      </c>
      <c r="E2038" s="24" t="s">
        <v>799</v>
      </c>
      <c r="F2038" s="24" t="s">
        <v>906</v>
      </c>
      <c r="G2038" s="24">
        <v>171958</v>
      </c>
    </row>
    <row r="2039" spans="1:7" x14ac:dyDescent="0.25">
      <c r="A2039" s="24" t="s">
        <v>270</v>
      </c>
      <c r="B2039" s="24" t="s">
        <v>28</v>
      </c>
      <c r="C2039" s="24" t="s">
        <v>5</v>
      </c>
      <c r="D2039" s="24">
        <v>0.08</v>
      </c>
      <c r="E2039" s="24" t="s">
        <v>799</v>
      </c>
      <c r="F2039" s="24" t="s">
        <v>906</v>
      </c>
      <c r="G2039" s="24">
        <v>171958</v>
      </c>
    </row>
    <row r="2040" spans="1:7" x14ac:dyDescent="0.25">
      <c r="A2040" s="24" t="s">
        <v>270</v>
      </c>
      <c r="B2040" s="24" t="s">
        <v>30</v>
      </c>
      <c r="C2040" s="24" t="s">
        <v>31</v>
      </c>
      <c r="D2040" s="24">
        <v>41</v>
      </c>
      <c r="E2040" s="24" t="s">
        <v>801</v>
      </c>
      <c r="F2040" s="24" t="s">
        <v>906</v>
      </c>
      <c r="G2040" s="24">
        <v>171958</v>
      </c>
    </row>
    <row r="2041" spans="1:7" x14ac:dyDescent="0.25">
      <c r="A2041" s="24" t="s">
        <v>270</v>
      </c>
      <c r="B2041" s="24" t="s">
        <v>32</v>
      </c>
      <c r="C2041" s="24" t="s">
        <v>33</v>
      </c>
      <c r="D2041" s="24">
        <v>14.2</v>
      </c>
      <c r="E2041" s="24" t="s">
        <v>796</v>
      </c>
      <c r="F2041" s="24" t="s">
        <v>906</v>
      </c>
      <c r="G2041" s="24">
        <v>171958</v>
      </c>
    </row>
    <row r="2042" spans="1:7" x14ac:dyDescent="0.25">
      <c r="A2042" s="24" t="s">
        <v>270</v>
      </c>
      <c r="B2042" s="24" t="s">
        <v>34</v>
      </c>
      <c r="C2042" s="24" t="s">
        <v>31</v>
      </c>
      <c r="D2042" s="24">
        <v>0</v>
      </c>
      <c r="E2042" s="24" t="s">
        <v>796</v>
      </c>
      <c r="F2042" s="24" t="s">
        <v>906</v>
      </c>
      <c r="G2042" s="24">
        <v>171958</v>
      </c>
    </row>
    <row r="2043" spans="1:7" x14ac:dyDescent="0.25">
      <c r="A2043" s="24" t="s">
        <v>270</v>
      </c>
      <c r="B2043" s="24" t="s">
        <v>44</v>
      </c>
      <c r="C2043" s="24" t="s">
        <v>31</v>
      </c>
      <c r="D2043" s="24">
        <v>0.3</v>
      </c>
      <c r="E2043" s="24" t="s">
        <v>796</v>
      </c>
      <c r="F2043" s="24" t="s">
        <v>906</v>
      </c>
      <c r="G2043" s="24">
        <v>171958</v>
      </c>
    </row>
    <row r="2044" spans="1:7" x14ac:dyDescent="0.25">
      <c r="A2044" s="24" t="s">
        <v>270</v>
      </c>
      <c r="B2044" s="24" t="s">
        <v>45</v>
      </c>
      <c r="C2044" s="24" t="s">
        <v>31</v>
      </c>
      <c r="D2044" s="24">
        <v>0.2</v>
      </c>
      <c r="E2044" s="24" t="s">
        <v>796</v>
      </c>
      <c r="F2044" s="24" t="s">
        <v>906</v>
      </c>
      <c r="G2044" s="24">
        <v>171958</v>
      </c>
    </row>
    <row r="2045" spans="1:7" x14ac:dyDescent="0.25">
      <c r="A2045" s="24" t="s">
        <v>270</v>
      </c>
      <c r="B2045" s="24" t="s">
        <v>46</v>
      </c>
      <c r="C2045" s="24" t="s">
        <v>36</v>
      </c>
      <c r="D2045" s="24">
        <v>0.8</v>
      </c>
      <c r="E2045" s="24" t="s">
        <v>796</v>
      </c>
      <c r="F2045" s="24" t="s">
        <v>906</v>
      </c>
      <c r="G2045" s="24">
        <v>171958</v>
      </c>
    </row>
    <row r="2046" spans="1:7" x14ac:dyDescent="0.25">
      <c r="A2046" s="24" t="s">
        <v>270</v>
      </c>
      <c r="B2046" s="24" t="s">
        <v>47</v>
      </c>
      <c r="C2046" s="24" t="s">
        <v>48</v>
      </c>
      <c r="D2046" s="24">
        <v>1.6</v>
      </c>
      <c r="E2046" s="24" t="s">
        <v>796</v>
      </c>
      <c r="F2046" s="24" t="s">
        <v>906</v>
      </c>
      <c r="G2046" s="24">
        <v>171958</v>
      </c>
    </row>
    <row r="2047" spans="1:7" x14ac:dyDescent="0.25">
      <c r="A2047" s="24" t="s">
        <v>270</v>
      </c>
      <c r="B2047" s="24" t="s">
        <v>49</v>
      </c>
      <c r="C2047" s="24" t="s">
        <v>31</v>
      </c>
      <c r="D2047" s="24">
        <v>24.4</v>
      </c>
      <c r="E2047" s="24" t="s">
        <v>796</v>
      </c>
      <c r="F2047" s="24" t="s">
        <v>906</v>
      </c>
      <c r="G2047" s="24">
        <v>171958</v>
      </c>
    </row>
    <row r="2048" spans="1:7" x14ac:dyDescent="0.25">
      <c r="A2048" s="24" t="s">
        <v>270</v>
      </c>
      <c r="B2048" s="24" t="s">
        <v>50</v>
      </c>
      <c r="C2048" s="24" t="s">
        <v>31</v>
      </c>
      <c r="D2048" s="24">
        <v>308.3</v>
      </c>
      <c r="E2048" s="24" t="s">
        <v>796</v>
      </c>
      <c r="F2048" s="24" t="s">
        <v>906</v>
      </c>
      <c r="G2048" s="24">
        <v>171958</v>
      </c>
    </row>
    <row r="2049" spans="1:7" x14ac:dyDescent="0.25">
      <c r="A2049" s="24" t="s">
        <v>270</v>
      </c>
      <c r="B2049" s="24" t="s">
        <v>53</v>
      </c>
      <c r="C2049" s="24" t="s">
        <v>31</v>
      </c>
      <c r="D2049" s="24">
        <v>24.4</v>
      </c>
      <c r="E2049" s="24" t="s">
        <v>796</v>
      </c>
      <c r="F2049" s="24" t="s">
        <v>906</v>
      </c>
      <c r="G2049" s="24">
        <v>171958</v>
      </c>
    </row>
    <row r="2050" spans="1:7" x14ac:dyDescent="0.25">
      <c r="A2050" s="24" t="s">
        <v>270</v>
      </c>
      <c r="B2050" s="24" t="s">
        <v>55</v>
      </c>
      <c r="C2050" s="24" t="s">
        <v>31</v>
      </c>
      <c r="D2050" s="24">
        <v>0.3</v>
      </c>
      <c r="E2050" s="24" t="s">
        <v>796</v>
      </c>
      <c r="F2050" s="24" t="s">
        <v>906</v>
      </c>
      <c r="G2050" s="24">
        <v>171958</v>
      </c>
    </row>
    <row r="2051" spans="1:7" x14ac:dyDescent="0.25">
      <c r="A2051" s="24" t="s">
        <v>270</v>
      </c>
      <c r="B2051" s="24" t="s">
        <v>56</v>
      </c>
      <c r="C2051" s="24" t="s">
        <v>31</v>
      </c>
      <c r="D2051" s="24">
        <v>0</v>
      </c>
      <c r="E2051" s="24" t="s">
        <v>796</v>
      </c>
      <c r="F2051" s="24" t="s">
        <v>906</v>
      </c>
      <c r="G2051" s="24">
        <v>171958</v>
      </c>
    </row>
    <row r="2052" spans="1:7" x14ac:dyDescent="0.25">
      <c r="A2052" s="24" t="s">
        <v>270</v>
      </c>
      <c r="B2052" s="24" t="s">
        <v>57</v>
      </c>
      <c r="C2052" s="24" t="s">
        <v>36</v>
      </c>
      <c r="D2052" s="24">
        <v>28.7</v>
      </c>
      <c r="E2052" s="24" t="s">
        <v>796</v>
      </c>
      <c r="F2052" s="24" t="s">
        <v>906</v>
      </c>
      <c r="G2052" s="24">
        <v>171958</v>
      </c>
    </row>
    <row r="2053" spans="1:7" x14ac:dyDescent="0.25">
      <c r="A2053" s="24" t="s">
        <v>270</v>
      </c>
      <c r="B2053" s="24" t="s">
        <v>58</v>
      </c>
      <c r="C2053" s="24" t="s">
        <v>5</v>
      </c>
      <c r="D2053" s="24">
        <v>0</v>
      </c>
      <c r="E2053" s="24" t="s">
        <v>795</v>
      </c>
      <c r="F2053" s="24"/>
      <c r="G2053" s="24"/>
    </row>
    <row r="2054" spans="1:7" x14ac:dyDescent="0.25">
      <c r="A2054" s="24" t="s">
        <v>271</v>
      </c>
      <c r="B2054" s="24" t="s">
        <v>23</v>
      </c>
      <c r="C2054" s="24" t="s">
        <v>5</v>
      </c>
      <c r="D2054" s="24">
        <v>0</v>
      </c>
      <c r="E2054" s="24" t="s">
        <v>796</v>
      </c>
      <c r="F2054" s="24" t="s">
        <v>907</v>
      </c>
      <c r="G2054" s="24">
        <v>174192</v>
      </c>
    </row>
    <row r="2055" spans="1:7" x14ac:dyDescent="0.25">
      <c r="A2055" s="24" t="s">
        <v>271</v>
      </c>
      <c r="B2055" s="24" t="s">
        <v>26</v>
      </c>
      <c r="C2055" s="24" t="s">
        <v>5</v>
      </c>
      <c r="D2055" s="24">
        <v>0.17</v>
      </c>
      <c r="E2055" s="24" t="s">
        <v>799</v>
      </c>
      <c r="F2055" s="24" t="s">
        <v>907</v>
      </c>
      <c r="G2055" s="24">
        <v>174192</v>
      </c>
    </row>
    <row r="2056" spans="1:7" x14ac:dyDescent="0.25">
      <c r="A2056" s="24" t="s">
        <v>271</v>
      </c>
      <c r="B2056" s="24" t="s">
        <v>27</v>
      </c>
      <c r="C2056" s="24" t="s">
        <v>5</v>
      </c>
      <c r="D2056" s="24">
        <v>0.18</v>
      </c>
      <c r="E2056" s="24" t="s">
        <v>799</v>
      </c>
      <c r="F2056" s="24" t="s">
        <v>907</v>
      </c>
      <c r="G2056" s="24">
        <v>174192</v>
      </c>
    </row>
    <row r="2057" spans="1:7" x14ac:dyDescent="0.25">
      <c r="A2057" s="24" t="s">
        <v>271</v>
      </c>
      <c r="B2057" s="24" t="s">
        <v>28</v>
      </c>
      <c r="C2057" s="24" t="s">
        <v>5</v>
      </c>
      <c r="D2057" s="24">
        <v>7.0000000000000007E-2</v>
      </c>
      <c r="E2057" s="24" t="s">
        <v>799</v>
      </c>
      <c r="F2057" s="24" t="s">
        <v>907</v>
      </c>
      <c r="G2057" s="24">
        <v>174192</v>
      </c>
    </row>
    <row r="2058" spans="1:7" x14ac:dyDescent="0.25">
      <c r="A2058" s="24" t="s">
        <v>271</v>
      </c>
      <c r="B2058" s="24" t="s">
        <v>30</v>
      </c>
      <c r="C2058" s="24" t="s">
        <v>31</v>
      </c>
      <c r="D2058" s="24">
        <v>61</v>
      </c>
      <c r="E2058" s="24" t="s">
        <v>801</v>
      </c>
      <c r="F2058" s="24" t="s">
        <v>907</v>
      </c>
      <c r="G2058" s="24">
        <v>174192</v>
      </c>
    </row>
    <row r="2059" spans="1:7" x14ac:dyDescent="0.25">
      <c r="A2059" s="24" t="s">
        <v>271</v>
      </c>
      <c r="B2059" s="24" t="s">
        <v>32</v>
      </c>
      <c r="C2059" s="24" t="s">
        <v>33</v>
      </c>
      <c r="D2059" s="24">
        <v>13.7</v>
      </c>
      <c r="E2059" s="24" t="s">
        <v>796</v>
      </c>
      <c r="F2059" s="24" t="s">
        <v>907</v>
      </c>
      <c r="G2059" s="24">
        <v>174192</v>
      </c>
    </row>
    <row r="2060" spans="1:7" x14ac:dyDescent="0.25">
      <c r="A2060" s="24" t="s">
        <v>271</v>
      </c>
      <c r="B2060" s="24" t="s">
        <v>34</v>
      </c>
      <c r="C2060" s="24" t="s">
        <v>31</v>
      </c>
      <c r="D2060" s="24">
        <v>0</v>
      </c>
      <c r="E2060" s="24" t="s">
        <v>796</v>
      </c>
      <c r="F2060" s="24" t="s">
        <v>907</v>
      </c>
      <c r="G2060" s="24">
        <v>174192</v>
      </c>
    </row>
    <row r="2061" spans="1:7" x14ac:dyDescent="0.25">
      <c r="A2061" s="24" t="s">
        <v>271</v>
      </c>
      <c r="B2061" s="24" t="s">
        <v>35</v>
      </c>
      <c r="C2061" s="24" t="s">
        <v>36</v>
      </c>
      <c r="D2061" s="24">
        <v>0.8</v>
      </c>
      <c r="E2061" s="24" t="s">
        <v>796</v>
      </c>
      <c r="F2061" s="24" t="s">
        <v>907</v>
      </c>
      <c r="G2061" s="24">
        <v>174192</v>
      </c>
    </row>
    <row r="2062" spans="1:7" x14ac:dyDescent="0.25">
      <c r="A2062" s="24" t="s">
        <v>271</v>
      </c>
      <c r="B2062" s="24" t="s">
        <v>37</v>
      </c>
      <c r="C2062" s="24" t="s">
        <v>38</v>
      </c>
      <c r="D2062" s="24">
        <v>1.5</v>
      </c>
      <c r="E2062" s="24" t="s">
        <v>796</v>
      </c>
      <c r="F2062" s="24" t="s">
        <v>907</v>
      </c>
      <c r="G2062" s="24">
        <v>174192</v>
      </c>
    </row>
    <row r="2063" spans="1:7" x14ac:dyDescent="0.25">
      <c r="A2063" s="24" t="s">
        <v>271</v>
      </c>
      <c r="B2063" s="24" t="s">
        <v>39</v>
      </c>
      <c r="C2063" s="24" t="s">
        <v>36</v>
      </c>
      <c r="D2063" s="24">
        <v>0.1</v>
      </c>
      <c r="E2063" s="24" t="s">
        <v>796</v>
      </c>
      <c r="F2063" s="24" t="s">
        <v>907</v>
      </c>
      <c r="G2063" s="24">
        <v>174192</v>
      </c>
    </row>
    <row r="2064" spans="1:7" x14ac:dyDescent="0.25">
      <c r="A2064" s="24" t="s">
        <v>271</v>
      </c>
      <c r="B2064" s="24" t="s">
        <v>40</v>
      </c>
      <c r="C2064" s="24" t="s">
        <v>31</v>
      </c>
      <c r="D2064" s="24">
        <v>0.1</v>
      </c>
      <c r="E2064" s="24" t="s">
        <v>796</v>
      </c>
      <c r="F2064" s="24" t="s">
        <v>907</v>
      </c>
      <c r="G2064" s="24">
        <v>174192</v>
      </c>
    </row>
    <row r="2065" spans="1:7" x14ac:dyDescent="0.25">
      <c r="A2065" s="24" t="s">
        <v>271</v>
      </c>
      <c r="B2065" s="24" t="s">
        <v>41</v>
      </c>
      <c r="C2065" s="24" t="s">
        <v>31</v>
      </c>
      <c r="D2065" s="24">
        <v>0.1</v>
      </c>
      <c r="E2065" s="24" t="s">
        <v>796</v>
      </c>
      <c r="F2065" s="24" t="s">
        <v>907</v>
      </c>
      <c r="G2065" s="24">
        <v>174192</v>
      </c>
    </row>
    <row r="2066" spans="1:7" x14ac:dyDescent="0.25">
      <c r="A2066" s="24" t="s">
        <v>271</v>
      </c>
      <c r="B2066" s="24" t="s">
        <v>42</v>
      </c>
      <c r="C2066" s="24" t="s">
        <v>43</v>
      </c>
      <c r="D2066" s="24">
        <v>4.8</v>
      </c>
      <c r="E2066" s="24" t="s">
        <v>796</v>
      </c>
      <c r="F2066" s="24" t="s">
        <v>907</v>
      </c>
      <c r="G2066" s="24">
        <v>174192</v>
      </c>
    </row>
    <row r="2067" spans="1:7" x14ac:dyDescent="0.25">
      <c r="A2067" s="24" t="s">
        <v>271</v>
      </c>
      <c r="B2067" s="24" t="s">
        <v>44</v>
      </c>
      <c r="C2067" s="24" t="s">
        <v>31</v>
      </c>
      <c r="D2067" s="24">
        <v>0.3</v>
      </c>
      <c r="E2067" s="24" t="s">
        <v>796</v>
      </c>
      <c r="F2067" s="24" t="s">
        <v>907</v>
      </c>
      <c r="G2067" s="24">
        <v>174192</v>
      </c>
    </row>
    <row r="2068" spans="1:7" x14ac:dyDescent="0.25">
      <c r="A2068" s="24" t="s">
        <v>271</v>
      </c>
      <c r="B2068" s="24" t="s">
        <v>45</v>
      </c>
      <c r="C2068" s="24" t="s">
        <v>31</v>
      </c>
      <c r="D2068" s="24">
        <v>0.9</v>
      </c>
      <c r="E2068" s="24" t="s">
        <v>796</v>
      </c>
      <c r="F2068" s="24" t="s">
        <v>907</v>
      </c>
      <c r="G2068" s="24">
        <v>174192</v>
      </c>
    </row>
    <row r="2069" spans="1:7" x14ac:dyDescent="0.25">
      <c r="A2069" s="24" t="s">
        <v>271</v>
      </c>
      <c r="B2069" s="24" t="s">
        <v>46</v>
      </c>
      <c r="C2069" s="24" t="s">
        <v>36</v>
      </c>
      <c r="D2069" s="24">
        <v>2.9</v>
      </c>
      <c r="E2069" s="24" t="s">
        <v>796</v>
      </c>
      <c r="F2069" s="24" t="s">
        <v>907</v>
      </c>
      <c r="G2069" s="24">
        <v>174192</v>
      </c>
    </row>
    <row r="2070" spans="1:7" x14ac:dyDescent="0.25">
      <c r="A2070" s="24" t="s">
        <v>271</v>
      </c>
      <c r="B2070" s="24" t="s">
        <v>47</v>
      </c>
      <c r="C2070" s="24" t="s">
        <v>48</v>
      </c>
      <c r="D2070" s="24">
        <v>17.100000000000001</v>
      </c>
      <c r="E2070" s="24" t="s">
        <v>796</v>
      </c>
      <c r="F2070" s="24" t="s">
        <v>907</v>
      </c>
      <c r="G2070" s="24">
        <v>174192</v>
      </c>
    </row>
    <row r="2071" spans="1:7" x14ac:dyDescent="0.25">
      <c r="A2071" s="24" t="s">
        <v>271</v>
      </c>
      <c r="B2071" s="24" t="s">
        <v>49</v>
      </c>
      <c r="C2071" s="24" t="s">
        <v>31</v>
      </c>
      <c r="D2071" s="24">
        <v>64</v>
      </c>
      <c r="E2071" s="24" t="s">
        <v>796</v>
      </c>
      <c r="F2071" s="24" t="s">
        <v>907</v>
      </c>
      <c r="G2071" s="24">
        <v>174192</v>
      </c>
    </row>
    <row r="2072" spans="1:7" x14ac:dyDescent="0.25">
      <c r="A2072" s="24" t="s">
        <v>271</v>
      </c>
      <c r="B2072" s="24" t="s">
        <v>50</v>
      </c>
      <c r="C2072" s="24" t="s">
        <v>31</v>
      </c>
      <c r="D2072" s="24">
        <v>394.2</v>
      </c>
      <c r="E2072" s="24" t="s">
        <v>796</v>
      </c>
      <c r="F2072" s="24" t="s">
        <v>907</v>
      </c>
      <c r="G2072" s="24">
        <v>174192</v>
      </c>
    </row>
    <row r="2073" spans="1:7" x14ac:dyDescent="0.25">
      <c r="A2073" s="24" t="s">
        <v>271</v>
      </c>
      <c r="B2073" s="24" t="s">
        <v>53</v>
      </c>
      <c r="C2073" s="24" t="s">
        <v>31</v>
      </c>
      <c r="D2073" s="24">
        <v>45.7</v>
      </c>
      <c r="E2073" s="24" t="s">
        <v>796</v>
      </c>
      <c r="F2073" s="24" t="s">
        <v>907</v>
      </c>
      <c r="G2073" s="24">
        <v>174192</v>
      </c>
    </row>
    <row r="2074" spans="1:7" x14ac:dyDescent="0.25">
      <c r="A2074" s="24" t="s">
        <v>271</v>
      </c>
      <c r="B2074" s="24" t="s">
        <v>55</v>
      </c>
      <c r="C2074" s="24" t="s">
        <v>31</v>
      </c>
      <c r="D2074" s="24">
        <v>0.5</v>
      </c>
      <c r="E2074" s="24" t="s">
        <v>796</v>
      </c>
      <c r="F2074" s="24" t="s">
        <v>907</v>
      </c>
      <c r="G2074" s="24">
        <v>174192</v>
      </c>
    </row>
    <row r="2075" spans="1:7" x14ac:dyDescent="0.25">
      <c r="A2075" s="24" t="s">
        <v>271</v>
      </c>
      <c r="B2075" s="24" t="s">
        <v>56</v>
      </c>
      <c r="C2075" s="24" t="s">
        <v>31</v>
      </c>
      <c r="D2075" s="24">
        <v>0</v>
      </c>
      <c r="E2075" s="24" t="s">
        <v>796</v>
      </c>
      <c r="F2075" s="24" t="s">
        <v>907</v>
      </c>
      <c r="G2075" s="24">
        <v>174192</v>
      </c>
    </row>
    <row r="2076" spans="1:7" x14ac:dyDescent="0.25">
      <c r="A2076" s="24" t="s">
        <v>271</v>
      </c>
      <c r="B2076" s="24" t="s">
        <v>57</v>
      </c>
      <c r="C2076" s="24" t="s">
        <v>36</v>
      </c>
      <c r="D2076" s="24">
        <v>41.7</v>
      </c>
      <c r="E2076" s="24" t="s">
        <v>796</v>
      </c>
      <c r="F2076" s="24" t="s">
        <v>907</v>
      </c>
      <c r="G2076" s="24">
        <v>174192</v>
      </c>
    </row>
    <row r="2077" spans="1:7" x14ac:dyDescent="0.25">
      <c r="A2077" s="24" t="s">
        <v>271</v>
      </c>
      <c r="B2077" s="24" t="s">
        <v>58</v>
      </c>
      <c r="C2077" s="24" t="s">
        <v>5</v>
      </c>
      <c r="D2077" s="24">
        <v>0</v>
      </c>
      <c r="E2077" s="24" t="s">
        <v>795</v>
      </c>
      <c r="F2077" s="24"/>
      <c r="G2077" s="24"/>
    </row>
    <row r="2078" spans="1:7" x14ac:dyDescent="0.25">
      <c r="A2078" s="24" t="s">
        <v>272</v>
      </c>
      <c r="B2078" s="24" t="s">
        <v>23</v>
      </c>
      <c r="C2078" s="24" t="s">
        <v>5</v>
      </c>
      <c r="D2078" s="24">
        <v>0</v>
      </c>
      <c r="E2078" s="24" t="s">
        <v>796</v>
      </c>
      <c r="F2078" s="24" t="s">
        <v>908</v>
      </c>
      <c r="G2078" s="24">
        <v>173672</v>
      </c>
    </row>
    <row r="2079" spans="1:7" x14ac:dyDescent="0.25">
      <c r="A2079" s="24" t="s">
        <v>272</v>
      </c>
      <c r="B2079" s="24" t="s">
        <v>32</v>
      </c>
      <c r="C2079" s="24" t="s">
        <v>33</v>
      </c>
      <c r="D2079" s="24">
        <v>17.2</v>
      </c>
      <c r="E2079" s="24" t="s">
        <v>796</v>
      </c>
      <c r="F2079" s="24" t="s">
        <v>908</v>
      </c>
      <c r="G2079" s="24">
        <v>173672</v>
      </c>
    </row>
    <row r="2080" spans="1:7" x14ac:dyDescent="0.25">
      <c r="A2080" s="24" t="s">
        <v>272</v>
      </c>
      <c r="B2080" s="24" t="s">
        <v>34</v>
      </c>
      <c r="C2080" s="24" t="s">
        <v>31</v>
      </c>
      <c r="D2080" s="24">
        <v>1.8</v>
      </c>
      <c r="E2080" s="24" t="s">
        <v>796</v>
      </c>
      <c r="F2080" s="24" t="s">
        <v>908</v>
      </c>
      <c r="G2080" s="24">
        <v>173672</v>
      </c>
    </row>
    <row r="2081" spans="1:7" x14ac:dyDescent="0.25">
      <c r="A2081" s="24" t="s">
        <v>272</v>
      </c>
      <c r="B2081" s="24" t="s">
        <v>35</v>
      </c>
      <c r="C2081" s="24" t="s">
        <v>36</v>
      </c>
      <c r="D2081" s="24">
        <v>8.1999999999999993</v>
      </c>
      <c r="E2081" s="24" t="s">
        <v>796</v>
      </c>
      <c r="F2081" s="24" t="s">
        <v>908</v>
      </c>
      <c r="G2081" s="24">
        <v>173672</v>
      </c>
    </row>
    <row r="2082" spans="1:7" x14ac:dyDescent="0.25">
      <c r="A2082" s="24" t="s">
        <v>272</v>
      </c>
      <c r="B2082" s="24" t="s">
        <v>37</v>
      </c>
      <c r="C2082" s="24" t="s">
        <v>38</v>
      </c>
      <c r="D2082" s="24">
        <v>0.9</v>
      </c>
      <c r="E2082" s="24" t="s">
        <v>796</v>
      </c>
      <c r="F2082" s="24" t="s">
        <v>908</v>
      </c>
      <c r="G2082" s="24">
        <v>173672</v>
      </c>
    </row>
    <row r="2083" spans="1:7" x14ac:dyDescent="0.25">
      <c r="A2083" s="24" t="s">
        <v>272</v>
      </c>
      <c r="B2083" s="24" t="s">
        <v>39</v>
      </c>
      <c r="C2083" s="24" t="s">
        <v>36</v>
      </c>
      <c r="D2083" s="24">
        <v>0.1</v>
      </c>
      <c r="E2083" s="24" t="s">
        <v>796</v>
      </c>
      <c r="F2083" s="24" t="s">
        <v>908</v>
      </c>
      <c r="G2083" s="24">
        <v>173672</v>
      </c>
    </row>
    <row r="2084" spans="1:7" x14ac:dyDescent="0.25">
      <c r="A2084" s="24" t="s">
        <v>272</v>
      </c>
      <c r="B2084" s="24" t="s">
        <v>40</v>
      </c>
      <c r="C2084" s="24" t="s">
        <v>31</v>
      </c>
      <c r="D2084" s="24">
        <v>0.1</v>
      </c>
      <c r="E2084" s="24" t="s">
        <v>796</v>
      </c>
      <c r="F2084" s="24" t="s">
        <v>908</v>
      </c>
      <c r="G2084" s="24">
        <v>173672</v>
      </c>
    </row>
    <row r="2085" spans="1:7" x14ac:dyDescent="0.25">
      <c r="A2085" s="24" t="s">
        <v>272</v>
      </c>
      <c r="B2085" s="24" t="s">
        <v>41</v>
      </c>
      <c r="C2085" s="24" t="s">
        <v>31</v>
      </c>
      <c r="D2085" s="24">
        <v>0.4</v>
      </c>
      <c r="E2085" s="24" t="s">
        <v>796</v>
      </c>
      <c r="F2085" s="24" t="s">
        <v>908</v>
      </c>
      <c r="G2085" s="24">
        <v>173672</v>
      </c>
    </row>
    <row r="2086" spans="1:7" x14ac:dyDescent="0.25">
      <c r="A2086" s="24" t="s">
        <v>272</v>
      </c>
      <c r="B2086" s="24" t="s">
        <v>42</v>
      </c>
      <c r="C2086" s="24" t="s">
        <v>43</v>
      </c>
      <c r="D2086" s="24">
        <v>7.5</v>
      </c>
      <c r="E2086" s="24" t="s">
        <v>796</v>
      </c>
      <c r="F2086" s="24" t="s">
        <v>908</v>
      </c>
      <c r="G2086" s="24">
        <v>173672</v>
      </c>
    </row>
    <row r="2087" spans="1:7" x14ac:dyDescent="0.25">
      <c r="A2087" s="24" t="s">
        <v>272</v>
      </c>
      <c r="B2087" s="24" t="s">
        <v>44</v>
      </c>
      <c r="C2087" s="24" t="s">
        <v>31</v>
      </c>
      <c r="D2087" s="24">
        <v>0.3</v>
      </c>
      <c r="E2087" s="24" t="s">
        <v>796</v>
      </c>
      <c r="F2087" s="24" t="s">
        <v>908</v>
      </c>
      <c r="G2087" s="24">
        <v>173672</v>
      </c>
    </row>
    <row r="2088" spans="1:7" x14ac:dyDescent="0.25">
      <c r="A2088" s="24" t="s">
        <v>272</v>
      </c>
      <c r="B2088" s="24" t="s">
        <v>45</v>
      </c>
      <c r="C2088" s="24" t="s">
        <v>31</v>
      </c>
      <c r="D2088" s="24">
        <v>0.3</v>
      </c>
      <c r="E2088" s="24" t="s">
        <v>796</v>
      </c>
      <c r="F2088" s="24" t="s">
        <v>908</v>
      </c>
      <c r="G2088" s="24">
        <v>173672</v>
      </c>
    </row>
    <row r="2089" spans="1:7" x14ac:dyDescent="0.25">
      <c r="A2089" s="24" t="s">
        <v>272</v>
      </c>
      <c r="B2089" s="24" t="s">
        <v>46</v>
      </c>
      <c r="C2089" s="24" t="s">
        <v>36</v>
      </c>
      <c r="D2089" s="24">
        <v>4</v>
      </c>
      <c r="E2089" s="24" t="s">
        <v>796</v>
      </c>
      <c r="F2089" s="24" t="s">
        <v>908</v>
      </c>
      <c r="G2089" s="24">
        <v>173672</v>
      </c>
    </row>
    <row r="2090" spans="1:7" x14ac:dyDescent="0.25">
      <c r="A2090" s="24" t="s">
        <v>272</v>
      </c>
      <c r="B2090" s="24" t="s">
        <v>47</v>
      </c>
      <c r="C2090" s="24" t="s">
        <v>48</v>
      </c>
      <c r="D2090" s="24">
        <v>1.8</v>
      </c>
      <c r="E2090" s="24" t="s">
        <v>796</v>
      </c>
      <c r="F2090" s="24" t="s">
        <v>908</v>
      </c>
      <c r="G2090" s="24">
        <v>173672</v>
      </c>
    </row>
    <row r="2091" spans="1:7" x14ac:dyDescent="0.25">
      <c r="A2091" s="24" t="s">
        <v>272</v>
      </c>
      <c r="B2091" s="24" t="s">
        <v>53</v>
      </c>
      <c r="C2091" s="24" t="s">
        <v>31</v>
      </c>
      <c r="D2091" s="24">
        <v>25.3</v>
      </c>
      <c r="E2091" s="24" t="s">
        <v>796</v>
      </c>
      <c r="F2091" s="24" t="s">
        <v>908</v>
      </c>
      <c r="G2091" s="24">
        <v>173672</v>
      </c>
    </row>
    <row r="2092" spans="1:7" x14ac:dyDescent="0.25">
      <c r="A2092" s="24" t="s">
        <v>272</v>
      </c>
      <c r="B2092" s="24" t="s">
        <v>55</v>
      </c>
      <c r="C2092" s="24" t="s">
        <v>31</v>
      </c>
      <c r="D2092" s="24">
        <v>0.6</v>
      </c>
      <c r="E2092" s="24" t="s">
        <v>796</v>
      </c>
      <c r="F2092" s="24" t="s">
        <v>908</v>
      </c>
      <c r="G2092" s="24">
        <v>173672</v>
      </c>
    </row>
    <row r="2093" spans="1:7" x14ac:dyDescent="0.25">
      <c r="A2093" s="24" t="s">
        <v>272</v>
      </c>
      <c r="B2093" s="24" t="s">
        <v>56</v>
      </c>
      <c r="C2093" s="24" t="s">
        <v>31</v>
      </c>
      <c r="D2093" s="24">
        <v>0.1</v>
      </c>
      <c r="E2093" s="24" t="s">
        <v>796</v>
      </c>
      <c r="F2093" s="24" t="s">
        <v>908</v>
      </c>
      <c r="G2093" s="24">
        <v>173672</v>
      </c>
    </row>
    <row r="2094" spans="1:7" x14ac:dyDescent="0.25">
      <c r="A2094" s="24" t="s">
        <v>272</v>
      </c>
      <c r="B2094" s="24" t="s">
        <v>57</v>
      </c>
      <c r="C2094" s="24" t="s">
        <v>36</v>
      </c>
      <c r="D2094" s="24">
        <v>33</v>
      </c>
      <c r="E2094" s="24" t="s">
        <v>796</v>
      </c>
      <c r="F2094" s="24" t="s">
        <v>908</v>
      </c>
      <c r="G2094" s="24">
        <v>173672</v>
      </c>
    </row>
    <row r="2095" spans="1:7" x14ac:dyDescent="0.25">
      <c r="A2095" s="24" t="s">
        <v>272</v>
      </c>
      <c r="B2095" s="24" t="s">
        <v>58</v>
      </c>
      <c r="C2095" s="24" t="s">
        <v>5</v>
      </c>
      <c r="D2095" s="24">
        <v>0</v>
      </c>
      <c r="E2095" s="24" t="s">
        <v>795</v>
      </c>
      <c r="F2095" s="24"/>
      <c r="G2095" s="24"/>
    </row>
    <row r="2096" spans="1:7" x14ac:dyDescent="0.25">
      <c r="A2096" s="24" t="s">
        <v>273</v>
      </c>
      <c r="B2096" s="24" t="s">
        <v>23</v>
      </c>
      <c r="C2096" s="24" t="s">
        <v>5</v>
      </c>
      <c r="D2096" s="24">
        <v>0</v>
      </c>
      <c r="E2096" s="24" t="s">
        <v>796</v>
      </c>
      <c r="F2096" s="24" t="s">
        <v>908</v>
      </c>
      <c r="G2096" s="24">
        <v>173672</v>
      </c>
    </row>
    <row r="2097" spans="1:7" x14ac:dyDescent="0.25">
      <c r="A2097" s="24" t="s">
        <v>273</v>
      </c>
      <c r="B2097" s="24" t="s">
        <v>35</v>
      </c>
      <c r="C2097" s="24" t="s">
        <v>36</v>
      </c>
      <c r="D2097" s="24">
        <v>7.3</v>
      </c>
      <c r="E2097" s="24" t="s">
        <v>796</v>
      </c>
      <c r="F2097" s="24" t="s">
        <v>908</v>
      </c>
      <c r="G2097" s="24">
        <v>173672</v>
      </c>
    </row>
    <row r="2098" spans="1:7" x14ac:dyDescent="0.25">
      <c r="A2098" s="24" t="s">
        <v>273</v>
      </c>
      <c r="B2098" s="24" t="s">
        <v>37</v>
      </c>
      <c r="C2098" s="24" t="s">
        <v>38</v>
      </c>
      <c r="D2098" s="24">
        <v>0.8</v>
      </c>
      <c r="E2098" s="24" t="s">
        <v>796</v>
      </c>
      <c r="F2098" s="24" t="s">
        <v>908</v>
      </c>
      <c r="G2098" s="24">
        <v>173672</v>
      </c>
    </row>
    <row r="2099" spans="1:7" x14ac:dyDescent="0.25">
      <c r="A2099" s="24" t="s">
        <v>273</v>
      </c>
      <c r="B2099" s="24" t="s">
        <v>39</v>
      </c>
      <c r="C2099" s="24" t="s">
        <v>36</v>
      </c>
      <c r="D2099" s="24">
        <v>0.1</v>
      </c>
      <c r="E2099" s="24" t="s">
        <v>796</v>
      </c>
      <c r="F2099" s="24" t="s">
        <v>908</v>
      </c>
      <c r="G2099" s="24">
        <v>173672</v>
      </c>
    </row>
    <row r="2100" spans="1:7" x14ac:dyDescent="0.25">
      <c r="A2100" s="24" t="s">
        <v>273</v>
      </c>
      <c r="B2100" s="24" t="s">
        <v>58</v>
      </c>
      <c r="C2100" s="24" t="s">
        <v>5</v>
      </c>
      <c r="D2100" s="24">
        <v>0</v>
      </c>
      <c r="E2100" s="24" t="s">
        <v>795</v>
      </c>
      <c r="F2100" s="24"/>
      <c r="G2100" s="24"/>
    </row>
    <row r="2101" spans="1:7" x14ac:dyDescent="0.25">
      <c r="A2101" s="24" t="s">
        <v>274</v>
      </c>
      <c r="B2101" s="24" t="s">
        <v>23</v>
      </c>
      <c r="C2101" s="24" t="s">
        <v>5</v>
      </c>
      <c r="D2101" s="24">
        <v>0</v>
      </c>
      <c r="E2101" s="24" t="s">
        <v>796</v>
      </c>
      <c r="F2101" s="24" t="s">
        <v>909</v>
      </c>
      <c r="G2101" s="24">
        <v>175121</v>
      </c>
    </row>
    <row r="2102" spans="1:7" x14ac:dyDescent="0.25">
      <c r="A2102" s="24" t="s">
        <v>274</v>
      </c>
      <c r="B2102" s="24" t="s">
        <v>32</v>
      </c>
      <c r="C2102" s="24" t="s">
        <v>33</v>
      </c>
      <c r="D2102" s="24">
        <v>139.6</v>
      </c>
      <c r="E2102" s="24" t="s">
        <v>796</v>
      </c>
      <c r="F2102" s="24" t="s">
        <v>909</v>
      </c>
      <c r="G2102" s="24">
        <v>175121</v>
      </c>
    </row>
    <row r="2103" spans="1:7" x14ac:dyDescent="0.25">
      <c r="A2103" s="24" t="s">
        <v>274</v>
      </c>
      <c r="B2103" s="24" t="s">
        <v>34</v>
      </c>
      <c r="C2103" s="24" t="s">
        <v>31</v>
      </c>
      <c r="D2103" s="24">
        <v>1</v>
      </c>
      <c r="E2103" s="24" t="s">
        <v>796</v>
      </c>
      <c r="F2103" s="24" t="s">
        <v>909</v>
      </c>
      <c r="G2103" s="24">
        <v>175121</v>
      </c>
    </row>
    <row r="2104" spans="1:7" x14ac:dyDescent="0.25">
      <c r="A2104" s="24" t="s">
        <v>274</v>
      </c>
      <c r="B2104" s="24" t="s">
        <v>35</v>
      </c>
      <c r="C2104" s="24" t="s">
        <v>36</v>
      </c>
      <c r="D2104" s="24">
        <v>7.8</v>
      </c>
      <c r="E2104" s="24" t="s">
        <v>796</v>
      </c>
      <c r="F2104" s="24" t="s">
        <v>909</v>
      </c>
      <c r="G2104" s="24">
        <v>175121</v>
      </c>
    </row>
    <row r="2105" spans="1:7" x14ac:dyDescent="0.25">
      <c r="A2105" s="24" t="s">
        <v>274</v>
      </c>
      <c r="B2105" s="24" t="s">
        <v>37</v>
      </c>
      <c r="C2105" s="24" t="s">
        <v>38</v>
      </c>
      <c r="D2105" s="24">
        <v>1.1000000000000001</v>
      </c>
      <c r="E2105" s="24" t="s">
        <v>796</v>
      </c>
      <c r="F2105" s="24" t="s">
        <v>909</v>
      </c>
      <c r="G2105" s="24">
        <v>175121</v>
      </c>
    </row>
    <row r="2106" spans="1:7" x14ac:dyDescent="0.25">
      <c r="A2106" s="24" t="s">
        <v>274</v>
      </c>
      <c r="B2106" s="24" t="s">
        <v>39</v>
      </c>
      <c r="C2106" s="24" t="s">
        <v>36</v>
      </c>
      <c r="D2106" s="24">
        <v>0.1</v>
      </c>
      <c r="E2106" s="24" t="s">
        <v>796</v>
      </c>
      <c r="F2106" s="24" t="s">
        <v>909</v>
      </c>
      <c r="G2106" s="24">
        <v>175121</v>
      </c>
    </row>
    <row r="2107" spans="1:7" x14ac:dyDescent="0.25">
      <c r="A2107" s="24" t="s">
        <v>274</v>
      </c>
      <c r="B2107" s="24" t="s">
        <v>42</v>
      </c>
      <c r="C2107" s="24" t="s">
        <v>43</v>
      </c>
      <c r="D2107" s="24">
        <v>6.6</v>
      </c>
      <c r="E2107" s="24" t="s">
        <v>796</v>
      </c>
      <c r="F2107" s="24" t="s">
        <v>909</v>
      </c>
      <c r="G2107" s="24">
        <v>175121</v>
      </c>
    </row>
    <row r="2108" spans="1:7" x14ac:dyDescent="0.25">
      <c r="A2108" s="24" t="s">
        <v>274</v>
      </c>
      <c r="B2108" s="24" t="s">
        <v>44</v>
      </c>
      <c r="C2108" s="24" t="s">
        <v>31</v>
      </c>
      <c r="D2108" s="24">
        <v>0.2</v>
      </c>
      <c r="E2108" s="24" t="s">
        <v>796</v>
      </c>
      <c r="F2108" s="24" t="s">
        <v>909</v>
      </c>
      <c r="G2108" s="24">
        <v>175121</v>
      </c>
    </row>
    <row r="2109" spans="1:7" x14ac:dyDescent="0.25">
      <c r="A2109" s="24" t="s">
        <v>274</v>
      </c>
      <c r="B2109" s="24" t="s">
        <v>45</v>
      </c>
      <c r="C2109" s="24" t="s">
        <v>31</v>
      </c>
      <c r="D2109" s="24">
        <v>0.3</v>
      </c>
      <c r="E2109" s="24" t="s">
        <v>796</v>
      </c>
      <c r="F2109" s="24" t="s">
        <v>909</v>
      </c>
      <c r="G2109" s="24">
        <v>175121</v>
      </c>
    </row>
    <row r="2110" spans="1:7" x14ac:dyDescent="0.25">
      <c r="A2110" s="24" t="s">
        <v>274</v>
      </c>
      <c r="B2110" s="24" t="s">
        <v>46</v>
      </c>
      <c r="C2110" s="24" t="s">
        <v>36</v>
      </c>
      <c r="D2110" s="24">
        <v>7.5</v>
      </c>
      <c r="E2110" s="24" t="s">
        <v>796</v>
      </c>
      <c r="F2110" s="24" t="s">
        <v>909</v>
      </c>
      <c r="G2110" s="24">
        <v>175121</v>
      </c>
    </row>
    <row r="2111" spans="1:7" x14ac:dyDescent="0.25">
      <c r="A2111" s="24" t="s">
        <v>274</v>
      </c>
      <c r="B2111" s="24" t="s">
        <v>47</v>
      </c>
      <c r="C2111" s="24" t="s">
        <v>48</v>
      </c>
      <c r="D2111" s="24">
        <v>5.4</v>
      </c>
      <c r="E2111" s="24" t="s">
        <v>796</v>
      </c>
      <c r="F2111" s="24" t="s">
        <v>909</v>
      </c>
      <c r="G2111" s="24">
        <v>175121</v>
      </c>
    </row>
    <row r="2112" spans="1:7" x14ac:dyDescent="0.25">
      <c r="A2112" s="24" t="s">
        <v>274</v>
      </c>
      <c r="B2112" s="24" t="s">
        <v>53</v>
      </c>
      <c r="C2112" s="24" t="s">
        <v>31</v>
      </c>
      <c r="D2112" s="24">
        <v>39.700000000000003</v>
      </c>
      <c r="E2112" s="24" t="s">
        <v>796</v>
      </c>
      <c r="F2112" s="24" t="s">
        <v>909</v>
      </c>
      <c r="G2112" s="24">
        <v>175121</v>
      </c>
    </row>
    <row r="2113" spans="1:7" x14ac:dyDescent="0.25">
      <c r="A2113" s="24" t="s">
        <v>274</v>
      </c>
      <c r="B2113" s="24" t="s">
        <v>55</v>
      </c>
      <c r="C2113" s="24" t="s">
        <v>31</v>
      </c>
      <c r="D2113" s="24">
        <v>1.1000000000000001</v>
      </c>
      <c r="E2113" s="24" t="s">
        <v>796</v>
      </c>
      <c r="F2113" s="24" t="s">
        <v>909</v>
      </c>
      <c r="G2113" s="24">
        <v>175121</v>
      </c>
    </row>
    <row r="2114" spans="1:7" x14ac:dyDescent="0.25">
      <c r="A2114" s="24" t="s">
        <v>274</v>
      </c>
      <c r="B2114" s="24" t="s">
        <v>56</v>
      </c>
      <c r="C2114" s="24" t="s">
        <v>31</v>
      </c>
      <c r="D2114" s="24">
        <v>0.2</v>
      </c>
      <c r="E2114" s="24" t="s">
        <v>796</v>
      </c>
      <c r="F2114" s="24" t="s">
        <v>909</v>
      </c>
      <c r="G2114" s="24">
        <v>175121</v>
      </c>
    </row>
    <row r="2115" spans="1:7" x14ac:dyDescent="0.25">
      <c r="A2115" s="24" t="s">
        <v>274</v>
      </c>
      <c r="B2115" s="24" t="s">
        <v>57</v>
      </c>
      <c r="C2115" s="24" t="s">
        <v>36</v>
      </c>
      <c r="D2115" s="24">
        <v>40.5</v>
      </c>
      <c r="E2115" s="24" t="s">
        <v>796</v>
      </c>
      <c r="F2115" s="24" t="s">
        <v>909</v>
      </c>
      <c r="G2115" s="24">
        <v>175121</v>
      </c>
    </row>
    <row r="2116" spans="1:7" x14ac:dyDescent="0.25">
      <c r="A2116" s="24" t="s">
        <v>274</v>
      </c>
      <c r="B2116" s="24" t="s">
        <v>58</v>
      </c>
      <c r="C2116" s="24" t="s">
        <v>5</v>
      </c>
      <c r="D2116" s="24">
        <v>0</v>
      </c>
      <c r="E2116" s="24" t="s">
        <v>795</v>
      </c>
      <c r="F2116" s="24"/>
      <c r="G2116" s="24"/>
    </row>
    <row r="2117" spans="1:7" x14ac:dyDescent="0.25">
      <c r="A2117" s="24" t="s">
        <v>275</v>
      </c>
      <c r="B2117" s="24" t="s">
        <v>23</v>
      </c>
      <c r="C2117" s="24" t="s">
        <v>5</v>
      </c>
      <c r="D2117" s="24">
        <v>0</v>
      </c>
      <c r="E2117" s="24" t="s">
        <v>796</v>
      </c>
      <c r="F2117" s="24" t="s">
        <v>909</v>
      </c>
      <c r="G2117" s="24">
        <v>175121</v>
      </c>
    </row>
    <row r="2118" spans="1:7" x14ac:dyDescent="0.25">
      <c r="A2118" s="24" t="s">
        <v>275</v>
      </c>
      <c r="B2118" s="24" t="s">
        <v>32</v>
      </c>
      <c r="C2118" s="24" t="s">
        <v>33</v>
      </c>
      <c r="D2118" s="24">
        <v>192.7</v>
      </c>
      <c r="E2118" s="24" t="s">
        <v>796</v>
      </c>
      <c r="F2118" s="24" t="s">
        <v>909</v>
      </c>
      <c r="G2118" s="24">
        <v>175121</v>
      </c>
    </row>
    <row r="2119" spans="1:7" x14ac:dyDescent="0.25">
      <c r="A2119" s="24" t="s">
        <v>275</v>
      </c>
      <c r="B2119" s="24" t="s">
        <v>34</v>
      </c>
      <c r="C2119" s="24" t="s">
        <v>31</v>
      </c>
      <c r="D2119" s="24">
        <v>1.3</v>
      </c>
      <c r="E2119" s="24" t="s">
        <v>796</v>
      </c>
      <c r="F2119" s="24" t="s">
        <v>909</v>
      </c>
      <c r="G2119" s="24">
        <v>175121</v>
      </c>
    </row>
    <row r="2120" spans="1:7" x14ac:dyDescent="0.25">
      <c r="A2120" s="24" t="s">
        <v>275</v>
      </c>
      <c r="B2120" s="24" t="s">
        <v>35</v>
      </c>
      <c r="C2120" s="24" t="s">
        <v>36</v>
      </c>
      <c r="D2120" s="24">
        <v>10.8</v>
      </c>
      <c r="E2120" s="24" t="s">
        <v>796</v>
      </c>
      <c r="F2120" s="24" t="s">
        <v>909</v>
      </c>
      <c r="G2120" s="24">
        <v>175121</v>
      </c>
    </row>
    <row r="2121" spans="1:7" x14ac:dyDescent="0.25">
      <c r="A2121" s="24" t="s">
        <v>275</v>
      </c>
      <c r="B2121" s="24" t="s">
        <v>37</v>
      </c>
      <c r="C2121" s="24" t="s">
        <v>38</v>
      </c>
      <c r="D2121" s="24">
        <v>1.5</v>
      </c>
      <c r="E2121" s="24" t="s">
        <v>796</v>
      </c>
      <c r="F2121" s="24" t="s">
        <v>909</v>
      </c>
      <c r="G2121" s="24">
        <v>175121</v>
      </c>
    </row>
    <row r="2122" spans="1:7" x14ac:dyDescent="0.25">
      <c r="A2122" s="24" t="s">
        <v>275</v>
      </c>
      <c r="B2122" s="24" t="s">
        <v>39</v>
      </c>
      <c r="C2122" s="24" t="s">
        <v>36</v>
      </c>
      <c r="D2122" s="24">
        <v>0.1</v>
      </c>
      <c r="E2122" s="24" t="s">
        <v>796</v>
      </c>
      <c r="F2122" s="24" t="s">
        <v>909</v>
      </c>
      <c r="G2122" s="24">
        <v>175121</v>
      </c>
    </row>
    <row r="2123" spans="1:7" x14ac:dyDescent="0.25">
      <c r="A2123" s="24" t="s">
        <v>275</v>
      </c>
      <c r="B2123" s="24" t="s">
        <v>42</v>
      </c>
      <c r="C2123" s="24" t="s">
        <v>43</v>
      </c>
      <c r="D2123" s="24">
        <v>9.1999999999999993</v>
      </c>
      <c r="E2123" s="24" t="s">
        <v>796</v>
      </c>
      <c r="F2123" s="24" t="s">
        <v>909</v>
      </c>
      <c r="G2123" s="24">
        <v>175121</v>
      </c>
    </row>
    <row r="2124" spans="1:7" x14ac:dyDescent="0.25">
      <c r="A2124" s="24" t="s">
        <v>275</v>
      </c>
      <c r="B2124" s="24" t="s">
        <v>44</v>
      </c>
      <c r="C2124" s="24" t="s">
        <v>31</v>
      </c>
      <c r="D2124" s="24">
        <v>0.3</v>
      </c>
      <c r="E2124" s="24" t="s">
        <v>796</v>
      </c>
      <c r="F2124" s="24" t="s">
        <v>909</v>
      </c>
      <c r="G2124" s="24">
        <v>175121</v>
      </c>
    </row>
    <row r="2125" spans="1:7" x14ac:dyDescent="0.25">
      <c r="A2125" s="24" t="s">
        <v>275</v>
      </c>
      <c r="B2125" s="24" t="s">
        <v>45</v>
      </c>
      <c r="C2125" s="24" t="s">
        <v>31</v>
      </c>
      <c r="D2125" s="24">
        <v>0.5</v>
      </c>
      <c r="E2125" s="24" t="s">
        <v>796</v>
      </c>
      <c r="F2125" s="24" t="s">
        <v>909</v>
      </c>
      <c r="G2125" s="24">
        <v>175121</v>
      </c>
    </row>
    <row r="2126" spans="1:7" x14ac:dyDescent="0.25">
      <c r="A2126" s="24" t="s">
        <v>275</v>
      </c>
      <c r="B2126" s="24" t="s">
        <v>46</v>
      </c>
      <c r="C2126" s="24" t="s">
        <v>36</v>
      </c>
      <c r="D2126" s="24">
        <v>10.3</v>
      </c>
      <c r="E2126" s="24" t="s">
        <v>796</v>
      </c>
      <c r="F2126" s="24" t="s">
        <v>909</v>
      </c>
      <c r="G2126" s="24">
        <v>175121</v>
      </c>
    </row>
    <row r="2127" spans="1:7" x14ac:dyDescent="0.25">
      <c r="A2127" s="24" t="s">
        <v>275</v>
      </c>
      <c r="B2127" s="24" t="s">
        <v>47</v>
      </c>
      <c r="C2127" s="24" t="s">
        <v>48</v>
      </c>
      <c r="D2127" s="24">
        <v>7.4</v>
      </c>
      <c r="E2127" s="24" t="s">
        <v>796</v>
      </c>
      <c r="F2127" s="24" t="s">
        <v>909</v>
      </c>
      <c r="G2127" s="24">
        <v>175121</v>
      </c>
    </row>
    <row r="2128" spans="1:7" x14ac:dyDescent="0.25">
      <c r="A2128" s="24" t="s">
        <v>275</v>
      </c>
      <c r="B2128" s="24" t="s">
        <v>53</v>
      </c>
      <c r="C2128" s="24" t="s">
        <v>31</v>
      </c>
      <c r="D2128" s="24">
        <v>54.8</v>
      </c>
      <c r="E2128" s="24" t="s">
        <v>796</v>
      </c>
      <c r="F2128" s="24" t="s">
        <v>909</v>
      </c>
      <c r="G2128" s="24">
        <v>175121</v>
      </c>
    </row>
    <row r="2129" spans="1:7" x14ac:dyDescent="0.25">
      <c r="A2129" s="24" t="s">
        <v>275</v>
      </c>
      <c r="B2129" s="24" t="s">
        <v>55</v>
      </c>
      <c r="C2129" s="24" t="s">
        <v>31</v>
      </c>
      <c r="D2129" s="24">
        <v>1.5</v>
      </c>
      <c r="E2129" s="24" t="s">
        <v>796</v>
      </c>
      <c r="F2129" s="24" t="s">
        <v>909</v>
      </c>
      <c r="G2129" s="24">
        <v>175121</v>
      </c>
    </row>
    <row r="2130" spans="1:7" x14ac:dyDescent="0.25">
      <c r="A2130" s="24" t="s">
        <v>275</v>
      </c>
      <c r="B2130" s="24" t="s">
        <v>56</v>
      </c>
      <c r="C2130" s="24" t="s">
        <v>31</v>
      </c>
      <c r="D2130" s="24">
        <v>0.2</v>
      </c>
      <c r="E2130" s="24" t="s">
        <v>796</v>
      </c>
      <c r="F2130" s="24" t="s">
        <v>909</v>
      </c>
      <c r="G2130" s="24">
        <v>175121</v>
      </c>
    </row>
    <row r="2131" spans="1:7" x14ac:dyDescent="0.25">
      <c r="A2131" s="24" t="s">
        <v>275</v>
      </c>
      <c r="B2131" s="24" t="s">
        <v>57</v>
      </c>
      <c r="C2131" s="24" t="s">
        <v>36</v>
      </c>
      <c r="D2131" s="24">
        <v>55.9</v>
      </c>
      <c r="E2131" s="24" t="s">
        <v>796</v>
      </c>
      <c r="F2131" s="24" t="s">
        <v>909</v>
      </c>
      <c r="G2131" s="24">
        <v>175121</v>
      </c>
    </row>
    <row r="2132" spans="1:7" x14ac:dyDescent="0.25">
      <c r="A2132" s="24" t="s">
        <v>275</v>
      </c>
      <c r="B2132" s="24" t="s">
        <v>58</v>
      </c>
      <c r="C2132" s="24" t="s">
        <v>5</v>
      </c>
      <c r="D2132" s="24">
        <v>0</v>
      </c>
      <c r="E2132" s="24" t="s">
        <v>795</v>
      </c>
      <c r="F2132" s="24"/>
      <c r="G2132" s="24"/>
    </row>
    <row r="2133" spans="1:7" x14ac:dyDescent="0.25">
      <c r="A2133" s="24" t="s">
        <v>276</v>
      </c>
      <c r="B2133" s="24" t="s">
        <v>23</v>
      </c>
      <c r="C2133" s="24" t="s">
        <v>5</v>
      </c>
      <c r="D2133" s="24">
        <v>0</v>
      </c>
      <c r="E2133" s="24" t="s">
        <v>796</v>
      </c>
      <c r="F2133" s="24" t="s">
        <v>910</v>
      </c>
      <c r="G2133" s="24">
        <v>174196</v>
      </c>
    </row>
    <row r="2134" spans="1:7" x14ac:dyDescent="0.25">
      <c r="A2134" s="24" t="s">
        <v>276</v>
      </c>
      <c r="B2134" s="24" t="s">
        <v>29</v>
      </c>
      <c r="C2134" s="24" t="s">
        <v>5</v>
      </c>
      <c r="D2134" s="24">
        <v>0</v>
      </c>
      <c r="E2134" s="24" t="s">
        <v>799</v>
      </c>
      <c r="F2134" s="24" t="s">
        <v>910</v>
      </c>
      <c r="G2134" s="24">
        <v>174196</v>
      </c>
    </row>
    <row r="2135" spans="1:7" x14ac:dyDescent="0.25">
      <c r="A2135" s="24" t="s">
        <v>276</v>
      </c>
      <c r="B2135" s="24" t="s">
        <v>35</v>
      </c>
      <c r="C2135" s="24" t="s">
        <v>36</v>
      </c>
      <c r="D2135" s="24">
        <v>4</v>
      </c>
      <c r="E2135" s="24" t="s">
        <v>796</v>
      </c>
      <c r="F2135" s="24" t="s">
        <v>910</v>
      </c>
      <c r="G2135" s="24">
        <v>174196</v>
      </c>
    </row>
    <row r="2136" spans="1:7" x14ac:dyDescent="0.25">
      <c r="A2136" s="24" t="s">
        <v>276</v>
      </c>
      <c r="B2136" s="24" t="s">
        <v>37</v>
      </c>
      <c r="C2136" s="24" t="s">
        <v>38</v>
      </c>
      <c r="D2136" s="24">
        <v>0.9</v>
      </c>
      <c r="E2136" s="24" t="s">
        <v>796</v>
      </c>
      <c r="F2136" s="24" t="s">
        <v>910</v>
      </c>
      <c r="G2136" s="24">
        <v>174196</v>
      </c>
    </row>
    <row r="2137" spans="1:7" x14ac:dyDescent="0.25">
      <c r="A2137" s="24" t="s">
        <v>276</v>
      </c>
      <c r="B2137" s="24" t="s">
        <v>39</v>
      </c>
      <c r="C2137" s="24" t="s">
        <v>36</v>
      </c>
      <c r="D2137" s="24">
        <v>0.1</v>
      </c>
      <c r="E2137" s="24" t="s">
        <v>796</v>
      </c>
      <c r="F2137" s="24" t="s">
        <v>910</v>
      </c>
      <c r="G2137" s="24">
        <v>174196</v>
      </c>
    </row>
    <row r="2138" spans="1:7" x14ac:dyDescent="0.25">
      <c r="A2138" s="24" t="s">
        <v>276</v>
      </c>
      <c r="B2138" s="24" t="s">
        <v>57</v>
      </c>
      <c r="C2138" s="24" t="s">
        <v>36</v>
      </c>
      <c r="D2138" s="24">
        <v>38.1</v>
      </c>
      <c r="E2138" s="24" t="s">
        <v>796</v>
      </c>
      <c r="F2138" s="24" t="s">
        <v>910</v>
      </c>
      <c r="G2138" s="24">
        <v>174196</v>
      </c>
    </row>
    <row r="2139" spans="1:7" x14ac:dyDescent="0.25">
      <c r="A2139" s="24" t="s">
        <v>276</v>
      </c>
      <c r="B2139" s="24" t="s">
        <v>58</v>
      </c>
      <c r="C2139" s="24" t="s">
        <v>5</v>
      </c>
      <c r="D2139" s="24">
        <v>0</v>
      </c>
      <c r="E2139" s="24" t="s">
        <v>795</v>
      </c>
      <c r="F2139" s="24"/>
      <c r="G2139" s="24"/>
    </row>
    <row r="2140" spans="1:7" x14ac:dyDescent="0.25">
      <c r="A2140" s="24" t="s">
        <v>277</v>
      </c>
      <c r="B2140" s="24" t="s">
        <v>29</v>
      </c>
      <c r="C2140" s="24" t="s">
        <v>5</v>
      </c>
      <c r="D2140" s="24">
        <v>0.01</v>
      </c>
      <c r="E2140" s="24" t="s">
        <v>799</v>
      </c>
      <c r="F2140" s="24" t="s">
        <v>910</v>
      </c>
      <c r="G2140" s="24">
        <v>174196</v>
      </c>
    </row>
    <row r="2141" spans="1:7" x14ac:dyDescent="0.25">
      <c r="A2141" s="24" t="s">
        <v>277</v>
      </c>
      <c r="B2141" s="24" t="s">
        <v>58</v>
      </c>
      <c r="C2141" s="24" t="s">
        <v>5</v>
      </c>
      <c r="D2141" s="24">
        <v>0</v>
      </c>
      <c r="E2141" s="24" t="s">
        <v>795</v>
      </c>
      <c r="F2141" s="24"/>
      <c r="G2141" s="24"/>
    </row>
    <row r="2142" spans="1:7" x14ac:dyDescent="0.25">
      <c r="A2142" s="24" t="s">
        <v>278</v>
      </c>
      <c r="B2142" s="24" t="s">
        <v>23</v>
      </c>
      <c r="C2142" s="24" t="s">
        <v>5</v>
      </c>
      <c r="D2142" s="24">
        <v>0</v>
      </c>
      <c r="E2142" s="24" t="s">
        <v>796</v>
      </c>
      <c r="F2142" s="24" t="s">
        <v>911</v>
      </c>
      <c r="G2142" s="24">
        <v>173713</v>
      </c>
    </row>
    <row r="2143" spans="1:7" x14ac:dyDescent="0.25">
      <c r="A2143" s="24" t="s">
        <v>278</v>
      </c>
      <c r="B2143" s="24" t="s">
        <v>35</v>
      </c>
      <c r="C2143" s="24" t="s">
        <v>36</v>
      </c>
      <c r="D2143" s="24">
        <v>1.5</v>
      </c>
      <c r="E2143" s="24" t="s">
        <v>796</v>
      </c>
      <c r="F2143" s="24" t="s">
        <v>911</v>
      </c>
      <c r="G2143" s="24">
        <v>173713</v>
      </c>
    </row>
    <row r="2144" spans="1:7" x14ac:dyDescent="0.25">
      <c r="A2144" s="24" t="s">
        <v>278</v>
      </c>
      <c r="B2144" s="24" t="s">
        <v>39</v>
      </c>
      <c r="C2144" s="24" t="s">
        <v>36</v>
      </c>
      <c r="D2144" s="24">
        <v>0.1</v>
      </c>
      <c r="E2144" s="24" t="s">
        <v>796</v>
      </c>
      <c r="F2144" s="24" t="s">
        <v>911</v>
      </c>
      <c r="G2144" s="24">
        <v>173713</v>
      </c>
    </row>
    <row r="2145" spans="1:7" x14ac:dyDescent="0.25">
      <c r="A2145" s="24" t="s">
        <v>278</v>
      </c>
      <c r="B2145" s="24" t="s">
        <v>58</v>
      </c>
      <c r="C2145" s="24" t="s">
        <v>5</v>
      </c>
      <c r="D2145" s="24">
        <v>0</v>
      </c>
      <c r="E2145" s="24" t="s">
        <v>795</v>
      </c>
      <c r="F2145" s="24"/>
      <c r="G2145" s="24"/>
    </row>
    <row r="2146" spans="1:7" x14ac:dyDescent="0.25">
      <c r="A2146" s="24" t="s">
        <v>279</v>
      </c>
      <c r="B2146" s="24" t="s">
        <v>26</v>
      </c>
      <c r="C2146" s="24" t="s">
        <v>5</v>
      </c>
      <c r="D2146" s="24">
        <v>4.68</v>
      </c>
      <c r="E2146" s="24" t="s">
        <v>799</v>
      </c>
      <c r="F2146" s="24" t="s">
        <v>912</v>
      </c>
      <c r="G2146" s="24">
        <v>171962</v>
      </c>
    </row>
    <row r="2147" spans="1:7" x14ac:dyDescent="0.25">
      <c r="A2147" s="24" t="s">
        <v>279</v>
      </c>
      <c r="B2147" s="24" t="s">
        <v>27</v>
      </c>
      <c r="C2147" s="24" t="s">
        <v>5</v>
      </c>
      <c r="D2147" s="24">
        <v>4.0599999999999996</v>
      </c>
      <c r="E2147" s="24" t="s">
        <v>799</v>
      </c>
      <c r="F2147" s="24" t="s">
        <v>912</v>
      </c>
      <c r="G2147" s="24">
        <v>171962</v>
      </c>
    </row>
    <row r="2148" spans="1:7" x14ac:dyDescent="0.25">
      <c r="A2148" s="24" t="s">
        <v>279</v>
      </c>
      <c r="B2148" s="24" t="s">
        <v>28</v>
      </c>
      <c r="C2148" s="24" t="s">
        <v>5</v>
      </c>
      <c r="D2148" s="24">
        <v>6.45</v>
      </c>
      <c r="E2148" s="24" t="s">
        <v>799</v>
      </c>
      <c r="F2148" s="24" t="s">
        <v>912</v>
      </c>
      <c r="G2148" s="24">
        <v>171962</v>
      </c>
    </row>
    <row r="2149" spans="1:7" x14ac:dyDescent="0.25">
      <c r="A2149" s="24" t="s">
        <v>279</v>
      </c>
      <c r="B2149" s="24" t="s">
        <v>32</v>
      </c>
      <c r="C2149" s="24" t="s">
        <v>33</v>
      </c>
      <c r="D2149" s="24">
        <v>72.2</v>
      </c>
      <c r="E2149" s="24" t="s">
        <v>796</v>
      </c>
      <c r="F2149" s="24" t="s">
        <v>912</v>
      </c>
      <c r="G2149" s="24">
        <v>171962</v>
      </c>
    </row>
    <row r="2150" spans="1:7" x14ac:dyDescent="0.25">
      <c r="A2150" s="24" t="s">
        <v>279</v>
      </c>
      <c r="B2150" s="24" t="s">
        <v>34</v>
      </c>
      <c r="C2150" s="24" t="s">
        <v>31</v>
      </c>
      <c r="D2150" s="24">
        <v>0</v>
      </c>
      <c r="E2150" s="24" t="s">
        <v>796</v>
      </c>
      <c r="F2150" s="24" t="s">
        <v>912</v>
      </c>
      <c r="G2150" s="24">
        <v>171962</v>
      </c>
    </row>
    <row r="2151" spans="1:7" x14ac:dyDescent="0.25">
      <c r="A2151" s="24" t="s">
        <v>279</v>
      </c>
      <c r="B2151" s="24" t="s">
        <v>40</v>
      </c>
      <c r="C2151" s="24" t="s">
        <v>31</v>
      </c>
      <c r="D2151" s="24">
        <v>0.1</v>
      </c>
      <c r="E2151" s="24" t="s">
        <v>796</v>
      </c>
      <c r="F2151" s="24" t="s">
        <v>912</v>
      </c>
      <c r="G2151" s="24">
        <v>171962</v>
      </c>
    </row>
    <row r="2152" spans="1:7" x14ac:dyDescent="0.25">
      <c r="A2152" s="24" t="s">
        <v>279</v>
      </c>
      <c r="B2152" s="24" t="s">
        <v>41</v>
      </c>
      <c r="C2152" s="24" t="s">
        <v>31</v>
      </c>
      <c r="D2152" s="24">
        <v>0</v>
      </c>
      <c r="E2152" s="24" t="s">
        <v>796</v>
      </c>
      <c r="F2152" s="24" t="s">
        <v>912</v>
      </c>
      <c r="G2152" s="24">
        <v>171962</v>
      </c>
    </row>
    <row r="2153" spans="1:7" x14ac:dyDescent="0.25">
      <c r="A2153" s="24" t="s">
        <v>279</v>
      </c>
      <c r="B2153" s="24" t="s">
        <v>42</v>
      </c>
      <c r="C2153" s="24" t="s">
        <v>43</v>
      </c>
      <c r="D2153" s="24">
        <v>0.5</v>
      </c>
      <c r="E2153" s="24" t="s">
        <v>796</v>
      </c>
      <c r="F2153" s="24" t="s">
        <v>912</v>
      </c>
      <c r="G2153" s="24">
        <v>171962</v>
      </c>
    </row>
    <row r="2154" spans="1:7" x14ac:dyDescent="0.25">
      <c r="A2154" s="24" t="s">
        <v>279</v>
      </c>
      <c r="B2154" s="24" t="s">
        <v>44</v>
      </c>
      <c r="C2154" s="24" t="s">
        <v>31</v>
      </c>
      <c r="D2154" s="24">
        <v>0.5</v>
      </c>
      <c r="E2154" s="24" t="s">
        <v>796</v>
      </c>
      <c r="F2154" s="24" t="s">
        <v>912</v>
      </c>
      <c r="G2154" s="24">
        <v>171962</v>
      </c>
    </row>
    <row r="2155" spans="1:7" x14ac:dyDescent="0.25">
      <c r="A2155" s="24" t="s">
        <v>279</v>
      </c>
      <c r="B2155" s="24" t="s">
        <v>45</v>
      </c>
      <c r="C2155" s="24" t="s">
        <v>31</v>
      </c>
      <c r="D2155" s="24">
        <v>1.3</v>
      </c>
      <c r="E2155" s="24" t="s">
        <v>796</v>
      </c>
      <c r="F2155" s="24" t="s">
        <v>912</v>
      </c>
      <c r="G2155" s="24">
        <v>171962</v>
      </c>
    </row>
    <row r="2156" spans="1:7" x14ac:dyDescent="0.25">
      <c r="A2156" s="24" t="s">
        <v>279</v>
      </c>
      <c r="B2156" s="24" t="s">
        <v>46</v>
      </c>
      <c r="C2156" s="24" t="s">
        <v>36</v>
      </c>
      <c r="D2156" s="24">
        <v>1</v>
      </c>
      <c r="E2156" s="24" t="s">
        <v>796</v>
      </c>
      <c r="F2156" s="24" t="s">
        <v>912</v>
      </c>
      <c r="G2156" s="24">
        <v>171962</v>
      </c>
    </row>
    <row r="2157" spans="1:7" x14ac:dyDescent="0.25">
      <c r="A2157" s="24" t="s">
        <v>279</v>
      </c>
      <c r="B2157" s="24" t="s">
        <v>47</v>
      </c>
      <c r="C2157" s="24" t="s">
        <v>48</v>
      </c>
      <c r="D2157" s="24">
        <v>15.1</v>
      </c>
      <c r="E2157" s="24" t="s">
        <v>796</v>
      </c>
      <c r="F2157" s="24" t="s">
        <v>912</v>
      </c>
      <c r="G2157" s="24">
        <v>171962</v>
      </c>
    </row>
    <row r="2158" spans="1:7" x14ac:dyDescent="0.25">
      <c r="A2158" s="24" t="s">
        <v>279</v>
      </c>
      <c r="B2158" s="24" t="s">
        <v>51</v>
      </c>
      <c r="C2158" s="24" t="s">
        <v>31</v>
      </c>
      <c r="D2158" s="24">
        <v>45.3</v>
      </c>
      <c r="E2158" s="24" t="s">
        <v>796</v>
      </c>
      <c r="F2158" s="24" t="s">
        <v>912</v>
      </c>
      <c r="G2158" s="24">
        <v>171962</v>
      </c>
    </row>
    <row r="2159" spans="1:7" x14ac:dyDescent="0.25">
      <c r="A2159" s="24" t="s">
        <v>279</v>
      </c>
      <c r="B2159" s="24" t="s">
        <v>52</v>
      </c>
      <c r="C2159" s="24" t="s">
        <v>31</v>
      </c>
      <c r="D2159" s="24">
        <v>272.10000000000002</v>
      </c>
      <c r="E2159" s="24" t="s">
        <v>796</v>
      </c>
      <c r="F2159" s="24" t="s">
        <v>912</v>
      </c>
      <c r="G2159" s="24">
        <v>171962</v>
      </c>
    </row>
    <row r="2160" spans="1:7" x14ac:dyDescent="0.25">
      <c r="A2160" s="24" t="s">
        <v>279</v>
      </c>
      <c r="B2160" s="24" t="s">
        <v>53</v>
      </c>
      <c r="C2160" s="24" t="s">
        <v>31</v>
      </c>
      <c r="D2160" s="24">
        <v>52.1</v>
      </c>
      <c r="E2160" s="24" t="s">
        <v>796</v>
      </c>
      <c r="F2160" s="24" t="s">
        <v>912</v>
      </c>
      <c r="G2160" s="24">
        <v>171962</v>
      </c>
    </row>
    <row r="2161" spans="1:7" x14ac:dyDescent="0.25">
      <c r="A2161" s="24" t="s">
        <v>279</v>
      </c>
      <c r="B2161" s="24" t="s">
        <v>54</v>
      </c>
      <c r="C2161" s="24" t="s">
        <v>31</v>
      </c>
      <c r="D2161" s="24">
        <v>1.5</v>
      </c>
      <c r="E2161" s="24" t="s">
        <v>796</v>
      </c>
      <c r="F2161" s="24" t="s">
        <v>912</v>
      </c>
      <c r="G2161" s="24">
        <v>171962</v>
      </c>
    </row>
    <row r="2162" spans="1:7" x14ac:dyDescent="0.25">
      <c r="A2162" s="24" t="s">
        <v>279</v>
      </c>
      <c r="B2162" s="24" t="s">
        <v>55</v>
      </c>
      <c r="C2162" s="24" t="s">
        <v>31</v>
      </c>
      <c r="D2162" s="24">
        <v>0.8</v>
      </c>
      <c r="E2162" s="24" t="s">
        <v>796</v>
      </c>
      <c r="F2162" s="24" t="s">
        <v>912</v>
      </c>
      <c r="G2162" s="24">
        <v>171962</v>
      </c>
    </row>
    <row r="2163" spans="1:7" x14ac:dyDescent="0.25">
      <c r="A2163" s="24" t="s">
        <v>279</v>
      </c>
      <c r="B2163" s="24" t="s">
        <v>56</v>
      </c>
      <c r="C2163" s="24" t="s">
        <v>31</v>
      </c>
      <c r="D2163" s="24">
        <v>0</v>
      </c>
      <c r="E2163" s="24" t="s">
        <v>796</v>
      </c>
      <c r="F2163" s="24" t="s">
        <v>912</v>
      </c>
      <c r="G2163" s="24">
        <v>171962</v>
      </c>
    </row>
    <row r="2164" spans="1:7" x14ac:dyDescent="0.25">
      <c r="A2164" s="24" t="s">
        <v>279</v>
      </c>
      <c r="B2164" s="24" t="s">
        <v>57</v>
      </c>
      <c r="C2164" s="24" t="s">
        <v>36</v>
      </c>
      <c r="D2164" s="24">
        <v>61.3</v>
      </c>
      <c r="E2164" s="24" t="s">
        <v>796</v>
      </c>
      <c r="F2164" s="24" t="s">
        <v>912</v>
      </c>
      <c r="G2164" s="24">
        <v>171962</v>
      </c>
    </row>
    <row r="2165" spans="1:7" x14ac:dyDescent="0.25">
      <c r="A2165" s="24" t="s">
        <v>279</v>
      </c>
      <c r="B2165" s="24" t="s">
        <v>58</v>
      </c>
      <c r="C2165" s="24" t="s">
        <v>5</v>
      </c>
      <c r="D2165" s="24">
        <v>0</v>
      </c>
      <c r="E2165" s="24" t="s">
        <v>795</v>
      </c>
      <c r="F2165" s="24"/>
      <c r="G2165" s="24"/>
    </row>
    <row r="2166" spans="1:7" x14ac:dyDescent="0.25">
      <c r="A2166" s="24" t="s">
        <v>280</v>
      </c>
      <c r="B2166" s="24" t="s">
        <v>23</v>
      </c>
      <c r="C2166" s="24" t="s">
        <v>5</v>
      </c>
      <c r="D2166" s="24">
        <v>0</v>
      </c>
      <c r="E2166" s="24" t="s">
        <v>796</v>
      </c>
      <c r="F2166" s="24" t="s">
        <v>913</v>
      </c>
      <c r="G2166" s="24">
        <v>171955</v>
      </c>
    </row>
    <row r="2167" spans="1:7" x14ac:dyDescent="0.25">
      <c r="A2167" s="24" t="s">
        <v>280</v>
      </c>
      <c r="B2167" s="24" t="s">
        <v>26</v>
      </c>
      <c r="C2167" s="24" t="s">
        <v>5</v>
      </c>
      <c r="D2167" s="24">
        <v>0.06</v>
      </c>
      <c r="E2167" s="24" t="s">
        <v>799</v>
      </c>
      <c r="F2167" s="24" t="s">
        <v>913</v>
      </c>
      <c r="G2167" s="24">
        <v>171955</v>
      </c>
    </row>
    <row r="2168" spans="1:7" x14ac:dyDescent="0.25">
      <c r="A2168" s="24" t="s">
        <v>280</v>
      </c>
      <c r="B2168" s="24" t="s">
        <v>27</v>
      </c>
      <c r="C2168" s="24" t="s">
        <v>5</v>
      </c>
      <c r="D2168" s="24">
        <v>0.04</v>
      </c>
      <c r="E2168" s="24" t="s">
        <v>799</v>
      </c>
      <c r="F2168" s="24" t="s">
        <v>913</v>
      </c>
      <c r="G2168" s="24">
        <v>171955</v>
      </c>
    </row>
    <row r="2169" spans="1:7" x14ac:dyDescent="0.25">
      <c r="A2169" s="24" t="s">
        <v>280</v>
      </c>
      <c r="B2169" s="24" t="s">
        <v>28</v>
      </c>
      <c r="C2169" s="24" t="s">
        <v>5</v>
      </c>
      <c r="D2169" s="24">
        <v>0.1</v>
      </c>
      <c r="E2169" s="24" t="s">
        <v>799</v>
      </c>
      <c r="F2169" s="24" t="s">
        <v>913</v>
      </c>
      <c r="G2169" s="24">
        <v>171955</v>
      </c>
    </row>
    <row r="2170" spans="1:7" x14ac:dyDescent="0.25">
      <c r="A2170" s="24" t="s">
        <v>280</v>
      </c>
      <c r="B2170" s="24" t="s">
        <v>32</v>
      </c>
      <c r="C2170" s="24" t="s">
        <v>33</v>
      </c>
      <c r="D2170" s="24">
        <v>14.8</v>
      </c>
      <c r="E2170" s="24" t="s">
        <v>796</v>
      </c>
      <c r="F2170" s="24" t="s">
        <v>913</v>
      </c>
      <c r="G2170" s="24">
        <v>171955</v>
      </c>
    </row>
    <row r="2171" spans="1:7" x14ac:dyDescent="0.25">
      <c r="A2171" s="24" t="s">
        <v>280</v>
      </c>
      <c r="B2171" s="24" t="s">
        <v>34</v>
      </c>
      <c r="C2171" s="24" t="s">
        <v>31</v>
      </c>
      <c r="D2171" s="24">
        <v>1.2</v>
      </c>
      <c r="E2171" s="24" t="s">
        <v>796</v>
      </c>
      <c r="F2171" s="24" t="s">
        <v>913</v>
      </c>
      <c r="G2171" s="24">
        <v>171955</v>
      </c>
    </row>
    <row r="2172" spans="1:7" x14ac:dyDescent="0.25">
      <c r="A2172" s="24" t="s">
        <v>280</v>
      </c>
      <c r="B2172" s="24" t="s">
        <v>35</v>
      </c>
      <c r="C2172" s="24" t="s">
        <v>36</v>
      </c>
      <c r="D2172" s="24">
        <v>1.1000000000000001</v>
      </c>
      <c r="E2172" s="24" t="s">
        <v>796</v>
      </c>
      <c r="F2172" s="24" t="s">
        <v>913</v>
      </c>
      <c r="G2172" s="24">
        <v>171955</v>
      </c>
    </row>
    <row r="2173" spans="1:7" x14ac:dyDescent="0.25">
      <c r="A2173" s="24" t="s">
        <v>280</v>
      </c>
      <c r="B2173" s="24" t="s">
        <v>37</v>
      </c>
      <c r="C2173" s="24" t="s">
        <v>38</v>
      </c>
      <c r="D2173" s="24">
        <v>0.8</v>
      </c>
      <c r="E2173" s="24" t="s">
        <v>796</v>
      </c>
      <c r="F2173" s="24" t="s">
        <v>913</v>
      </c>
      <c r="G2173" s="24">
        <v>171955</v>
      </c>
    </row>
    <row r="2174" spans="1:7" x14ac:dyDescent="0.25">
      <c r="A2174" s="24" t="s">
        <v>280</v>
      </c>
      <c r="B2174" s="24" t="s">
        <v>39</v>
      </c>
      <c r="C2174" s="24" t="s">
        <v>36</v>
      </c>
      <c r="D2174" s="24">
        <v>0.1</v>
      </c>
      <c r="E2174" s="24" t="s">
        <v>796</v>
      </c>
      <c r="F2174" s="24" t="s">
        <v>913</v>
      </c>
      <c r="G2174" s="24">
        <v>171955</v>
      </c>
    </row>
    <row r="2175" spans="1:7" x14ac:dyDescent="0.25">
      <c r="A2175" s="24" t="s">
        <v>280</v>
      </c>
      <c r="B2175" s="24" t="s">
        <v>40</v>
      </c>
      <c r="C2175" s="24" t="s">
        <v>31</v>
      </c>
      <c r="D2175" s="24">
        <v>0.1</v>
      </c>
      <c r="E2175" s="24" t="s">
        <v>796</v>
      </c>
      <c r="F2175" s="24" t="s">
        <v>913</v>
      </c>
      <c r="G2175" s="24">
        <v>171955</v>
      </c>
    </row>
    <row r="2176" spans="1:7" x14ac:dyDescent="0.25">
      <c r="A2176" s="24" t="s">
        <v>280</v>
      </c>
      <c r="B2176" s="24" t="s">
        <v>41</v>
      </c>
      <c r="C2176" s="24" t="s">
        <v>31</v>
      </c>
      <c r="D2176" s="24">
        <v>0.1</v>
      </c>
      <c r="E2176" s="24" t="s">
        <v>796</v>
      </c>
      <c r="F2176" s="24" t="s">
        <v>913</v>
      </c>
      <c r="G2176" s="24">
        <v>171955</v>
      </c>
    </row>
    <row r="2177" spans="1:7" x14ac:dyDescent="0.25">
      <c r="A2177" s="24" t="s">
        <v>280</v>
      </c>
      <c r="B2177" s="24" t="s">
        <v>42</v>
      </c>
      <c r="C2177" s="24" t="s">
        <v>43</v>
      </c>
      <c r="D2177" s="24">
        <v>2.5</v>
      </c>
      <c r="E2177" s="24" t="s">
        <v>796</v>
      </c>
      <c r="F2177" s="24" t="s">
        <v>913</v>
      </c>
      <c r="G2177" s="24">
        <v>171955</v>
      </c>
    </row>
    <row r="2178" spans="1:7" x14ac:dyDescent="0.25">
      <c r="A2178" s="24" t="s">
        <v>280</v>
      </c>
      <c r="B2178" s="24" t="s">
        <v>44</v>
      </c>
      <c r="C2178" s="24" t="s">
        <v>31</v>
      </c>
      <c r="D2178" s="24">
        <v>0.3</v>
      </c>
      <c r="E2178" s="24" t="s">
        <v>796</v>
      </c>
      <c r="F2178" s="24" t="s">
        <v>913</v>
      </c>
      <c r="G2178" s="24">
        <v>171955</v>
      </c>
    </row>
    <row r="2179" spans="1:7" x14ac:dyDescent="0.25">
      <c r="A2179" s="24" t="s">
        <v>280</v>
      </c>
      <c r="B2179" s="24" t="s">
        <v>45</v>
      </c>
      <c r="C2179" s="24" t="s">
        <v>31</v>
      </c>
      <c r="D2179" s="24">
        <v>0.2</v>
      </c>
      <c r="E2179" s="24" t="s">
        <v>796</v>
      </c>
      <c r="F2179" s="24" t="s">
        <v>913</v>
      </c>
      <c r="G2179" s="24">
        <v>171955</v>
      </c>
    </row>
    <row r="2180" spans="1:7" x14ac:dyDescent="0.25">
      <c r="A2180" s="24" t="s">
        <v>280</v>
      </c>
      <c r="B2180" s="24" t="s">
        <v>46</v>
      </c>
      <c r="C2180" s="24" t="s">
        <v>36</v>
      </c>
      <c r="D2180" s="24">
        <v>1.1000000000000001</v>
      </c>
      <c r="E2180" s="24" t="s">
        <v>796</v>
      </c>
      <c r="F2180" s="24" t="s">
        <v>913</v>
      </c>
      <c r="G2180" s="24">
        <v>171955</v>
      </c>
    </row>
    <row r="2181" spans="1:7" x14ac:dyDescent="0.25">
      <c r="A2181" s="24" t="s">
        <v>280</v>
      </c>
      <c r="B2181" s="24" t="s">
        <v>47</v>
      </c>
      <c r="C2181" s="24" t="s">
        <v>48</v>
      </c>
      <c r="D2181" s="24">
        <v>8.6</v>
      </c>
      <c r="E2181" s="24" t="s">
        <v>796</v>
      </c>
      <c r="F2181" s="24" t="s">
        <v>913</v>
      </c>
      <c r="G2181" s="24">
        <v>171955</v>
      </c>
    </row>
    <row r="2182" spans="1:7" x14ac:dyDescent="0.25">
      <c r="A2182" s="24" t="s">
        <v>280</v>
      </c>
      <c r="B2182" s="24" t="s">
        <v>53</v>
      </c>
      <c r="C2182" s="24" t="s">
        <v>31</v>
      </c>
      <c r="D2182" s="24">
        <v>39.4</v>
      </c>
      <c r="E2182" s="24" t="s">
        <v>796</v>
      </c>
      <c r="F2182" s="24" t="s">
        <v>913</v>
      </c>
      <c r="G2182" s="24">
        <v>171955</v>
      </c>
    </row>
    <row r="2183" spans="1:7" x14ac:dyDescent="0.25">
      <c r="A2183" s="24" t="s">
        <v>280</v>
      </c>
      <c r="B2183" s="24" t="s">
        <v>55</v>
      </c>
      <c r="C2183" s="24" t="s">
        <v>31</v>
      </c>
      <c r="D2183" s="24">
        <v>0.6</v>
      </c>
      <c r="E2183" s="24" t="s">
        <v>796</v>
      </c>
      <c r="F2183" s="24" t="s">
        <v>913</v>
      </c>
      <c r="G2183" s="24">
        <v>171955</v>
      </c>
    </row>
    <row r="2184" spans="1:7" x14ac:dyDescent="0.25">
      <c r="A2184" s="24" t="s">
        <v>280</v>
      </c>
      <c r="B2184" s="24" t="s">
        <v>56</v>
      </c>
      <c r="C2184" s="24" t="s">
        <v>31</v>
      </c>
      <c r="D2184" s="24">
        <v>0</v>
      </c>
      <c r="E2184" s="24" t="s">
        <v>796</v>
      </c>
      <c r="F2184" s="24" t="s">
        <v>913</v>
      </c>
      <c r="G2184" s="24">
        <v>171955</v>
      </c>
    </row>
    <row r="2185" spans="1:7" x14ac:dyDescent="0.25">
      <c r="A2185" s="24" t="s">
        <v>280</v>
      </c>
      <c r="B2185" s="24" t="s">
        <v>57</v>
      </c>
      <c r="C2185" s="24" t="s">
        <v>36</v>
      </c>
      <c r="D2185" s="24">
        <v>40.700000000000003</v>
      </c>
      <c r="E2185" s="24" t="s">
        <v>796</v>
      </c>
      <c r="F2185" s="24" t="s">
        <v>913</v>
      </c>
      <c r="G2185" s="24">
        <v>171955</v>
      </c>
    </row>
    <row r="2186" spans="1:7" x14ac:dyDescent="0.25">
      <c r="A2186" s="24" t="s">
        <v>280</v>
      </c>
      <c r="B2186" s="24" t="s">
        <v>58</v>
      </c>
      <c r="C2186" s="24" t="s">
        <v>5</v>
      </c>
      <c r="D2186" s="24">
        <v>0</v>
      </c>
      <c r="E2186" s="24" t="s">
        <v>795</v>
      </c>
      <c r="F2186" s="24"/>
      <c r="G2186" s="24"/>
    </row>
    <row r="2187" spans="1:7" x14ac:dyDescent="0.25">
      <c r="A2187" s="24" t="s">
        <v>281</v>
      </c>
      <c r="B2187" s="24" t="s">
        <v>23</v>
      </c>
      <c r="C2187" s="24" t="s">
        <v>5</v>
      </c>
      <c r="D2187" s="24">
        <v>0</v>
      </c>
      <c r="E2187" s="24" t="s">
        <v>796</v>
      </c>
      <c r="F2187" s="24" t="s">
        <v>914</v>
      </c>
      <c r="G2187" s="24">
        <v>175146</v>
      </c>
    </row>
    <row r="2188" spans="1:7" x14ac:dyDescent="0.25">
      <c r="A2188" s="24" t="s">
        <v>281</v>
      </c>
      <c r="B2188" s="24" t="s">
        <v>26</v>
      </c>
      <c r="C2188" s="24" t="s">
        <v>5</v>
      </c>
      <c r="D2188" s="24">
        <v>0.54</v>
      </c>
      <c r="E2188" s="24" t="s">
        <v>799</v>
      </c>
      <c r="F2188" s="24" t="s">
        <v>914</v>
      </c>
      <c r="G2188" s="24">
        <v>175146</v>
      </c>
    </row>
    <row r="2189" spans="1:7" x14ac:dyDescent="0.25">
      <c r="A2189" s="24" t="s">
        <v>281</v>
      </c>
      <c r="B2189" s="24" t="s">
        <v>27</v>
      </c>
      <c r="C2189" s="24" t="s">
        <v>5</v>
      </c>
      <c r="D2189" s="24">
        <v>0.77</v>
      </c>
      <c r="E2189" s="24" t="s">
        <v>799</v>
      </c>
      <c r="F2189" s="24" t="s">
        <v>914</v>
      </c>
      <c r="G2189" s="24">
        <v>175146</v>
      </c>
    </row>
    <row r="2190" spans="1:7" x14ac:dyDescent="0.25">
      <c r="A2190" s="24" t="s">
        <v>281</v>
      </c>
      <c r="B2190" s="24" t="s">
        <v>28</v>
      </c>
      <c r="C2190" s="24" t="s">
        <v>5</v>
      </c>
      <c r="D2190" s="24">
        <v>1.06</v>
      </c>
      <c r="E2190" s="24" t="s">
        <v>799</v>
      </c>
      <c r="F2190" s="24" t="s">
        <v>914</v>
      </c>
      <c r="G2190" s="24">
        <v>175146</v>
      </c>
    </row>
    <row r="2191" spans="1:7" x14ac:dyDescent="0.25">
      <c r="A2191" s="24" t="s">
        <v>281</v>
      </c>
      <c r="B2191" s="24" t="s">
        <v>32</v>
      </c>
      <c r="C2191" s="24" t="s">
        <v>33</v>
      </c>
      <c r="D2191" s="24">
        <v>16.899999999999999</v>
      </c>
      <c r="E2191" s="24" t="s">
        <v>796</v>
      </c>
      <c r="F2191" s="24" t="s">
        <v>914</v>
      </c>
      <c r="G2191" s="24">
        <v>175146</v>
      </c>
    </row>
    <row r="2192" spans="1:7" x14ac:dyDescent="0.25">
      <c r="A2192" s="24" t="s">
        <v>281</v>
      </c>
      <c r="B2192" s="24" t="s">
        <v>34</v>
      </c>
      <c r="C2192" s="24" t="s">
        <v>31</v>
      </c>
      <c r="D2192" s="24">
        <v>0</v>
      </c>
      <c r="E2192" s="24" t="s">
        <v>796</v>
      </c>
      <c r="F2192" s="24" t="s">
        <v>914</v>
      </c>
      <c r="G2192" s="24">
        <v>175146</v>
      </c>
    </row>
    <row r="2193" spans="1:7" x14ac:dyDescent="0.25">
      <c r="A2193" s="24" t="s">
        <v>281</v>
      </c>
      <c r="B2193" s="24" t="s">
        <v>35</v>
      </c>
      <c r="C2193" s="24" t="s">
        <v>36</v>
      </c>
      <c r="D2193" s="24">
        <v>0.9</v>
      </c>
      <c r="E2193" s="24" t="s">
        <v>796</v>
      </c>
      <c r="F2193" s="24" t="s">
        <v>914</v>
      </c>
      <c r="G2193" s="24">
        <v>175146</v>
      </c>
    </row>
    <row r="2194" spans="1:7" x14ac:dyDescent="0.25">
      <c r="A2194" s="24" t="s">
        <v>281</v>
      </c>
      <c r="B2194" s="24" t="s">
        <v>37</v>
      </c>
      <c r="C2194" s="24" t="s">
        <v>38</v>
      </c>
      <c r="D2194" s="24">
        <v>0.6</v>
      </c>
      <c r="E2194" s="24" t="s">
        <v>796</v>
      </c>
      <c r="F2194" s="24" t="s">
        <v>914</v>
      </c>
      <c r="G2194" s="24">
        <v>175146</v>
      </c>
    </row>
    <row r="2195" spans="1:7" x14ac:dyDescent="0.25">
      <c r="A2195" s="24" t="s">
        <v>281</v>
      </c>
      <c r="B2195" s="24" t="s">
        <v>39</v>
      </c>
      <c r="C2195" s="24" t="s">
        <v>36</v>
      </c>
      <c r="D2195" s="24">
        <v>0.1</v>
      </c>
      <c r="E2195" s="24" t="s">
        <v>796</v>
      </c>
      <c r="F2195" s="24" t="s">
        <v>914</v>
      </c>
      <c r="G2195" s="24">
        <v>175146</v>
      </c>
    </row>
    <row r="2196" spans="1:7" x14ac:dyDescent="0.25">
      <c r="A2196" s="24" t="s">
        <v>281</v>
      </c>
      <c r="B2196" s="24" t="s">
        <v>40</v>
      </c>
      <c r="C2196" s="24" t="s">
        <v>31</v>
      </c>
      <c r="D2196" s="24">
        <v>0</v>
      </c>
      <c r="E2196" s="24" t="s">
        <v>796</v>
      </c>
      <c r="F2196" s="24" t="s">
        <v>914</v>
      </c>
      <c r="G2196" s="24">
        <v>175146</v>
      </c>
    </row>
    <row r="2197" spans="1:7" x14ac:dyDescent="0.25">
      <c r="A2197" s="24" t="s">
        <v>281</v>
      </c>
      <c r="B2197" s="24" t="s">
        <v>41</v>
      </c>
      <c r="C2197" s="24" t="s">
        <v>31</v>
      </c>
      <c r="D2197" s="24">
        <v>0.1</v>
      </c>
      <c r="E2197" s="24" t="s">
        <v>796</v>
      </c>
      <c r="F2197" s="24" t="s">
        <v>914</v>
      </c>
      <c r="G2197" s="24">
        <v>175146</v>
      </c>
    </row>
    <row r="2198" spans="1:7" x14ac:dyDescent="0.25">
      <c r="A2198" s="24" t="s">
        <v>281</v>
      </c>
      <c r="B2198" s="24" t="s">
        <v>42</v>
      </c>
      <c r="C2198" s="24" t="s">
        <v>43</v>
      </c>
      <c r="D2198" s="24">
        <v>1.6</v>
      </c>
      <c r="E2198" s="24" t="s">
        <v>796</v>
      </c>
      <c r="F2198" s="24" t="s">
        <v>914</v>
      </c>
      <c r="G2198" s="24">
        <v>175146</v>
      </c>
    </row>
    <row r="2199" spans="1:7" x14ac:dyDescent="0.25">
      <c r="A2199" s="24" t="s">
        <v>281</v>
      </c>
      <c r="B2199" s="24" t="s">
        <v>44</v>
      </c>
      <c r="C2199" s="24" t="s">
        <v>31</v>
      </c>
      <c r="D2199" s="24">
        <v>0.2</v>
      </c>
      <c r="E2199" s="24" t="s">
        <v>796</v>
      </c>
      <c r="F2199" s="24" t="s">
        <v>914</v>
      </c>
      <c r="G2199" s="24">
        <v>175146</v>
      </c>
    </row>
    <row r="2200" spans="1:7" x14ac:dyDescent="0.25">
      <c r="A2200" s="24" t="s">
        <v>281</v>
      </c>
      <c r="B2200" s="24" t="s">
        <v>45</v>
      </c>
      <c r="C2200" s="24" t="s">
        <v>31</v>
      </c>
      <c r="D2200" s="24">
        <v>0.7</v>
      </c>
      <c r="E2200" s="24" t="s">
        <v>796</v>
      </c>
      <c r="F2200" s="24" t="s">
        <v>914</v>
      </c>
      <c r="G2200" s="24">
        <v>175146</v>
      </c>
    </row>
    <row r="2201" spans="1:7" x14ac:dyDescent="0.25">
      <c r="A2201" s="24" t="s">
        <v>281</v>
      </c>
      <c r="B2201" s="24" t="s">
        <v>46</v>
      </c>
      <c r="C2201" s="24" t="s">
        <v>36</v>
      </c>
      <c r="D2201" s="24">
        <v>3.9</v>
      </c>
      <c r="E2201" s="24" t="s">
        <v>796</v>
      </c>
      <c r="F2201" s="24" t="s">
        <v>914</v>
      </c>
      <c r="G2201" s="24">
        <v>175146</v>
      </c>
    </row>
    <row r="2202" spans="1:7" x14ac:dyDescent="0.25">
      <c r="A2202" s="24" t="s">
        <v>281</v>
      </c>
      <c r="B2202" s="24" t="s">
        <v>47</v>
      </c>
      <c r="C2202" s="24" t="s">
        <v>48</v>
      </c>
      <c r="D2202" s="24">
        <v>4.5</v>
      </c>
      <c r="E2202" s="24" t="s">
        <v>796</v>
      </c>
      <c r="F2202" s="24" t="s">
        <v>914</v>
      </c>
      <c r="G2202" s="24">
        <v>175146</v>
      </c>
    </row>
    <row r="2203" spans="1:7" x14ac:dyDescent="0.25">
      <c r="A2203" s="24" t="s">
        <v>281</v>
      </c>
      <c r="B2203" s="24" t="s">
        <v>51</v>
      </c>
      <c r="C2203" s="24" t="s">
        <v>31</v>
      </c>
      <c r="D2203" s="24">
        <v>67.5</v>
      </c>
      <c r="E2203" s="24" t="s">
        <v>796</v>
      </c>
      <c r="F2203" s="24" t="s">
        <v>914</v>
      </c>
      <c r="G2203" s="24">
        <v>175146</v>
      </c>
    </row>
    <row r="2204" spans="1:7" x14ac:dyDescent="0.25">
      <c r="A2204" s="24" t="s">
        <v>281</v>
      </c>
      <c r="B2204" s="24" t="s">
        <v>52</v>
      </c>
      <c r="C2204" s="24" t="s">
        <v>31</v>
      </c>
      <c r="D2204" s="24">
        <v>258.89999999999998</v>
      </c>
      <c r="E2204" s="24" t="s">
        <v>796</v>
      </c>
      <c r="F2204" s="24" t="s">
        <v>914</v>
      </c>
      <c r="G2204" s="24">
        <v>175146</v>
      </c>
    </row>
    <row r="2205" spans="1:7" x14ac:dyDescent="0.25">
      <c r="A2205" s="24" t="s">
        <v>281</v>
      </c>
      <c r="B2205" s="24" t="s">
        <v>53</v>
      </c>
      <c r="C2205" s="24" t="s">
        <v>31</v>
      </c>
      <c r="D2205" s="24">
        <v>33.799999999999997</v>
      </c>
      <c r="E2205" s="24" t="s">
        <v>796</v>
      </c>
      <c r="F2205" s="24" t="s">
        <v>914</v>
      </c>
      <c r="G2205" s="24">
        <v>175146</v>
      </c>
    </row>
    <row r="2206" spans="1:7" x14ac:dyDescent="0.25">
      <c r="A2206" s="24" t="s">
        <v>281</v>
      </c>
      <c r="B2206" s="24" t="s">
        <v>54</v>
      </c>
      <c r="C2206" s="24" t="s">
        <v>31</v>
      </c>
      <c r="D2206" s="24">
        <v>1</v>
      </c>
      <c r="E2206" s="24" t="s">
        <v>796</v>
      </c>
      <c r="F2206" s="24" t="s">
        <v>914</v>
      </c>
      <c r="G2206" s="24">
        <v>175146</v>
      </c>
    </row>
    <row r="2207" spans="1:7" x14ac:dyDescent="0.25">
      <c r="A2207" s="24" t="s">
        <v>281</v>
      </c>
      <c r="B2207" s="24" t="s">
        <v>55</v>
      </c>
      <c r="C2207" s="24" t="s">
        <v>31</v>
      </c>
      <c r="D2207" s="24">
        <v>1.9</v>
      </c>
      <c r="E2207" s="24" t="s">
        <v>796</v>
      </c>
      <c r="F2207" s="24" t="s">
        <v>914</v>
      </c>
      <c r="G2207" s="24">
        <v>175146</v>
      </c>
    </row>
    <row r="2208" spans="1:7" x14ac:dyDescent="0.25">
      <c r="A2208" s="24" t="s">
        <v>281</v>
      </c>
      <c r="B2208" s="24" t="s">
        <v>56</v>
      </c>
      <c r="C2208" s="24" t="s">
        <v>31</v>
      </c>
      <c r="D2208" s="24">
        <v>0.2</v>
      </c>
      <c r="E2208" s="24" t="s">
        <v>796</v>
      </c>
      <c r="F2208" s="24" t="s">
        <v>914</v>
      </c>
      <c r="G2208" s="24">
        <v>175146</v>
      </c>
    </row>
    <row r="2209" spans="1:7" x14ac:dyDescent="0.25">
      <c r="A2209" s="24" t="s">
        <v>281</v>
      </c>
      <c r="B2209" s="24" t="s">
        <v>57</v>
      </c>
      <c r="C2209" s="24" t="s">
        <v>36</v>
      </c>
      <c r="D2209" s="24">
        <v>41.1</v>
      </c>
      <c r="E2209" s="24" t="s">
        <v>796</v>
      </c>
      <c r="F2209" s="24" t="s">
        <v>914</v>
      </c>
      <c r="G2209" s="24">
        <v>175146</v>
      </c>
    </row>
    <row r="2210" spans="1:7" x14ac:dyDescent="0.25">
      <c r="A2210" s="24" t="s">
        <v>281</v>
      </c>
      <c r="B2210" s="24" t="s">
        <v>58</v>
      </c>
      <c r="C2210" s="24" t="s">
        <v>5</v>
      </c>
      <c r="D2210" s="24">
        <v>0</v>
      </c>
      <c r="E2210" s="24" t="s">
        <v>795</v>
      </c>
      <c r="F2210" s="24"/>
      <c r="G2210" s="24"/>
    </row>
    <row r="2211" spans="1:7" x14ac:dyDescent="0.25">
      <c r="A2211" s="24" t="s">
        <v>282</v>
      </c>
      <c r="B2211" s="24" t="s">
        <v>23</v>
      </c>
      <c r="C2211" s="24" t="s">
        <v>5</v>
      </c>
      <c r="D2211" s="24">
        <v>0</v>
      </c>
      <c r="E2211" s="24" t="s">
        <v>796</v>
      </c>
      <c r="F2211" s="24" t="s">
        <v>915</v>
      </c>
      <c r="G2211" s="24">
        <v>173682</v>
      </c>
    </row>
    <row r="2212" spans="1:7" x14ac:dyDescent="0.25">
      <c r="A2212" s="24" t="s">
        <v>282</v>
      </c>
      <c r="B2212" s="24" t="s">
        <v>26</v>
      </c>
      <c r="C2212" s="24" t="s">
        <v>5</v>
      </c>
      <c r="D2212" s="24">
        <v>1</v>
      </c>
      <c r="E2212" s="24" t="s">
        <v>799</v>
      </c>
      <c r="F2212" s="24" t="s">
        <v>915</v>
      </c>
      <c r="G2212" s="24">
        <v>173682</v>
      </c>
    </row>
    <row r="2213" spans="1:7" x14ac:dyDescent="0.25">
      <c r="A2213" s="24" t="s">
        <v>282</v>
      </c>
      <c r="B2213" s="24" t="s">
        <v>27</v>
      </c>
      <c r="C2213" s="24" t="s">
        <v>5</v>
      </c>
      <c r="D2213" s="24">
        <v>0.74</v>
      </c>
      <c r="E2213" s="24" t="s">
        <v>799</v>
      </c>
      <c r="F2213" s="24" t="s">
        <v>915</v>
      </c>
      <c r="G2213" s="24">
        <v>173682</v>
      </c>
    </row>
    <row r="2214" spans="1:7" x14ac:dyDescent="0.25">
      <c r="A2214" s="24" t="s">
        <v>282</v>
      </c>
      <c r="B2214" s="24" t="s">
        <v>28</v>
      </c>
      <c r="C2214" s="24" t="s">
        <v>5</v>
      </c>
      <c r="D2214" s="24">
        <v>0.32</v>
      </c>
      <c r="E2214" s="24" t="s">
        <v>799</v>
      </c>
      <c r="F2214" s="24" t="s">
        <v>915</v>
      </c>
      <c r="G2214" s="24">
        <v>173682</v>
      </c>
    </row>
    <row r="2215" spans="1:7" x14ac:dyDescent="0.25">
      <c r="A2215" s="24" t="s">
        <v>282</v>
      </c>
      <c r="B2215" s="24" t="s">
        <v>30</v>
      </c>
      <c r="C2215" s="24" t="s">
        <v>31</v>
      </c>
      <c r="D2215" s="24">
        <v>50</v>
      </c>
      <c r="E2215" s="24" t="s">
        <v>801</v>
      </c>
      <c r="F2215" s="24" t="s">
        <v>915</v>
      </c>
      <c r="G2215" s="24">
        <v>173682</v>
      </c>
    </row>
    <row r="2216" spans="1:7" x14ac:dyDescent="0.25">
      <c r="A2216" s="24" t="s">
        <v>282</v>
      </c>
      <c r="B2216" s="24" t="s">
        <v>32</v>
      </c>
      <c r="C2216" s="24" t="s">
        <v>33</v>
      </c>
      <c r="D2216" s="24">
        <v>34.1</v>
      </c>
      <c r="E2216" s="24" t="s">
        <v>796</v>
      </c>
      <c r="F2216" s="24" t="s">
        <v>915</v>
      </c>
      <c r="G2216" s="24">
        <v>173682</v>
      </c>
    </row>
    <row r="2217" spans="1:7" x14ac:dyDescent="0.25">
      <c r="A2217" s="24" t="s">
        <v>282</v>
      </c>
      <c r="B2217" s="24" t="s">
        <v>34</v>
      </c>
      <c r="C2217" s="24" t="s">
        <v>31</v>
      </c>
      <c r="D2217" s="24">
        <v>0</v>
      </c>
      <c r="E2217" s="24" t="s">
        <v>796</v>
      </c>
      <c r="F2217" s="24" t="s">
        <v>915</v>
      </c>
      <c r="G2217" s="24">
        <v>173682</v>
      </c>
    </row>
    <row r="2218" spans="1:7" x14ac:dyDescent="0.25">
      <c r="A2218" s="24" t="s">
        <v>282</v>
      </c>
      <c r="B2218" s="24" t="s">
        <v>35</v>
      </c>
      <c r="C2218" s="24" t="s">
        <v>36</v>
      </c>
      <c r="D2218" s="24">
        <v>9.4</v>
      </c>
      <c r="E2218" s="24" t="s">
        <v>796</v>
      </c>
      <c r="F2218" s="24" t="s">
        <v>915</v>
      </c>
      <c r="G2218" s="24">
        <v>173682</v>
      </c>
    </row>
    <row r="2219" spans="1:7" x14ac:dyDescent="0.25">
      <c r="A2219" s="24" t="s">
        <v>282</v>
      </c>
      <c r="B2219" s="24" t="s">
        <v>37</v>
      </c>
      <c r="C2219" s="24" t="s">
        <v>38</v>
      </c>
      <c r="D2219" s="24">
        <v>0.2</v>
      </c>
      <c r="E2219" s="24" t="s">
        <v>796</v>
      </c>
      <c r="F2219" s="24" t="s">
        <v>915</v>
      </c>
      <c r="G2219" s="24">
        <v>173682</v>
      </c>
    </row>
    <row r="2220" spans="1:7" x14ac:dyDescent="0.25">
      <c r="A2220" s="24" t="s">
        <v>282</v>
      </c>
      <c r="B2220" s="24" t="s">
        <v>39</v>
      </c>
      <c r="C2220" s="24" t="s">
        <v>36</v>
      </c>
      <c r="D2220" s="24">
        <v>0.1</v>
      </c>
      <c r="E2220" s="24" t="s">
        <v>796</v>
      </c>
      <c r="F2220" s="24" t="s">
        <v>915</v>
      </c>
      <c r="G2220" s="24">
        <v>173682</v>
      </c>
    </row>
    <row r="2221" spans="1:7" x14ac:dyDescent="0.25">
      <c r="A2221" s="24" t="s">
        <v>282</v>
      </c>
      <c r="B2221" s="24" t="s">
        <v>40</v>
      </c>
      <c r="C2221" s="24" t="s">
        <v>31</v>
      </c>
      <c r="D2221" s="24">
        <v>0.5</v>
      </c>
      <c r="E2221" s="24" t="s">
        <v>796</v>
      </c>
      <c r="F2221" s="24" t="s">
        <v>915</v>
      </c>
      <c r="G2221" s="24">
        <v>173682</v>
      </c>
    </row>
    <row r="2222" spans="1:7" x14ac:dyDescent="0.25">
      <c r="A2222" s="24" t="s">
        <v>282</v>
      </c>
      <c r="B2222" s="24" t="s">
        <v>41</v>
      </c>
      <c r="C2222" s="24" t="s">
        <v>31</v>
      </c>
      <c r="D2222" s="24">
        <v>0.1</v>
      </c>
      <c r="E2222" s="24" t="s">
        <v>796</v>
      </c>
      <c r="F2222" s="24" t="s">
        <v>915</v>
      </c>
      <c r="G2222" s="24">
        <v>173682</v>
      </c>
    </row>
    <row r="2223" spans="1:7" x14ac:dyDescent="0.25">
      <c r="A2223" s="24" t="s">
        <v>282</v>
      </c>
      <c r="B2223" s="24" t="s">
        <v>42</v>
      </c>
      <c r="C2223" s="24" t="s">
        <v>43</v>
      </c>
      <c r="D2223" s="24">
        <v>2.6</v>
      </c>
      <c r="E2223" s="24" t="s">
        <v>796</v>
      </c>
      <c r="F2223" s="24" t="s">
        <v>915</v>
      </c>
      <c r="G2223" s="24">
        <v>173682</v>
      </c>
    </row>
    <row r="2224" spans="1:7" x14ac:dyDescent="0.25">
      <c r="A2224" s="24" t="s">
        <v>282</v>
      </c>
      <c r="B2224" s="24" t="s">
        <v>44</v>
      </c>
      <c r="C2224" s="24" t="s">
        <v>31</v>
      </c>
      <c r="D2224" s="24">
        <v>0.2</v>
      </c>
      <c r="E2224" s="24" t="s">
        <v>796</v>
      </c>
      <c r="F2224" s="24" t="s">
        <v>915</v>
      </c>
      <c r="G2224" s="24">
        <v>173682</v>
      </c>
    </row>
    <row r="2225" spans="1:7" x14ac:dyDescent="0.25">
      <c r="A2225" s="24" t="s">
        <v>282</v>
      </c>
      <c r="B2225" s="24" t="s">
        <v>45</v>
      </c>
      <c r="C2225" s="24" t="s">
        <v>31</v>
      </c>
      <c r="D2225" s="24">
        <v>0.6</v>
      </c>
      <c r="E2225" s="24" t="s">
        <v>796</v>
      </c>
      <c r="F2225" s="24" t="s">
        <v>915</v>
      </c>
      <c r="G2225" s="24">
        <v>173682</v>
      </c>
    </row>
    <row r="2226" spans="1:7" x14ac:dyDescent="0.25">
      <c r="A2226" s="24" t="s">
        <v>282</v>
      </c>
      <c r="B2226" s="24" t="s">
        <v>46</v>
      </c>
      <c r="C2226" s="24" t="s">
        <v>36</v>
      </c>
      <c r="D2226" s="24">
        <v>1.1000000000000001</v>
      </c>
      <c r="E2226" s="24" t="s">
        <v>796</v>
      </c>
      <c r="F2226" s="24" t="s">
        <v>915</v>
      </c>
      <c r="G2226" s="24">
        <v>173682</v>
      </c>
    </row>
    <row r="2227" spans="1:7" x14ac:dyDescent="0.25">
      <c r="A2227" s="24" t="s">
        <v>282</v>
      </c>
      <c r="B2227" s="24" t="s">
        <v>47</v>
      </c>
      <c r="C2227" s="24" t="s">
        <v>48</v>
      </c>
      <c r="D2227" s="24">
        <v>12.8</v>
      </c>
      <c r="E2227" s="24" t="s">
        <v>796</v>
      </c>
      <c r="F2227" s="24" t="s">
        <v>915</v>
      </c>
      <c r="G2227" s="24">
        <v>173682</v>
      </c>
    </row>
    <row r="2228" spans="1:7" x14ac:dyDescent="0.25">
      <c r="A2228" s="24" t="s">
        <v>282</v>
      </c>
      <c r="B2228" s="24" t="s">
        <v>53</v>
      </c>
      <c r="C2228" s="24" t="s">
        <v>31</v>
      </c>
      <c r="D2228" s="24">
        <v>23</v>
      </c>
      <c r="E2228" s="24" t="s">
        <v>796</v>
      </c>
      <c r="F2228" s="24" t="s">
        <v>915</v>
      </c>
      <c r="G2228" s="24">
        <v>173682</v>
      </c>
    </row>
    <row r="2229" spans="1:7" x14ac:dyDescent="0.25">
      <c r="A2229" s="24" t="s">
        <v>282</v>
      </c>
      <c r="B2229" s="24" t="s">
        <v>55</v>
      </c>
      <c r="C2229" s="24" t="s">
        <v>31</v>
      </c>
      <c r="D2229" s="24">
        <v>0.6</v>
      </c>
      <c r="E2229" s="24" t="s">
        <v>796</v>
      </c>
      <c r="F2229" s="24" t="s">
        <v>915</v>
      </c>
      <c r="G2229" s="24">
        <v>173682</v>
      </c>
    </row>
    <row r="2230" spans="1:7" x14ac:dyDescent="0.25">
      <c r="A2230" s="24" t="s">
        <v>282</v>
      </c>
      <c r="B2230" s="24" t="s">
        <v>56</v>
      </c>
      <c r="C2230" s="24" t="s">
        <v>31</v>
      </c>
      <c r="D2230" s="24">
        <v>0</v>
      </c>
      <c r="E2230" s="24" t="s">
        <v>796</v>
      </c>
      <c r="F2230" s="24" t="s">
        <v>915</v>
      </c>
      <c r="G2230" s="24">
        <v>173682</v>
      </c>
    </row>
    <row r="2231" spans="1:7" x14ac:dyDescent="0.25">
      <c r="A2231" s="24" t="s">
        <v>282</v>
      </c>
      <c r="B2231" s="24" t="s">
        <v>57</v>
      </c>
      <c r="C2231" s="24" t="s">
        <v>36</v>
      </c>
      <c r="D2231" s="24">
        <v>31.1</v>
      </c>
      <c r="E2231" s="24" t="s">
        <v>796</v>
      </c>
      <c r="F2231" s="24" t="s">
        <v>915</v>
      </c>
      <c r="G2231" s="24">
        <v>173682</v>
      </c>
    </row>
    <row r="2232" spans="1:7" x14ac:dyDescent="0.25">
      <c r="A2232" s="24" t="s">
        <v>282</v>
      </c>
      <c r="B2232" s="24" t="s">
        <v>58</v>
      </c>
      <c r="C2232" s="24" t="s">
        <v>5</v>
      </c>
      <c r="D2232" s="24">
        <v>0</v>
      </c>
      <c r="E2232" s="24" t="s">
        <v>795</v>
      </c>
      <c r="F2232" s="24"/>
      <c r="G2232" s="24"/>
    </row>
    <row r="2233" spans="1:7" x14ac:dyDescent="0.25">
      <c r="A2233" s="24" t="s">
        <v>283</v>
      </c>
      <c r="B2233" s="24" t="s">
        <v>23</v>
      </c>
      <c r="C2233" s="24" t="s">
        <v>5</v>
      </c>
      <c r="D2233" s="24">
        <v>0</v>
      </c>
      <c r="E2233" s="24" t="s">
        <v>796</v>
      </c>
      <c r="F2233" s="24" t="s">
        <v>907</v>
      </c>
      <c r="G2233" s="24">
        <v>174192</v>
      </c>
    </row>
    <row r="2234" spans="1:7" x14ac:dyDescent="0.25">
      <c r="A2234" s="24" t="s">
        <v>283</v>
      </c>
      <c r="B2234" s="24" t="s">
        <v>26</v>
      </c>
      <c r="C2234" s="24" t="s">
        <v>5</v>
      </c>
      <c r="D2234" s="24">
        <v>0.38</v>
      </c>
      <c r="E2234" s="24" t="s">
        <v>799</v>
      </c>
      <c r="F2234" s="24" t="s">
        <v>907</v>
      </c>
      <c r="G2234" s="24">
        <v>174192</v>
      </c>
    </row>
    <row r="2235" spans="1:7" x14ac:dyDescent="0.25">
      <c r="A2235" s="24" t="s">
        <v>283</v>
      </c>
      <c r="B2235" s="24" t="s">
        <v>27</v>
      </c>
      <c r="C2235" s="24" t="s">
        <v>5</v>
      </c>
      <c r="D2235" s="24">
        <v>0.4</v>
      </c>
      <c r="E2235" s="24" t="s">
        <v>799</v>
      </c>
      <c r="F2235" s="24" t="s">
        <v>907</v>
      </c>
      <c r="G2235" s="24">
        <v>174192</v>
      </c>
    </row>
    <row r="2236" spans="1:7" x14ac:dyDescent="0.25">
      <c r="A2236" s="24" t="s">
        <v>283</v>
      </c>
      <c r="B2236" s="24" t="s">
        <v>28</v>
      </c>
      <c r="C2236" s="24" t="s">
        <v>5</v>
      </c>
      <c r="D2236" s="24">
        <v>0.16</v>
      </c>
      <c r="E2236" s="24" t="s">
        <v>799</v>
      </c>
      <c r="F2236" s="24" t="s">
        <v>907</v>
      </c>
      <c r="G2236" s="24">
        <v>174192</v>
      </c>
    </row>
    <row r="2237" spans="1:7" x14ac:dyDescent="0.25">
      <c r="A2237" s="24" t="s">
        <v>283</v>
      </c>
      <c r="B2237" s="24" t="s">
        <v>30</v>
      </c>
      <c r="C2237" s="24" t="s">
        <v>31</v>
      </c>
      <c r="D2237" s="24">
        <v>61</v>
      </c>
      <c r="E2237" s="24" t="s">
        <v>801</v>
      </c>
      <c r="F2237" s="24" t="s">
        <v>907</v>
      </c>
      <c r="G2237" s="24">
        <v>174192</v>
      </c>
    </row>
    <row r="2238" spans="1:7" x14ac:dyDescent="0.25">
      <c r="A2238" s="24" t="s">
        <v>283</v>
      </c>
      <c r="B2238" s="24" t="s">
        <v>32</v>
      </c>
      <c r="C2238" s="24" t="s">
        <v>33</v>
      </c>
      <c r="D2238" s="24">
        <v>11.9</v>
      </c>
      <c r="E2238" s="24" t="s">
        <v>796</v>
      </c>
      <c r="F2238" s="24" t="s">
        <v>907</v>
      </c>
      <c r="G2238" s="24">
        <v>174192</v>
      </c>
    </row>
    <row r="2239" spans="1:7" x14ac:dyDescent="0.25">
      <c r="A2239" s="24" t="s">
        <v>283</v>
      </c>
      <c r="B2239" s="24" t="s">
        <v>34</v>
      </c>
      <c r="C2239" s="24" t="s">
        <v>31</v>
      </c>
      <c r="D2239" s="24">
        <v>0</v>
      </c>
      <c r="E2239" s="24" t="s">
        <v>796</v>
      </c>
      <c r="F2239" s="24" t="s">
        <v>907</v>
      </c>
      <c r="G2239" s="24">
        <v>174192</v>
      </c>
    </row>
    <row r="2240" spans="1:7" x14ac:dyDescent="0.25">
      <c r="A2240" s="24" t="s">
        <v>283</v>
      </c>
      <c r="B2240" s="24" t="s">
        <v>35</v>
      </c>
      <c r="C2240" s="24" t="s">
        <v>36</v>
      </c>
      <c r="D2240" s="24">
        <v>0.7</v>
      </c>
      <c r="E2240" s="24" t="s">
        <v>796</v>
      </c>
      <c r="F2240" s="24" t="s">
        <v>907</v>
      </c>
      <c r="G2240" s="24">
        <v>174192</v>
      </c>
    </row>
    <row r="2241" spans="1:7" x14ac:dyDescent="0.25">
      <c r="A2241" s="24" t="s">
        <v>283</v>
      </c>
      <c r="B2241" s="24" t="s">
        <v>37</v>
      </c>
      <c r="C2241" s="24" t="s">
        <v>38</v>
      </c>
      <c r="D2241" s="24">
        <v>1.3</v>
      </c>
      <c r="E2241" s="24" t="s">
        <v>796</v>
      </c>
      <c r="F2241" s="24" t="s">
        <v>907</v>
      </c>
      <c r="G2241" s="24">
        <v>174192</v>
      </c>
    </row>
    <row r="2242" spans="1:7" x14ac:dyDescent="0.25">
      <c r="A2242" s="24" t="s">
        <v>283</v>
      </c>
      <c r="B2242" s="24" t="s">
        <v>39</v>
      </c>
      <c r="C2242" s="24" t="s">
        <v>36</v>
      </c>
      <c r="D2242" s="24">
        <v>0.1</v>
      </c>
      <c r="E2242" s="24" t="s">
        <v>796</v>
      </c>
      <c r="F2242" s="24" t="s">
        <v>907</v>
      </c>
      <c r="G2242" s="24">
        <v>174192</v>
      </c>
    </row>
    <row r="2243" spans="1:7" x14ac:dyDescent="0.25">
      <c r="A2243" s="24" t="s">
        <v>283</v>
      </c>
      <c r="B2243" s="24" t="s">
        <v>40</v>
      </c>
      <c r="C2243" s="24" t="s">
        <v>31</v>
      </c>
      <c r="D2243" s="24">
        <v>0.1</v>
      </c>
      <c r="E2243" s="24" t="s">
        <v>796</v>
      </c>
      <c r="F2243" s="24" t="s">
        <v>907</v>
      </c>
      <c r="G2243" s="24">
        <v>174192</v>
      </c>
    </row>
    <row r="2244" spans="1:7" x14ac:dyDescent="0.25">
      <c r="A2244" s="24" t="s">
        <v>283</v>
      </c>
      <c r="B2244" s="24" t="s">
        <v>41</v>
      </c>
      <c r="C2244" s="24" t="s">
        <v>31</v>
      </c>
      <c r="D2244" s="24">
        <v>0.1</v>
      </c>
      <c r="E2244" s="24" t="s">
        <v>796</v>
      </c>
      <c r="F2244" s="24" t="s">
        <v>907</v>
      </c>
      <c r="G2244" s="24">
        <v>174192</v>
      </c>
    </row>
    <row r="2245" spans="1:7" x14ac:dyDescent="0.25">
      <c r="A2245" s="24" t="s">
        <v>283</v>
      </c>
      <c r="B2245" s="24" t="s">
        <v>42</v>
      </c>
      <c r="C2245" s="24" t="s">
        <v>43</v>
      </c>
      <c r="D2245" s="24">
        <v>4.2</v>
      </c>
      <c r="E2245" s="24" t="s">
        <v>796</v>
      </c>
      <c r="F2245" s="24" t="s">
        <v>907</v>
      </c>
      <c r="G2245" s="24">
        <v>174192</v>
      </c>
    </row>
    <row r="2246" spans="1:7" x14ac:dyDescent="0.25">
      <c r="A2246" s="24" t="s">
        <v>283</v>
      </c>
      <c r="B2246" s="24" t="s">
        <v>44</v>
      </c>
      <c r="C2246" s="24" t="s">
        <v>31</v>
      </c>
      <c r="D2246" s="24">
        <v>0.3</v>
      </c>
      <c r="E2246" s="24" t="s">
        <v>796</v>
      </c>
      <c r="F2246" s="24" t="s">
        <v>907</v>
      </c>
      <c r="G2246" s="24">
        <v>174192</v>
      </c>
    </row>
    <row r="2247" spans="1:7" x14ac:dyDescent="0.25">
      <c r="A2247" s="24" t="s">
        <v>283</v>
      </c>
      <c r="B2247" s="24" t="s">
        <v>45</v>
      </c>
      <c r="C2247" s="24" t="s">
        <v>31</v>
      </c>
      <c r="D2247" s="24">
        <v>0.7</v>
      </c>
      <c r="E2247" s="24" t="s">
        <v>796</v>
      </c>
      <c r="F2247" s="24" t="s">
        <v>907</v>
      </c>
      <c r="G2247" s="24">
        <v>174192</v>
      </c>
    </row>
    <row r="2248" spans="1:7" x14ac:dyDescent="0.25">
      <c r="A2248" s="24" t="s">
        <v>283</v>
      </c>
      <c r="B2248" s="24" t="s">
        <v>46</v>
      </c>
      <c r="C2248" s="24" t="s">
        <v>36</v>
      </c>
      <c r="D2248" s="24">
        <v>2.5</v>
      </c>
      <c r="E2248" s="24" t="s">
        <v>796</v>
      </c>
      <c r="F2248" s="24" t="s">
        <v>907</v>
      </c>
      <c r="G2248" s="24">
        <v>174192</v>
      </c>
    </row>
    <row r="2249" spans="1:7" x14ac:dyDescent="0.25">
      <c r="A2249" s="24" t="s">
        <v>283</v>
      </c>
      <c r="B2249" s="24" t="s">
        <v>47</v>
      </c>
      <c r="C2249" s="24" t="s">
        <v>48</v>
      </c>
      <c r="D2249" s="24">
        <v>14.9</v>
      </c>
      <c r="E2249" s="24" t="s">
        <v>796</v>
      </c>
      <c r="F2249" s="24" t="s">
        <v>907</v>
      </c>
      <c r="G2249" s="24">
        <v>174192</v>
      </c>
    </row>
    <row r="2250" spans="1:7" x14ac:dyDescent="0.25">
      <c r="A2250" s="24" t="s">
        <v>283</v>
      </c>
      <c r="B2250" s="24" t="s">
        <v>49</v>
      </c>
      <c r="C2250" s="24" t="s">
        <v>31</v>
      </c>
      <c r="D2250" s="24">
        <v>55.6</v>
      </c>
      <c r="E2250" s="24" t="s">
        <v>796</v>
      </c>
      <c r="F2250" s="24" t="s">
        <v>907</v>
      </c>
      <c r="G2250" s="24">
        <v>174192</v>
      </c>
    </row>
    <row r="2251" spans="1:7" x14ac:dyDescent="0.25">
      <c r="A2251" s="24" t="s">
        <v>283</v>
      </c>
      <c r="B2251" s="24" t="s">
        <v>50</v>
      </c>
      <c r="C2251" s="24" t="s">
        <v>31</v>
      </c>
      <c r="D2251" s="24">
        <v>342.3</v>
      </c>
      <c r="E2251" s="24" t="s">
        <v>796</v>
      </c>
      <c r="F2251" s="24" t="s">
        <v>907</v>
      </c>
      <c r="G2251" s="24">
        <v>174192</v>
      </c>
    </row>
    <row r="2252" spans="1:7" x14ac:dyDescent="0.25">
      <c r="A2252" s="24" t="s">
        <v>283</v>
      </c>
      <c r="B2252" s="24" t="s">
        <v>53</v>
      </c>
      <c r="C2252" s="24" t="s">
        <v>31</v>
      </c>
      <c r="D2252" s="24">
        <v>39.700000000000003</v>
      </c>
      <c r="E2252" s="24" t="s">
        <v>796</v>
      </c>
      <c r="F2252" s="24" t="s">
        <v>907</v>
      </c>
      <c r="G2252" s="24">
        <v>174192</v>
      </c>
    </row>
    <row r="2253" spans="1:7" x14ac:dyDescent="0.25">
      <c r="A2253" s="24" t="s">
        <v>283</v>
      </c>
      <c r="B2253" s="24" t="s">
        <v>55</v>
      </c>
      <c r="C2253" s="24" t="s">
        <v>31</v>
      </c>
      <c r="D2253" s="24">
        <v>0.4</v>
      </c>
      <c r="E2253" s="24" t="s">
        <v>796</v>
      </c>
      <c r="F2253" s="24" t="s">
        <v>907</v>
      </c>
      <c r="G2253" s="24">
        <v>174192</v>
      </c>
    </row>
    <row r="2254" spans="1:7" x14ac:dyDescent="0.25">
      <c r="A2254" s="24" t="s">
        <v>283</v>
      </c>
      <c r="B2254" s="24" t="s">
        <v>56</v>
      </c>
      <c r="C2254" s="24" t="s">
        <v>31</v>
      </c>
      <c r="D2254" s="24">
        <v>0</v>
      </c>
      <c r="E2254" s="24" t="s">
        <v>796</v>
      </c>
      <c r="F2254" s="24" t="s">
        <v>907</v>
      </c>
      <c r="G2254" s="24">
        <v>174192</v>
      </c>
    </row>
    <row r="2255" spans="1:7" x14ac:dyDescent="0.25">
      <c r="A2255" s="24" t="s">
        <v>283</v>
      </c>
      <c r="B2255" s="24" t="s">
        <v>57</v>
      </c>
      <c r="C2255" s="24" t="s">
        <v>36</v>
      </c>
      <c r="D2255" s="24">
        <v>36.200000000000003</v>
      </c>
      <c r="E2255" s="24" t="s">
        <v>796</v>
      </c>
      <c r="F2255" s="24" t="s">
        <v>907</v>
      </c>
      <c r="G2255" s="24">
        <v>174192</v>
      </c>
    </row>
    <row r="2256" spans="1:7" x14ac:dyDescent="0.25">
      <c r="A2256" s="24" t="s">
        <v>283</v>
      </c>
      <c r="B2256" s="24" t="s">
        <v>58</v>
      </c>
      <c r="C2256" s="24" t="s">
        <v>5</v>
      </c>
      <c r="D2256" s="24">
        <v>0</v>
      </c>
      <c r="E2256" s="24" t="s">
        <v>795</v>
      </c>
      <c r="F2256" s="24"/>
      <c r="G2256" s="24"/>
    </row>
    <row r="2257" spans="1:7" x14ac:dyDescent="0.25">
      <c r="A2257" s="24" t="s">
        <v>284</v>
      </c>
      <c r="B2257" s="24" t="s">
        <v>32</v>
      </c>
      <c r="C2257" s="24" t="s">
        <v>33</v>
      </c>
      <c r="D2257" s="24">
        <v>83.3</v>
      </c>
      <c r="E2257" s="24" t="s">
        <v>796</v>
      </c>
      <c r="F2257" s="24" t="s">
        <v>916</v>
      </c>
      <c r="G2257" s="24">
        <v>173715</v>
      </c>
    </row>
    <row r="2258" spans="1:7" x14ac:dyDescent="0.25">
      <c r="A2258" s="24" t="s">
        <v>284</v>
      </c>
      <c r="B2258" s="24" t="s">
        <v>34</v>
      </c>
      <c r="C2258" s="24" t="s">
        <v>31</v>
      </c>
      <c r="D2258" s="24">
        <v>1.6</v>
      </c>
      <c r="E2258" s="24" t="s">
        <v>796</v>
      </c>
      <c r="F2258" s="24" t="s">
        <v>916</v>
      </c>
      <c r="G2258" s="24">
        <v>173715</v>
      </c>
    </row>
    <row r="2259" spans="1:7" x14ac:dyDescent="0.25">
      <c r="A2259" s="24" t="s">
        <v>284</v>
      </c>
      <c r="B2259" s="24" t="s">
        <v>40</v>
      </c>
      <c r="C2259" s="24" t="s">
        <v>31</v>
      </c>
      <c r="D2259" s="24">
        <v>0.1</v>
      </c>
      <c r="E2259" s="24" t="s">
        <v>796</v>
      </c>
      <c r="F2259" s="24" t="s">
        <v>916</v>
      </c>
      <c r="G2259" s="24">
        <v>173715</v>
      </c>
    </row>
    <row r="2260" spans="1:7" x14ac:dyDescent="0.25">
      <c r="A2260" s="24" t="s">
        <v>284</v>
      </c>
      <c r="B2260" s="24" t="s">
        <v>41</v>
      </c>
      <c r="C2260" s="24" t="s">
        <v>31</v>
      </c>
      <c r="D2260" s="24">
        <v>0.2</v>
      </c>
      <c r="E2260" s="24" t="s">
        <v>796</v>
      </c>
      <c r="F2260" s="24" t="s">
        <v>916</v>
      </c>
      <c r="G2260" s="24">
        <v>173715</v>
      </c>
    </row>
    <row r="2261" spans="1:7" x14ac:dyDescent="0.25">
      <c r="A2261" s="24" t="s">
        <v>284</v>
      </c>
      <c r="B2261" s="24" t="s">
        <v>42</v>
      </c>
      <c r="C2261" s="24" t="s">
        <v>43</v>
      </c>
      <c r="D2261" s="24">
        <v>10.1</v>
      </c>
      <c r="E2261" s="24" t="s">
        <v>796</v>
      </c>
      <c r="F2261" s="24" t="s">
        <v>916</v>
      </c>
      <c r="G2261" s="24">
        <v>173715</v>
      </c>
    </row>
    <row r="2262" spans="1:7" x14ac:dyDescent="0.25">
      <c r="A2262" s="24" t="s">
        <v>284</v>
      </c>
      <c r="B2262" s="24" t="s">
        <v>44</v>
      </c>
      <c r="C2262" s="24" t="s">
        <v>31</v>
      </c>
      <c r="D2262" s="24">
        <v>1</v>
      </c>
      <c r="E2262" s="24" t="s">
        <v>796</v>
      </c>
      <c r="F2262" s="24" t="s">
        <v>916</v>
      </c>
      <c r="G2262" s="24">
        <v>173715</v>
      </c>
    </row>
    <row r="2263" spans="1:7" x14ac:dyDescent="0.25">
      <c r="A2263" s="24" t="s">
        <v>284</v>
      </c>
      <c r="B2263" s="24" t="s">
        <v>45</v>
      </c>
      <c r="C2263" s="24" t="s">
        <v>31</v>
      </c>
      <c r="D2263" s="24">
        <v>1.7</v>
      </c>
      <c r="E2263" s="24" t="s">
        <v>796</v>
      </c>
      <c r="F2263" s="24" t="s">
        <v>916</v>
      </c>
      <c r="G2263" s="24">
        <v>173715</v>
      </c>
    </row>
    <row r="2264" spans="1:7" x14ac:dyDescent="0.25">
      <c r="A2264" s="24" t="s">
        <v>284</v>
      </c>
      <c r="B2264" s="24" t="s">
        <v>46</v>
      </c>
      <c r="C2264" s="24" t="s">
        <v>36</v>
      </c>
      <c r="D2264" s="24">
        <v>4</v>
      </c>
      <c r="E2264" s="24" t="s">
        <v>796</v>
      </c>
      <c r="F2264" s="24" t="s">
        <v>916</v>
      </c>
      <c r="G2264" s="24">
        <v>173715</v>
      </c>
    </row>
    <row r="2265" spans="1:7" x14ac:dyDescent="0.25">
      <c r="A2265" s="24" t="s">
        <v>284</v>
      </c>
      <c r="B2265" s="24" t="s">
        <v>47</v>
      </c>
      <c r="C2265" s="24" t="s">
        <v>48</v>
      </c>
      <c r="D2265" s="24">
        <v>19.3</v>
      </c>
      <c r="E2265" s="24" t="s">
        <v>796</v>
      </c>
      <c r="F2265" s="24" t="s">
        <v>916</v>
      </c>
      <c r="G2265" s="24">
        <v>173715</v>
      </c>
    </row>
    <row r="2266" spans="1:7" x14ac:dyDescent="0.25">
      <c r="A2266" s="24" t="s">
        <v>284</v>
      </c>
      <c r="B2266" s="24" t="s">
        <v>50</v>
      </c>
      <c r="C2266" s="24" t="s">
        <v>31</v>
      </c>
      <c r="D2266" s="24">
        <v>669</v>
      </c>
      <c r="E2266" s="24" t="s">
        <v>796</v>
      </c>
      <c r="F2266" s="24" t="s">
        <v>916</v>
      </c>
      <c r="G2266" s="24">
        <v>173715</v>
      </c>
    </row>
    <row r="2267" spans="1:7" x14ac:dyDescent="0.25">
      <c r="A2267" s="24" t="s">
        <v>284</v>
      </c>
      <c r="B2267" s="24" t="s">
        <v>51</v>
      </c>
      <c r="C2267" s="24" t="s">
        <v>31</v>
      </c>
      <c r="D2267" s="24">
        <v>17.8</v>
      </c>
      <c r="E2267" s="24" t="s">
        <v>796</v>
      </c>
      <c r="F2267" s="24" t="s">
        <v>916</v>
      </c>
      <c r="G2267" s="24">
        <v>173715</v>
      </c>
    </row>
    <row r="2268" spans="1:7" x14ac:dyDescent="0.25">
      <c r="A2268" s="24" t="s">
        <v>284</v>
      </c>
      <c r="B2268" s="24" t="s">
        <v>52</v>
      </c>
      <c r="C2268" s="24" t="s">
        <v>31</v>
      </c>
      <c r="D2268" s="24">
        <v>434.1</v>
      </c>
      <c r="E2268" s="24" t="s">
        <v>796</v>
      </c>
      <c r="F2268" s="24" t="s">
        <v>916</v>
      </c>
      <c r="G2268" s="24">
        <v>173715</v>
      </c>
    </row>
    <row r="2269" spans="1:7" x14ac:dyDescent="0.25">
      <c r="A2269" s="24" t="s">
        <v>284</v>
      </c>
      <c r="B2269" s="24" t="s">
        <v>53</v>
      </c>
      <c r="C2269" s="24" t="s">
        <v>31</v>
      </c>
      <c r="D2269" s="24">
        <v>46.1</v>
      </c>
      <c r="E2269" s="24" t="s">
        <v>796</v>
      </c>
      <c r="F2269" s="24" t="s">
        <v>916</v>
      </c>
      <c r="G2269" s="24">
        <v>173715</v>
      </c>
    </row>
    <row r="2270" spans="1:7" x14ac:dyDescent="0.25">
      <c r="A2270" s="24" t="s">
        <v>284</v>
      </c>
      <c r="B2270" s="24" t="s">
        <v>54</v>
      </c>
      <c r="C2270" s="24" t="s">
        <v>31</v>
      </c>
      <c r="D2270" s="24">
        <v>0.5</v>
      </c>
      <c r="E2270" s="24" t="s">
        <v>796</v>
      </c>
      <c r="F2270" s="24" t="s">
        <v>916</v>
      </c>
      <c r="G2270" s="24">
        <v>173715</v>
      </c>
    </row>
    <row r="2271" spans="1:7" x14ac:dyDescent="0.25">
      <c r="A2271" s="24" t="s">
        <v>284</v>
      </c>
      <c r="B2271" s="24" t="s">
        <v>55</v>
      </c>
      <c r="C2271" s="24" t="s">
        <v>31</v>
      </c>
      <c r="D2271" s="24">
        <v>0.6</v>
      </c>
      <c r="E2271" s="24" t="s">
        <v>796</v>
      </c>
      <c r="F2271" s="24" t="s">
        <v>916</v>
      </c>
      <c r="G2271" s="24">
        <v>173715</v>
      </c>
    </row>
    <row r="2272" spans="1:7" x14ac:dyDescent="0.25">
      <c r="A2272" s="24" t="s">
        <v>284</v>
      </c>
      <c r="B2272" s="24" t="s">
        <v>56</v>
      </c>
      <c r="C2272" s="24" t="s">
        <v>31</v>
      </c>
      <c r="D2272" s="24">
        <v>0.1</v>
      </c>
      <c r="E2272" s="24" t="s">
        <v>796</v>
      </c>
      <c r="F2272" s="24" t="s">
        <v>916</v>
      </c>
      <c r="G2272" s="24">
        <v>173715</v>
      </c>
    </row>
    <row r="2273" spans="1:7" x14ac:dyDescent="0.25">
      <c r="A2273" s="24" t="s">
        <v>284</v>
      </c>
      <c r="B2273" s="24" t="s">
        <v>57</v>
      </c>
      <c r="C2273" s="24" t="s">
        <v>36</v>
      </c>
      <c r="D2273" s="24">
        <v>18.7</v>
      </c>
      <c r="E2273" s="24" t="s">
        <v>796</v>
      </c>
      <c r="F2273" s="24" t="s">
        <v>916</v>
      </c>
      <c r="G2273" s="24">
        <v>173715</v>
      </c>
    </row>
    <row r="2274" spans="1:7" x14ac:dyDescent="0.25">
      <c r="A2274" s="24" t="s">
        <v>284</v>
      </c>
      <c r="B2274" s="24" t="s">
        <v>58</v>
      </c>
      <c r="C2274" s="24" t="s">
        <v>5</v>
      </c>
      <c r="D2274" s="24">
        <v>0</v>
      </c>
      <c r="E2274" s="24" t="s">
        <v>795</v>
      </c>
      <c r="F2274" s="24"/>
      <c r="G2274" s="24"/>
    </row>
    <row r="2275" spans="1:7" x14ac:dyDescent="0.25">
      <c r="A2275" s="24" t="s">
        <v>285</v>
      </c>
      <c r="B2275" s="24" t="s">
        <v>58</v>
      </c>
      <c r="C2275" s="24" t="s">
        <v>5</v>
      </c>
      <c r="D2275" s="24">
        <v>0</v>
      </c>
      <c r="E2275" s="24" t="s">
        <v>795</v>
      </c>
      <c r="F2275" s="24"/>
      <c r="G2275" s="24"/>
    </row>
    <row r="2276" spans="1:7" x14ac:dyDescent="0.25">
      <c r="A2276" s="24" t="s">
        <v>286</v>
      </c>
      <c r="B2276" s="24" t="s">
        <v>32</v>
      </c>
      <c r="C2276" s="24" t="s">
        <v>33</v>
      </c>
      <c r="D2276" s="24">
        <v>51</v>
      </c>
      <c r="E2276" s="24" t="s">
        <v>796</v>
      </c>
      <c r="F2276" s="24" t="s">
        <v>917</v>
      </c>
      <c r="G2276" s="24">
        <v>175167</v>
      </c>
    </row>
    <row r="2277" spans="1:7" x14ac:dyDescent="0.25">
      <c r="A2277" s="24" t="s">
        <v>286</v>
      </c>
      <c r="B2277" s="24" t="s">
        <v>34</v>
      </c>
      <c r="C2277" s="24" t="s">
        <v>31</v>
      </c>
      <c r="D2277" s="24">
        <v>3.4</v>
      </c>
      <c r="E2277" s="24" t="s">
        <v>796</v>
      </c>
      <c r="F2277" s="24" t="s">
        <v>917</v>
      </c>
      <c r="G2277" s="24">
        <v>175167</v>
      </c>
    </row>
    <row r="2278" spans="1:7" x14ac:dyDescent="0.25">
      <c r="A2278" s="24" t="s">
        <v>286</v>
      </c>
      <c r="B2278" s="24" t="s">
        <v>35</v>
      </c>
      <c r="C2278" s="24" t="s">
        <v>36</v>
      </c>
      <c r="D2278" s="24">
        <v>9.6999999999999993</v>
      </c>
      <c r="E2278" s="24" t="s">
        <v>796</v>
      </c>
      <c r="F2278" s="24" t="s">
        <v>917</v>
      </c>
      <c r="G2278" s="24">
        <v>175167</v>
      </c>
    </row>
    <row r="2279" spans="1:7" x14ac:dyDescent="0.25">
      <c r="A2279" s="24" t="s">
        <v>286</v>
      </c>
      <c r="B2279" s="24" t="s">
        <v>37</v>
      </c>
      <c r="C2279" s="24" t="s">
        <v>38</v>
      </c>
      <c r="D2279" s="24">
        <v>3.1</v>
      </c>
      <c r="E2279" s="24" t="s">
        <v>796</v>
      </c>
      <c r="F2279" s="24" t="s">
        <v>917</v>
      </c>
      <c r="G2279" s="24">
        <v>175167</v>
      </c>
    </row>
    <row r="2280" spans="1:7" x14ac:dyDescent="0.25">
      <c r="A2280" s="24" t="s">
        <v>286</v>
      </c>
      <c r="B2280" s="24" t="s">
        <v>39</v>
      </c>
      <c r="C2280" s="24" t="s">
        <v>36</v>
      </c>
      <c r="D2280" s="24">
        <v>0.4</v>
      </c>
      <c r="E2280" s="24" t="s">
        <v>796</v>
      </c>
      <c r="F2280" s="24" t="s">
        <v>917</v>
      </c>
      <c r="G2280" s="24">
        <v>175167</v>
      </c>
    </row>
    <row r="2281" spans="1:7" x14ac:dyDescent="0.25">
      <c r="A2281" s="24" t="s">
        <v>286</v>
      </c>
      <c r="B2281" s="24" t="s">
        <v>40</v>
      </c>
      <c r="C2281" s="24" t="s">
        <v>31</v>
      </c>
      <c r="D2281" s="24">
        <v>0.2</v>
      </c>
      <c r="E2281" s="24" t="s">
        <v>796</v>
      </c>
      <c r="F2281" s="24" t="s">
        <v>917</v>
      </c>
      <c r="G2281" s="24">
        <v>175167</v>
      </c>
    </row>
    <row r="2282" spans="1:7" x14ac:dyDescent="0.25">
      <c r="A2282" s="24" t="s">
        <v>286</v>
      </c>
      <c r="B2282" s="24" t="s">
        <v>41</v>
      </c>
      <c r="C2282" s="24" t="s">
        <v>31</v>
      </c>
      <c r="D2282" s="24">
        <v>0.1</v>
      </c>
      <c r="E2282" s="24" t="s">
        <v>796</v>
      </c>
      <c r="F2282" s="24" t="s">
        <v>917</v>
      </c>
      <c r="G2282" s="24">
        <v>175167</v>
      </c>
    </row>
    <row r="2283" spans="1:7" x14ac:dyDescent="0.25">
      <c r="A2283" s="24" t="s">
        <v>286</v>
      </c>
      <c r="B2283" s="24" t="s">
        <v>42</v>
      </c>
      <c r="C2283" s="24" t="s">
        <v>43</v>
      </c>
      <c r="D2283" s="24">
        <v>7.6</v>
      </c>
      <c r="E2283" s="24" t="s">
        <v>796</v>
      </c>
      <c r="F2283" s="24" t="s">
        <v>917</v>
      </c>
      <c r="G2283" s="24">
        <v>175167</v>
      </c>
    </row>
    <row r="2284" spans="1:7" x14ac:dyDescent="0.25">
      <c r="A2284" s="24" t="s">
        <v>286</v>
      </c>
      <c r="B2284" s="24" t="s">
        <v>44</v>
      </c>
      <c r="C2284" s="24" t="s">
        <v>31</v>
      </c>
      <c r="D2284" s="24">
        <v>0.6</v>
      </c>
      <c r="E2284" s="24" t="s">
        <v>796</v>
      </c>
      <c r="F2284" s="24" t="s">
        <v>917</v>
      </c>
      <c r="G2284" s="24">
        <v>175167</v>
      </c>
    </row>
    <row r="2285" spans="1:7" x14ac:dyDescent="0.25">
      <c r="A2285" s="24" t="s">
        <v>286</v>
      </c>
      <c r="B2285" s="24" t="s">
        <v>45</v>
      </c>
      <c r="C2285" s="24" t="s">
        <v>31</v>
      </c>
      <c r="D2285" s="24">
        <v>1.4</v>
      </c>
      <c r="E2285" s="24" t="s">
        <v>796</v>
      </c>
      <c r="F2285" s="24" t="s">
        <v>917</v>
      </c>
      <c r="G2285" s="24">
        <v>175167</v>
      </c>
    </row>
    <row r="2286" spans="1:7" x14ac:dyDescent="0.25">
      <c r="A2286" s="24" t="s">
        <v>286</v>
      </c>
      <c r="B2286" s="24" t="s">
        <v>46</v>
      </c>
      <c r="C2286" s="24" t="s">
        <v>36</v>
      </c>
      <c r="D2286" s="24">
        <v>2.8</v>
      </c>
      <c r="E2286" s="24" t="s">
        <v>796</v>
      </c>
      <c r="F2286" s="24" t="s">
        <v>917</v>
      </c>
      <c r="G2286" s="24">
        <v>175167</v>
      </c>
    </row>
    <row r="2287" spans="1:7" x14ac:dyDescent="0.25">
      <c r="A2287" s="24" t="s">
        <v>286</v>
      </c>
      <c r="B2287" s="24" t="s">
        <v>47</v>
      </c>
      <c r="C2287" s="24" t="s">
        <v>48</v>
      </c>
      <c r="D2287" s="24">
        <v>22.9</v>
      </c>
      <c r="E2287" s="24" t="s">
        <v>796</v>
      </c>
      <c r="F2287" s="24" t="s">
        <v>917</v>
      </c>
      <c r="G2287" s="24">
        <v>175167</v>
      </c>
    </row>
    <row r="2288" spans="1:7" x14ac:dyDescent="0.25">
      <c r="A2288" s="24" t="s">
        <v>286</v>
      </c>
      <c r="B2288" s="24" t="s">
        <v>50</v>
      </c>
      <c r="C2288" s="24" t="s">
        <v>31</v>
      </c>
      <c r="D2288" s="24">
        <v>319.5</v>
      </c>
      <c r="E2288" s="24" t="s">
        <v>796</v>
      </c>
      <c r="F2288" s="24" t="s">
        <v>917</v>
      </c>
      <c r="G2288" s="24">
        <v>175167</v>
      </c>
    </row>
    <row r="2289" spans="1:7" x14ac:dyDescent="0.25">
      <c r="A2289" s="24" t="s">
        <v>286</v>
      </c>
      <c r="B2289" s="24" t="s">
        <v>51</v>
      </c>
      <c r="C2289" s="24" t="s">
        <v>31</v>
      </c>
      <c r="D2289" s="24">
        <v>7.9</v>
      </c>
      <c r="E2289" s="24" t="s">
        <v>796</v>
      </c>
      <c r="F2289" s="24" t="s">
        <v>917</v>
      </c>
      <c r="G2289" s="24">
        <v>175167</v>
      </c>
    </row>
    <row r="2290" spans="1:7" x14ac:dyDescent="0.25">
      <c r="A2290" s="24" t="s">
        <v>286</v>
      </c>
      <c r="B2290" s="24" t="s">
        <v>52</v>
      </c>
      <c r="C2290" s="24" t="s">
        <v>31</v>
      </c>
      <c r="D2290" s="24">
        <v>211.2</v>
      </c>
      <c r="E2290" s="24" t="s">
        <v>796</v>
      </c>
      <c r="F2290" s="24" t="s">
        <v>917</v>
      </c>
      <c r="G2290" s="24">
        <v>175167</v>
      </c>
    </row>
    <row r="2291" spans="1:7" x14ac:dyDescent="0.25">
      <c r="A2291" s="24" t="s">
        <v>286</v>
      </c>
      <c r="B2291" s="24" t="s">
        <v>53</v>
      </c>
      <c r="C2291" s="24" t="s">
        <v>31</v>
      </c>
      <c r="D2291" s="24">
        <v>23.8</v>
      </c>
      <c r="E2291" s="24" t="s">
        <v>796</v>
      </c>
      <c r="F2291" s="24" t="s">
        <v>917</v>
      </c>
      <c r="G2291" s="24">
        <v>175167</v>
      </c>
    </row>
    <row r="2292" spans="1:7" x14ac:dyDescent="0.25">
      <c r="A2292" s="24" t="s">
        <v>286</v>
      </c>
      <c r="B2292" s="24" t="s">
        <v>54</v>
      </c>
      <c r="C2292" s="24" t="s">
        <v>31</v>
      </c>
      <c r="D2292" s="24">
        <v>0.3</v>
      </c>
      <c r="E2292" s="24" t="s">
        <v>796</v>
      </c>
      <c r="F2292" s="24" t="s">
        <v>917</v>
      </c>
      <c r="G2292" s="24">
        <v>175167</v>
      </c>
    </row>
    <row r="2293" spans="1:7" x14ac:dyDescent="0.25">
      <c r="A2293" s="24" t="s">
        <v>286</v>
      </c>
      <c r="B2293" s="24" t="s">
        <v>55</v>
      </c>
      <c r="C2293" s="24" t="s">
        <v>31</v>
      </c>
      <c r="D2293" s="24">
        <v>0.3</v>
      </c>
      <c r="E2293" s="24" t="s">
        <v>796</v>
      </c>
      <c r="F2293" s="24" t="s">
        <v>917</v>
      </c>
      <c r="G2293" s="24">
        <v>175167</v>
      </c>
    </row>
    <row r="2294" spans="1:7" x14ac:dyDescent="0.25">
      <c r="A2294" s="24" t="s">
        <v>286</v>
      </c>
      <c r="B2294" s="24" t="s">
        <v>56</v>
      </c>
      <c r="C2294" s="24" t="s">
        <v>31</v>
      </c>
      <c r="D2294" s="24">
        <v>0</v>
      </c>
      <c r="E2294" s="24" t="s">
        <v>796</v>
      </c>
      <c r="F2294" s="24" t="s">
        <v>917</v>
      </c>
      <c r="G2294" s="24">
        <v>175167</v>
      </c>
    </row>
    <row r="2295" spans="1:7" x14ac:dyDescent="0.25">
      <c r="A2295" s="24" t="s">
        <v>286</v>
      </c>
      <c r="B2295" s="24" t="s">
        <v>57</v>
      </c>
      <c r="C2295" s="24" t="s">
        <v>36</v>
      </c>
      <c r="D2295" s="24">
        <v>21.1</v>
      </c>
      <c r="E2295" s="24" t="s">
        <v>796</v>
      </c>
      <c r="F2295" s="24" t="s">
        <v>917</v>
      </c>
      <c r="G2295" s="24">
        <v>175167</v>
      </c>
    </row>
    <row r="2296" spans="1:7" x14ac:dyDescent="0.25">
      <c r="A2296" s="24" t="s">
        <v>286</v>
      </c>
      <c r="B2296" s="24" t="s">
        <v>58</v>
      </c>
      <c r="C2296" s="24" t="s">
        <v>5</v>
      </c>
      <c r="D2296" s="24">
        <v>0</v>
      </c>
      <c r="E2296" s="24" t="s">
        <v>795</v>
      </c>
      <c r="F2296" s="24"/>
      <c r="G2296" s="24"/>
    </row>
    <row r="2297" spans="1:7" x14ac:dyDescent="0.25">
      <c r="A2297" s="24" t="s">
        <v>287</v>
      </c>
      <c r="B2297" s="24" t="s">
        <v>23</v>
      </c>
      <c r="C2297" s="24" t="s">
        <v>5</v>
      </c>
      <c r="D2297" s="24">
        <v>0</v>
      </c>
      <c r="E2297" s="24" t="s">
        <v>796</v>
      </c>
      <c r="F2297" s="24" t="s">
        <v>918</v>
      </c>
      <c r="G2297" s="24">
        <v>175139</v>
      </c>
    </row>
    <row r="2298" spans="1:7" x14ac:dyDescent="0.25">
      <c r="A2298" s="24" t="s">
        <v>287</v>
      </c>
      <c r="B2298" s="24" t="s">
        <v>26</v>
      </c>
      <c r="C2298" s="24" t="s">
        <v>5</v>
      </c>
      <c r="D2298" s="24">
        <v>3.28</v>
      </c>
      <c r="E2298" s="24" t="s">
        <v>799</v>
      </c>
      <c r="F2298" s="24" t="s">
        <v>918</v>
      </c>
      <c r="G2298" s="24">
        <v>175139</v>
      </c>
    </row>
    <row r="2299" spans="1:7" x14ac:dyDescent="0.25">
      <c r="A2299" s="24" t="s">
        <v>287</v>
      </c>
      <c r="B2299" s="24" t="s">
        <v>27</v>
      </c>
      <c r="C2299" s="24" t="s">
        <v>5</v>
      </c>
      <c r="D2299" s="24">
        <v>8.31</v>
      </c>
      <c r="E2299" s="24" t="s">
        <v>799</v>
      </c>
      <c r="F2299" s="24" t="s">
        <v>918</v>
      </c>
      <c r="G2299" s="24">
        <v>175139</v>
      </c>
    </row>
    <row r="2300" spans="1:7" x14ac:dyDescent="0.25">
      <c r="A2300" s="24" t="s">
        <v>287</v>
      </c>
      <c r="B2300" s="24" t="s">
        <v>28</v>
      </c>
      <c r="C2300" s="24" t="s">
        <v>5</v>
      </c>
      <c r="D2300" s="24">
        <v>11.06</v>
      </c>
      <c r="E2300" s="24" t="s">
        <v>799</v>
      </c>
      <c r="F2300" s="24" t="s">
        <v>918</v>
      </c>
      <c r="G2300" s="24">
        <v>175139</v>
      </c>
    </row>
    <row r="2301" spans="1:7" x14ac:dyDescent="0.25">
      <c r="A2301" s="24" t="s">
        <v>287</v>
      </c>
      <c r="B2301" s="24" t="s">
        <v>32</v>
      </c>
      <c r="C2301" s="24" t="s">
        <v>33</v>
      </c>
      <c r="D2301" s="24">
        <v>39</v>
      </c>
      <c r="E2301" s="24" t="s">
        <v>796</v>
      </c>
      <c r="F2301" s="24" t="s">
        <v>918</v>
      </c>
      <c r="G2301" s="24">
        <v>175139</v>
      </c>
    </row>
    <row r="2302" spans="1:7" x14ac:dyDescent="0.25">
      <c r="A2302" s="24" t="s">
        <v>287</v>
      </c>
      <c r="B2302" s="24" t="s">
        <v>34</v>
      </c>
      <c r="C2302" s="24" t="s">
        <v>31</v>
      </c>
      <c r="D2302" s="24">
        <v>0</v>
      </c>
      <c r="E2302" s="24" t="s">
        <v>796</v>
      </c>
      <c r="F2302" s="24" t="s">
        <v>918</v>
      </c>
      <c r="G2302" s="24">
        <v>175139</v>
      </c>
    </row>
    <row r="2303" spans="1:7" x14ac:dyDescent="0.25">
      <c r="A2303" s="24" t="s">
        <v>287</v>
      </c>
      <c r="B2303" s="24" t="s">
        <v>35</v>
      </c>
      <c r="C2303" s="24" t="s">
        <v>36</v>
      </c>
      <c r="D2303" s="24">
        <v>5.8</v>
      </c>
      <c r="E2303" s="24" t="s">
        <v>796</v>
      </c>
      <c r="F2303" s="24" t="s">
        <v>918</v>
      </c>
      <c r="G2303" s="24">
        <v>175139</v>
      </c>
    </row>
    <row r="2304" spans="1:7" x14ac:dyDescent="0.25">
      <c r="A2304" s="24" t="s">
        <v>287</v>
      </c>
      <c r="B2304" s="24" t="s">
        <v>37</v>
      </c>
      <c r="C2304" s="24" t="s">
        <v>38</v>
      </c>
      <c r="D2304" s="24">
        <v>2.5</v>
      </c>
      <c r="E2304" s="24" t="s">
        <v>796</v>
      </c>
      <c r="F2304" s="24" t="s">
        <v>918</v>
      </c>
      <c r="G2304" s="24">
        <v>175139</v>
      </c>
    </row>
    <row r="2305" spans="1:7" x14ac:dyDescent="0.25">
      <c r="A2305" s="24" t="s">
        <v>287</v>
      </c>
      <c r="B2305" s="24" t="s">
        <v>39</v>
      </c>
      <c r="C2305" s="24" t="s">
        <v>36</v>
      </c>
      <c r="D2305" s="24">
        <v>3.2</v>
      </c>
      <c r="E2305" s="24" t="s">
        <v>796</v>
      </c>
      <c r="F2305" s="24" t="s">
        <v>918</v>
      </c>
      <c r="G2305" s="24">
        <v>175139</v>
      </c>
    </row>
    <row r="2306" spans="1:7" x14ac:dyDescent="0.25">
      <c r="A2306" s="24" t="s">
        <v>287</v>
      </c>
      <c r="B2306" s="24" t="s">
        <v>42</v>
      </c>
      <c r="C2306" s="24" t="s">
        <v>43</v>
      </c>
      <c r="D2306" s="24">
        <v>6.4</v>
      </c>
      <c r="E2306" s="24" t="s">
        <v>796</v>
      </c>
      <c r="F2306" s="24" t="s">
        <v>918</v>
      </c>
      <c r="G2306" s="24">
        <v>175139</v>
      </c>
    </row>
    <row r="2307" spans="1:7" x14ac:dyDescent="0.25">
      <c r="A2307" s="24" t="s">
        <v>287</v>
      </c>
      <c r="B2307" s="24" t="s">
        <v>44</v>
      </c>
      <c r="C2307" s="24" t="s">
        <v>31</v>
      </c>
      <c r="D2307" s="24">
        <v>0.2</v>
      </c>
      <c r="E2307" s="24" t="s">
        <v>796</v>
      </c>
      <c r="F2307" s="24" t="s">
        <v>918</v>
      </c>
      <c r="G2307" s="24">
        <v>175139</v>
      </c>
    </row>
    <row r="2308" spans="1:7" x14ac:dyDescent="0.25">
      <c r="A2308" s="24" t="s">
        <v>287</v>
      </c>
      <c r="B2308" s="24" t="s">
        <v>45</v>
      </c>
      <c r="C2308" s="24" t="s">
        <v>31</v>
      </c>
      <c r="D2308" s="24">
        <v>0.8</v>
      </c>
      <c r="E2308" s="24" t="s">
        <v>796</v>
      </c>
      <c r="F2308" s="24" t="s">
        <v>918</v>
      </c>
      <c r="G2308" s="24">
        <v>175139</v>
      </c>
    </row>
    <row r="2309" spans="1:7" x14ac:dyDescent="0.25">
      <c r="A2309" s="24" t="s">
        <v>287</v>
      </c>
      <c r="B2309" s="24" t="s">
        <v>46</v>
      </c>
      <c r="C2309" s="24" t="s">
        <v>36</v>
      </c>
      <c r="D2309" s="24">
        <v>10.9</v>
      </c>
      <c r="E2309" s="24" t="s">
        <v>796</v>
      </c>
      <c r="F2309" s="24" t="s">
        <v>918</v>
      </c>
      <c r="G2309" s="24">
        <v>175139</v>
      </c>
    </row>
    <row r="2310" spans="1:7" x14ac:dyDescent="0.25">
      <c r="A2310" s="24" t="s">
        <v>287</v>
      </c>
      <c r="B2310" s="24" t="s">
        <v>47</v>
      </c>
      <c r="C2310" s="24" t="s">
        <v>48</v>
      </c>
      <c r="D2310" s="24">
        <v>12.2</v>
      </c>
      <c r="E2310" s="24" t="s">
        <v>796</v>
      </c>
      <c r="F2310" s="24" t="s">
        <v>918</v>
      </c>
      <c r="G2310" s="24">
        <v>175139</v>
      </c>
    </row>
    <row r="2311" spans="1:7" x14ac:dyDescent="0.25">
      <c r="A2311" s="24" t="s">
        <v>287</v>
      </c>
      <c r="B2311" s="24" t="s">
        <v>53</v>
      </c>
      <c r="C2311" s="24" t="s">
        <v>31</v>
      </c>
      <c r="D2311" s="24">
        <v>47.5</v>
      </c>
      <c r="E2311" s="24" t="s">
        <v>796</v>
      </c>
      <c r="F2311" s="24" t="s">
        <v>918</v>
      </c>
      <c r="G2311" s="24">
        <v>175139</v>
      </c>
    </row>
    <row r="2312" spans="1:7" x14ac:dyDescent="0.25">
      <c r="A2312" s="24" t="s">
        <v>287</v>
      </c>
      <c r="B2312" s="24" t="s">
        <v>55</v>
      </c>
      <c r="C2312" s="24" t="s">
        <v>31</v>
      </c>
      <c r="D2312" s="24">
        <v>1.6</v>
      </c>
      <c r="E2312" s="24" t="s">
        <v>796</v>
      </c>
      <c r="F2312" s="24" t="s">
        <v>918</v>
      </c>
      <c r="G2312" s="24">
        <v>175139</v>
      </c>
    </row>
    <row r="2313" spans="1:7" x14ac:dyDescent="0.25">
      <c r="A2313" s="24" t="s">
        <v>287</v>
      </c>
      <c r="B2313" s="24" t="s">
        <v>56</v>
      </c>
      <c r="C2313" s="24" t="s">
        <v>31</v>
      </c>
      <c r="D2313" s="24">
        <v>0.2</v>
      </c>
      <c r="E2313" s="24" t="s">
        <v>796</v>
      </c>
      <c r="F2313" s="24" t="s">
        <v>918</v>
      </c>
      <c r="G2313" s="24">
        <v>175139</v>
      </c>
    </row>
    <row r="2314" spans="1:7" x14ac:dyDescent="0.25">
      <c r="A2314" s="24" t="s">
        <v>287</v>
      </c>
      <c r="B2314" s="24" t="s">
        <v>57</v>
      </c>
      <c r="C2314" s="24" t="s">
        <v>36</v>
      </c>
      <c r="D2314" s="24">
        <v>64.2</v>
      </c>
      <c r="E2314" s="24" t="s">
        <v>796</v>
      </c>
      <c r="F2314" s="24" t="s">
        <v>918</v>
      </c>
      <c r="G2314" s="24">
        <v>175139</v>
      </c>
    </row>
    <row r="2315" spans="1:7" x14ac:dyDescent="0.25">
      <c r="A2315" s="24" t="s">
        <v>287</v>
      </c>
      <c r="B2315" s="24" t="s">
        <v>58</v>
      </c>
      <c r="C2315" s="24" t="s">
        <v>5</v>
      </c>
      <c r="D2315" s="24">
        <v>0</v>
      </c>
      <c r="E2315" s="24" t="s">
        <v>795</v>
      </c>
      <c r="F2315" s="24"/>
      <c r="G2315" s="24"/>
    </row>
    <row r="2316" spans="1:7" x14ac:dyDescent="0.25">
      <c r="A2316" s="24" t="s">
        <v>288</v>
      </c>
      <c r="B2316" s="24" t="s">
        <v>23</v>
      </c>
      <c r="C2316" s="24" t="s">
        <v>5</v>
      </c>
      <c r="D2316" s="24">
        <v>0</v>
      </c>
      <c r="E2316" s="24" t="s">
        <v>796</v>
      </c>
      <c r="F2316" s="24" t="s">
        <v>918</v>
      </c>
      <c r="G2316" s="24">
        <v>175139</v>
      </c>
    </row>
    <row r="2317" spans="1:7" x14ac:dyDescent="0.25">
      <c r="A2317" s="24" t="s">
        <v>288</v>
      </c>
      <c r="B2317" s="24" t="s">
        <v>26</v>
      </c>
      <c r="C2317" s="24" t="s">
        <v>5</v>
      </c>
      <c r="D2317" s="24">
        <v>1.36</v>
      </c>
      <c r="E2317" s="24" t="s">
        <v>799</v>
      </c>
      <c r="F2317" s="24" t="s">
        <v>918</v>
      </c>
      <c r="G2317" s="24">
        <v>175139</v>
      </c>
    </row>
    <row r="2318" spans="1:7" x14ac:dyDescent="0.25">
      <c r="A2318" s="24" t="s">
        <v>288</v>
      </c>
      <c r="B2318" s="24" t="s">
        <v>27</v>
      </c>
      <c r="C2318" s="24" t="s">
        <v>5</v>
      </c>
      <c r="D2318" s="24">
        <v>3.45</v>
      </c>
      <c r="E2318" s="24" t="s">
        <v>799</v>
      </c>
      <c r="F2318" s="24" t="s">
        <v>918</v>
      </c>
      <c r="G2318" s="24">
        <v>175139</v>
      </c>
    </row>
    <row r="2319" spans="1:7" x14ac:dyDescent="0.25">
      <c r="A2319" s="24" t="s">
        <v>288</v>
      </c>
      <c r="B2319" s="24" t="s">
        <v>28</v>
      </c>
      <c r="C2319" s="24" t="s">
        <v>5</v>
      </c>
      <c r="D2319" s="24">
        <v>4.59</v>
      </c>
      <c r="E2319" s="24" t="s">
        <v>799</v>
      </c>
      <c r="F2319" s="24" t="s">
        <v>918</v>
      </c>
      <c r="G2319" s="24">
        <v>175139</v>
      </c>
    </row>
    <row r="2320" spans="1:7" x14ac:dyDescent="0.25">
      <c r="A2320" s="24" t="s">
        <v>288</v>
      </c>
      <c r="B2320" s="24" t="s">
        <v>32</v>
      </c>
      <c r="C2320" s="24" t="s">
        <v>33</v>
      </c>
      <c r="D2320" s="24">
        <v>25</v>
      </c>
      <c r="E2320" s="24" t="s">
        <v>796</v>
      </c>
      <c r="F2320" s="24" t="s">
        <v>918</v>
      </c>
      <c r="G2320" s="24">
        <v>175139</v>
      </c>
    </row>
    <row r="2321" spans="1:7" x14ac:dyDescent="0.25">
      <c r="A2321" s="24" t="s">
        <v>288</v>
      </c>
      <c r="B2321" s="24" t="s">
        <v>34</v>
      </c>
      <c r="C2321" s="24" t="s">
        <v>31</v>
      </c>
      <c r="D2321" s="24">
        <v>0</v>
      </c>
      <c r="E2321" s="24" t="s">
        <v>796</v>
      </c>
      <c r="F2321" s="24" t="s">
        <v>918</v>
      </c>
      <c r="G2321" s="24">
        <v>175139</v>
      </c>
    </row>
    <row r="2322" spans="1:7" x14ac:dyDescent="0.25">
      <c r="A2322" s="24" t="s">
        <v>288</v>
      </c>
      <c r="B2322" s="24" t="s">
        <v>35</v>
      </c>
      <c r="C2322" s="24" t="s">
        <v>36</v>
      </c>
      <c r="D2322" s="24">
        <v>3.8</v>
      </c>
      <c r="E2322" s="24" t="s">
        <v>796</v>
      </c>
      <c r="F2322" s="24" t="s">
        <v>918</v>
      </c>
      <c r="G2322" s="24">
        <v>175139</v>
      </c>
    </row>
    <row r="2323" spans="1:7" x14ac:dyDescent="0.25">
      <c r="A2323" s="24" t="s">
        <v>288</v>
      </c>
      <c r="B2323" s="24" t="s">
        <v>37</v>
      </c>
      <c r="C2323" s="24" t="s">
        <v>38</v>
      </c>
      <c r="D2323" s="24">
        <v>1.6</v>
      </c>
      <c r="E2323" s="24" t="s">
        <v>796</v>
      </c>
      <c r="F2323" s="24" t="s">
        <v>918</v>
      </c>
      <c r="G2323" s="24">
        <v>175139</v>
      </c>
    </row>
    <row r="2324" spans="1:7" x14ac:dyDescent="0.25">
      <c r="A2324" s="24" t="s">
        <v>288</v>
      </c>
      <c r="B2324" s="24" t="s">
        <v>39</v>
      </c>
      <c r="C2324" s="24" t="s">
        <v>36</v>
      </c>
      <c r="D2324" s="24">
        <v>2</v>
      </c>
      <c r="E2324" s="24" t="s">
        <v>796</v>
      </c>
      <c r="F2324" s="24" t="s">
        <v>918</v>
      </c>
      <c r="G2324" s="24">
        <v>175139</v>
      </c>
    </row>
    <row r="2325" spans="1:7" x14ac:dyDescent="0.25">
      <c r="A2325" s="24" t="s">
        <v>288</v>
      </c>
      <c r="B2325" s="24" t="s">
        <v>40</v>
      </c>
      <c r="C2325" s="24" t="s">
        <v>31</v>
      </c>
      <c r="D2325" s="24">
        <v>0.1</v>
      </c>
      <c r="E2325" s="24" t="s">
        <v>796</v>
      </c>
      <c r="F2325" s="24" t="s">
        <v>918</v>
      </c>
      <c r="G2325" s="24">
        <v>175139</v>
      </c>
    </row>
    <row r="2326" spans="1:7" x14ac:dyDescent="0.25">
      <c r="A2326" s="24" t="s">
        <v>288</v>
      </c>
      <c r="B2326" s="24" t="s">
        <v>41</v>
      </c>
      <c r="C2326" s="24" t="s">
        <v>31</v>
      </c>
      <c r="D2326" s="24">
        <v>0.2</v>
      </c>
      <c r="E2326" s="24" t="s">
        <v>796</v>
      </c>
      <c r="F2326" s="24" t="s">
        <v>918</v>
      </c>
      <c r="G2326" s="24">
        <v>175139</v>
      </c>
    </row>
    <row r="2327" spans="1:7" x14ac:dyDescent="0.25">
      <c r="A2327" s="24" t="s">
        <v>288</v>
      </c>
      <c r="B2327" s="24" t="s">
        <v>42</v>
      </c>
      <c r="C2327" s="24" t="s">
        <v>43</v>
      </c>
      <c r="D2327" s="24">
        <v>4.0999999999999996</v>
      </c>
      <c r="E2327" s="24" t="s">
        <v>796</v>
      </c>
      <c r="F2327" s="24" t="s">
        <v>918</v>
      </c>
      <c r="G2327" s="24">
        <v>175139</v>
      </c>
    </row>
    <row r="2328" spans="1:7" x14ac:dyDescent="0.25">
      <c r="A2328" s="24" t="s">
        <v>288</v>
      </c>
      <c r="B2328" s="24" t="s">
        <v>44</v>
      </c>
      <c r="C2328" s="24" t="s">
        <v>31</v>
      </c>
      <c r="D2328" s="24">
        <v>0.1</v>
      </c>
      <c r="E2328" s="24" t="s">
        <v>796</v>
      </c>
      <c r="F2328" s="24" t="s">
        <v>918</v>
      </c>
      <c r="G2328" s="24">
        <v>175139</v>
      </c>
    </row>
    <row r="2329" spans="1:7" x14ac:dyDescent="0.25">
      <c r="A2329" s="24" t="s">
        <v>288</v>
      </c>
      <c r="B2329" s="24" t="s">
        <v>45</v>
      </c>
      <c r="C2329" s="24" t="s">
        <v>31</v>
      </c>
      <c r="D2329" s="24">
        <v>0.5</v>
      </c>
      <c r="E2329" s="24" t="s">
        <v>796</v>
      </c>
      <c r="F2329" s="24" t="s">
        <v>918</v>
      </c>
      <c r="G2329" s="24">
        <v>175139</v>
      </c>
    </row>
    <row r="2330" spans="1:7" x14ac:dyDescent="0.25">
      <c r="A2330" s="24" t="s">
        <v>288</v>
      </c>
      <c r="B2330" s="24" t="s">
        <v>46</v>
      </c>
      <c r="C2330" s="24" t="s">
        <v>36</v>
      </c>
      <c r="D2330" s="24">
        <v>7</v>
      </c>
      <c r="E2330" s="24" t="s">
        <v>796</v>
      </c>
      <c r="F2330" s="24" t="s">
        <v>918</v>
      </c>
      <c r="G2330" s="24">
        <v>175139</v>
      </c>
    </row>
    <row r="2331" spans="1:7" x14ac:dyDescent="0.25">
      <c r="A2331" s="24" t="s">
        <v>288</v>
      </c>
      <c r="B2331" s="24" t="s">
        <v>47</v>
      </c>
      <c r="C2331" s="24" t="s">
        <v>48</v>
      </c>
      <c r="D2331" s="24">
        <v>7.8</v>
      </c>
      <c r="E2331" s="24" t="s">
        <v>796</v>
      </c>
      <c r="F2331" s="24" t="s">
        <v>918</v>
      </c>
      <c r="G2331" s="24">
        <v>175139</v>
      </c>
    </row>
    <row r="2332" spans="1:7" x14ac:dyDescent="0.25">
      <c r="A2332" s="24" t="s">
        <v>288</v>
      </c>
      <c r="B2332" s="24" t="s">
        <v>51</v>
      </c>
      <c r="C2332" s="24" t="s">
        <v>31</v>
      </c>
      <c r="D2332" s="24">
        <v>298.89999999999998</v>
      </c>
      <c r="E2332" s="24" t="s">
        <v>796</v>
      </c>
      <c r="F2332" s="24" t="s">
        <v>918</v>
      </c>
      <c r="G2332" s="24">
        <v>175139</v>
      </c>
    </row>
    <row r="2333" spans="1:7" x14ac:dyDescent="0.25">
      <c r="A2333" s="24" t="s">
        <v>288</v>
      </c>
      <c r="B2333" s="24" t="s">
        <v>52</v>
      </c>
      <c r="C2333" s="24" t="s">
        <v>31</v>
      </c>
      <c r="D2333" s="24">
        <v>383.4</v>
      </c>
      <c r="E2333" s="24" t="s">
        <v>796</v>
      </c>
      <c r="F2333" s="24" t="s">
        <v>918</v>
      </c>
      <c r="G2333" s="24">
        <v>175139</v>
      </c>
    </row>
    <row r="2334" spans="1:7" x14ac:dyDescent="0.25">
      <c r="A2334" s="24" t="s">
        <v>288</v>
      </c>
      <c r="B2334" s="24" t="s">
        <v>53</v>
      </c>
      <c r="C2334" s="24" t="s">
        <v>31</v>
      </c>
      <c r="D2334" s="24">
        <v>30.5</v>
      </c>
      <c r="E2334" s="24" t="s">
        <v>796</v>
      </c>
      <c r="F2334" s="24" t="s">
        <v>918</v>
      </c>
      <c r="G2334" s="24">
        <v>175139</v>
      </c>
    </row>
    <row r="2335" spans="1:7" x14ac:dyDescent="0.25">
      <c r="A2335" s="24" t="s">
        <v>288</v>
      </c>
      <c r="B2335" s="24" t="s">
        <v>54</v>
      </c>
      <c r="C2335" s="24" t="s">
        <v>31</v>
      </c>
      <c r="D2335" s="24">
        <v>2.2999999999999998</v>
      </c>
      <c r="E2335" s="24" t="s">
        <v>796</v>
      </c>
      <c r="F2335" s="24" t="s">
        <v>918</v>
      </c>
      <c r="G2335" s="24">
        <v>175139</v>
      </c>
    </row>
    <row r="2336" spans="1:7" x14ac:dyDescent="0.25">
      <c r="A2336" s="24" t="s">
        <v>288</v>
      </c>
      <c r="B2336" s="24" t="s">
        <v>55</v>
      </c>
      <c r="C2336" s="24" t="s">
        <v>31</v>
      </c>
      <c r="D2336" s="24">
        <v>1</v>
      </c>
      <c r="E2336" s="24" t="s">
        <v>796</v>
      </c>
      <c r="F2336" s="24" t="s">
        <v>918</v>
      </c>
      <c r="G2336" s="24">
        <v>175139</v>
      </c>
    </row>
    <row r="2337" spans="1:7" x14ac:dyDescent="0.25">
      <c r="A2337" s="24" t="s">
        <v>288</v>
      </c>
      <c r="B2337" s="24" t="s">
        <v>56</v>
      </c>
      <c r="C2337" s="24" t="s">
        <v>31</v>
      </c>
      <c r="D2337" s="24">
        <v>0.1</v>
      </c>
      <c r="E2337" s="24" t="s">
        <v>796</v>
      </c>
      <c r="F2337" s="24" t="s">
        <v>918</v>
      </c>
      <c r="G2337" s="24">
        <v>175139</v>
      </c>
    </row>
    <row r="2338" spans="1:7" x14ac:dyDescent="0.25">
      <c r="A2338" s="24" t="s">
        <v>288</v>
      </c>
      <c r="B2338" s="24" t="s">
        <v>57</v>
      </c>
      <c r="C2338" s="24" t="s">
        <v>36</v>
      </c>
      <c r="D2338" s="24">
        <v>41.2</v>
      </c>
      <c r="E2338" s="24" t="s">
        <v>796</v>
      </c>
      <c r="F2338" s="24" t="s">
        <v>918</v>
      </c>
      <c r="G2338" s="24">
        <v>175139</v>
      </c>
    </row>
    <row r="2339" spans="1:7" x14ac:dyDescent="0.25">
      <c r="A2339" s="24" t="s">
        <v>288</v>
      </c>
      <c r="B2339" s="24" t="s">
        <v>58</v>
      </c>
      <c r="C2339" s="24" t="s">
        <v>5</v>
      </c>
      <c r="D2339" s="24">
        <v>0</v>
      </c>
      <c r="E2339" s="24" t="s">
        <v>795</v>
      </c>
      <c r="F2339" s="24"/>
      <c r="G2339" s="24"/>
    </row>
    <row r="2340" spans="1:7" x14ac:dyDescent="0.25">
      <c r="A2340" s="24" t="s">
        <v>289</v>
      </c>
      <c r="B2340" s="24" t="s">
        <v>23</v>
      </c>
      <c r="C2340" s="24" t="s">
        <v>5</v>
      </c>
      <c r="D2340" s="24">
        <v>0</v>
      </c>
      <c r="E2340" s="24" t="s">
        <v>796</v>
      </c>
      <c r="F2340" s="24" t="s">
        <v>919</v>
      </c>
      <c r="G2340" s="24">
        <v>173673</v>
      </c>
    </row>
    <row r="2341" spans="1:7" x14ac:dyDescent="0.25">
      <c r="A2341" s="24" t="s">
        <v>289</v>
      </c>
      <c r="B2341" s="24" t="s">
        <v>26</v>
      </c>
      <c r="C2341" s="24" t="s">
        <v>5</v>
      </c>
      <c r="D2341" s="24">
        <v>1.36</v>
      </c>
      <c r="E2341" s="24" t="s">
        <v>799</v>
      </c>
      <c r="F2341" s="24" t="s">
        <v>919</v>
      </c>
      <c r="G2341" s="24">
        <v>173673</v>
      </c>
    </row>
    <row r="2342" spans="1:7" x14ac:dyDescent="0.25">
      <c r="A2342" s="24" t="s">
        <v>289</v>
      </c>
      <c r="B2342" s="24" t="s">
        <v>27</v>
      </c>
      <c r="C2342" s="24" t="s">
        <v>5</v>
      </c>
      <c r="D2342" s="24">
        <v>1.1399999999999999</v>
      </c>
      <c r="E2342" s="24" t="s">
        <v>799</v>
      </c>
      <c r="F2342" s="24" t="s">
        <v>919</v>
      </c>
      <c r="G2342" s="24">
        <v>173673</v>
      </c>
    </row>
    <row r="2343" spans="1:7" x14ac:dyDescent="0.25">
      <c r="A2343" s="24" t="s">
        <v>289</v>
      </c>
      <c r="B2343" s="24" t="s">
        <v>28</v>
      </c>
      <c r="C2343" s="24" t="s">
        <v>5</v>
      </c>
      <c r="D2343" s="24">
        <v>1.3</v>
      </c>
      <c r="E2343" s="24" t="s">
        <v>799</v>
      </c>
      <c r="F2343" s="24" t="s">
        <v>919</v>
      </c>
      <c r="G2343" s="24">
        <v>173673</v>
      </c>
    </row>
    <row r="2344" spans="1:7" x14ac:dyDescent="0.25">
      <c r="A2344" s="24" t="s">
        <v>289</v>
      </c>
      <c r="B2344" s="24" t="s">
        <v>30</v>
      </c>
      <c r="C2344" s="24" t="s">
        <v>31</v>
      </c>
      <c r="D2344" s="24">
        <v>76</v>
      </c>
      <c r="E2344" s="24" t="s">
        <v>801</v>
      </c>
      <c r="F2344" s="24" t="s">
        <v>919</v>
      </c>
      <c r="G2344" s="24">
        <v>173673</v>
      </c>
    </row>
    <row r="2345" spans="1:7" x14ac:dyDescent="0.25">
      <c r="A2345" s="24" t="s">
        <v>289</v>
      </c>
      <c r="B2345" s="24" t="s">
        <v>32</v>
      </c>
      <c r="C2345" s="24" t="s">
        <v>33</v>
      </c>
      <c r="D2345" s="24">
        <v>47.4</v>
      </c>
      <c r="E2345" s="24" t="s">
        <v>796</v>
      </c>
      <c r="F2345" s="24" t="s">
        <v>919</v>
      </c>
      <c r="G2345" s="24">
        <v>173673</v>
      </c>
    </row>
    <row r="2346" spans="1:7" x14ac:dyDescent="0.25">
      <c r="A2346" s="24" t="s">
        <v>289</v>
      </c>
      <c r="B2346" s="24" t="s">
        <v>34</v>
      </c>
      <c r="C2346" s="24" t="s">
        <v>31</v>
      </c>
      <c r="D2346" s="24">
        <v>1.9</v>
      </c>
      <c r="E2346" s="24" t="s">
        <v>796</v>
      </c>
      <c r="F2346" s="24" t="s">
        <v>919</v>
      </c>
      <c r="G2346" s="24">
        <v>173673</v>
      </c>
    </row>
    <row r="2347" spans="1:7" x14ac:dyDescent="0.25">
      <c r="A2347" s="24" t="s">
        <v>289</v>
      </c>
      <c r="B2347" s="24" t="s">
        <v>35</v>
      </c>
      <c r="C2347" s="24" t="s">
        <v>36</v>
      </c>
      <c r="D2347" s="24">
        <v>8.9</v>
      </c>
      <c r="E2347" s="24" t="s">
        <v>796</v>
      </c>
      <c r="F2347" s="24" t="s">
        <v>919</v>
      </c>
      <c r="G2347" s="24">
        <v>173673</v>
      </c>
    </row>
    <row r="2348" spans="1:7" x14ac:dyDescent="0.25">
      <c r="A2348" s="24" t="s">
        <v>289</v>
      </c>
      <c r="B2348" s="24" t="s">
        <v>37</v>
      </c>
      <c r="C2348" s="24" t="s">
        <v>38</v>
      </c>
      <c r="D2348" s="24">
        <v>0.8</v>
      </c>
      <c r="E2348" s="24" t="s">
        <v>796</v>
      </c>
      <c r="F2348" s="24" t="s">
        <v>919</v>
      </c>
      <c r="G2348" s="24">
        <v>173673</v>
      </c>
    </row>
    <row r="2349" spans="1:7" x14ac:dyDescent="0.25">
      <c r="A2349" s="24" t="s">
        <v>289</v>
      </c>
      <c r="B2349" s="24" t="s">
        <v>39</v>
      </c>
      <c r="C2349" s="24" t="s">
        <v>36</v>
      </c>
      <c r="D2349" s="24">
        <v>0.1</v>
      </c>
      <c r="E2349" s="24" t="s">
        <v>796</v>
      </c>
      <c r="F2349" s="24" t="s">
        <v>919</v>
      </c>
      <c r="G2349" s="24">
        <v>173673</v>
      </c>
    </row>
    <row r="2350" spans="1:7" x14ac:dyDescent="0.25">
      <c r="A2350" s="24" t="s">
        <v>289</v>
      </c>
      <c r="B2350" s="24" t="s">
        <v>42</v>
      </c>
      <c r="C2350" s="24" t="s">
        <v>43</v>
      </c>
      <c r="D2350" s="24">
        <v>2.8</v>
      </c>
      <c r="E2350" s="24" t="s">
        <v>796</v>
      </c>
      <c r="F2350" s="24" t="s">
        <v>919</v>
      </c>
      <c r="G2350" s="24">
        <v>173673</v>
      </c>
    </row>
    <row r="2351" spans="1:7" x14ac:dyDescent="0.25">
      <c r="A2351" s="24" t="s">
        <v>289</v>
      </c>
      <c r="B2351" s="24" t="s">
        <v>44</v>
      </c>
      <c r="C2351" s="24" t="s">
        <v>31</v>
      </c>
      <c r="D2351" s="24">
        <v>0.5</v>
      </c>
      <c r="E2351" s="24" t="s">
        <v>796</v>
      </c>
      <c r="F2351" s="24" t="s">
        <v>919</v>
      </c>
      <c r="G2351" s="24">
        <v>173673</v>
      </c>
    </row>
    <row r="2352" spans="1:7" x14ac:dyDescent="0.25">
      <c r="A2352" s="24" t="s">
        <v>289</v>
      </c>
      <c r="B2352" s="24" t="s">
        <v>45</v>
      </c>
      <c r="C2352" s="24" t="s">
        <v>31</v>
      </c>
      <c r="D2352" s="24">
        <v>0.9</v>
      </c>
      <c r="E2352" s="24" t="s">
        <v>796</v>
      </c>
      <c r="F2352" s="24" t="s">
        <v>919</v>
      </c>
      <c r="G2352" s="24">
        <v>173673</v>
      </c>
    </row>
    <row r="2353" spans="1:7" x14ac:dyDescent="0.25">
      <c r="A2353" s="24" t="s">
        <v>289</v>
      </c>
      <c r="B2353" s="24" t="s">
        <v>46</v>
      </c>
      <c r="C2353" s="24" t="s">
        <v>36</v>
      </c>
      <c r="D2353" s="24">
        <v>2.9</v>
      </c>
      <c r="E2353" s="24" t="s">
        <v>796</v>
      </c>
      <c r="F2353" s="24" t="s">
        <v>919</v>
      </c>
      <c r="G2353" s="24">
        <v>173673</v>
      </c>
    </row>
    <row r="2354" spans="1:7" x14ac:dyDescent="0.25">
      <c r="A2354" s="24" t="s">
        <v>289</v>
      </c>
      <c r="B2354" s="24" t="s">
        <v>47</v>
      </c>
      <c r="C2354" s="24" t="s">
        <v>48</v>
      </c>
      <c r="D2354" s="24">
        <v>1.2</v>
      </c>
      <c r="E2354" s="24" t="s">
        <v>796</v>
      </c>
      <c r="F2354" s="24" t="s">
        <v>919</v>
      </c>
      <c r="G2354" s="24">
        <v>173673</v>
      </c>
    </row>
    <row r="2355" spans="1:7" x14ac:dyDescent="0.25">
      <c r="A2355" s="24" t="s">
        <v>289</v>
      </c>
      <c r="B2355" s="24" t="s">
        <v>49</v>
      </c>
      <c r="C2355" s="24" t="s">
        <v>31</v>
      </c>
      <c r="D2355" s="24">
        <v>71.599999999999994</v>
      </c>
      <c r="E2355" s="24" t="s">
        <v>796</v>
      </c>
      <c r="F2355" s="24" t="s">
        <v>919</v>
      </c>
      <c r="G2355" s="24">
        <v>173673</v>
      </c>
    </row>
    <row r="2356" spans="1:7" x14ac:dyDescent="0.25">
      <c r="A2356" s="24" t="s">
        <v>289</v>
      </c>
      <c r="B2356" s="24" t="s">
        <v>50</v>
      </c>
      <c r="C2356" s="24" t="s">
        <v>31</v>
      </c>
      <c r="D2356" s="24">
        <v>541.6</v>
      </c>
      <c r="E2356" s="24" t="s">
        <v>796</v>
      </c>
      <c r="F2356" s="24" t="s">
        <v>919</v>
      </c>
      <c r="G2356" s="24">
        <v>173673</v>
      </c>
    </row>
    <row r="2357" spans="1:7" x14ac:dyDescent="0.25">
      <c r="A2357" s="24" t="s">
        <v>289</v>
      </c>
      <c r="B2357" s="24" t="s">
        <v>53</v>
      </c>
      <c r="C2357" s="24" t="s">
        <v>31</v>
      </c>
      <c r="D2357" s="24">
        <v>40.1</v>
      </c>
      <c r="E2357" s="24" t="s">
        <v>796</v>
      </c>
      <c r="F2357" s="24" t="s">
        <v>919</v>
      </c>
      <c r="G2357" s="24">
        <v>173673</v>
      </c>
    </row>
    <row r="2358" spans="1:7" x14ac:dyDescent="0.25">
      <c r="A2358" s="24" t="s">
        <v>289</v>
      </c>
      <c r="B2358" s="24" t="s">
        <v>55</v>
      </c>
      <c r="C2358" s="24" t="s">
        <v>31</v>
      </c>
      <c r="D2358" s="24">
        <v>0.6</v>
      </c>
      <c r="E2358" s="24" t="s">
        <v>796</v>
      </c>
      <c r="F2358" s="24" t="s">
        <v>919</v>
      </c>
      <c r="G2358" s="24">
        <v>173673</v>
      </c>
    </row>
    <row r="2359" spans="1:7" x14ac:dyDescent="0.25">
      <c r="A2359" s="24" t="s">
        <v>289</v>
      </c>
      <c r="B2359" s="24" t="s">
        <v>56</v>
      </c>
      <c r="C2359" s="24" t="s">
        <v>31</v>
      </c>
      <c r="D2359" s="24">
        <v>0.1</v>
      </c>
      <c r="E2359" s="24" t="s">
        <v>796</v>
      </c>
      <c r="F2359" s="24" t="s">
        <v>919</v>
      </c>
      <c r="G2359" s="24">
        <v>173673</v>
      </c>
    </row>
    <row r="2360" spans="1:7" x14ac:dyDescent="0.25">
      <c r="A2360" s="24" t="s">
        <v>289</v>
      </c>
      <c r="B2360" s="24" t="s">
        <v>57</v>
      </c>
      <c r="C2360" s="24" t="s">
        <v>36</v>
      </c>
      <c r="D2360" s="24">
        <v>44.3</v>
      </c>
      <c r="E2360" s="24" t="s">
        <v>796</v>
      </c>
      <c r="F2360" s="24" t="s">
        <v>919</v>
      </c>
      <c r="G2360" s="24">
        <v>173673</v>
      </c>
    </row>
    <row r="2361" spans="1:7" x14ac:dyDescent="0.25">
      <c r="A2361" s="24" t="s">
        <v>289</v>
      </c>
      <c r="B2361" s="24" t="s">
        <v>58</v>
      </c>
      <c r="C2361" s="24" t="s">
        <v>5</v>
      </c>
      <c r="D2361" s="24">
        <v>0</v>
      </c>
      <c r="E2361" s="24" t="s">
        <v>795</v>
      </c>
      <c r="F2361" s="24"/>
      <c r="G2361" s="24"/>
    </row>
    <row r="2362" spans="1:7" x14ac:dyDescent="0.25">
      <c r="A2362" s="24" t="s">
        <v>290</v>
      </c>
      <c r="B2362" s="24" t="s">
        <v>23</v>
      </c>
      <c r="C2362" s="24" t="s">
        <v>5</v>
      </c>
      <c r="D2362" s="24">
        <v>0</v>
      </c>
      <c r="E2362" s="24" t="s">
        <v>796</v>
      </c>
      <c r="F2362" s="24" t="s">
        <v>920</v>
      </c>
      <c r="G2362" s="24">
        <v>173717</v>
      </c>
    </row>
    <row r="2363" spans="1:7" x14ac:dyDescent="0.25">
      <c r="A2363" s="24" t="s">
        <v>290</v>
      </c>
      <c r="B2363" s="24" t="s">
        <v>32</v>
      </c>
      <c r="C2363" s="24" t="s">
        <v>33</v>
      </c>
      <c r="D2363" s="24">
        <v>108.4</v>
      </c>
      <c r="E2363" s="24" t="s">
        <v>796</v>
      </c>
      <c r="F2363" s="24" t="s">
        <v>920</v>
      </c>
      <c r="G2363" s="24">
        <v>173717</v>
      </c>
    </row>
    <row r="2364" spans="1:7" x14ac:dyDescent="0.25">
      <c r="A2364" s="24" t="s">
        <v>290</v>
      </c>
      <c r="B2364" s="24" t="s">
        <v>34</v>
      </c>
      <c r="C2364" s="24" t="s">
        <v>31</v>
      </c>
      <c r="D2364" s="24">
        <v>3.7</v>
      </c>
      <c r="E2364" s="24" t="s">
        <v>796</v>
      </c>
      <c r="F2364" s="24" t="s">
        <v>920</v>
      </c>
      <c r="G2364" s="24">
        <v>173717</v>
      </c>
    </row>
    <row r="2365" spans="1:7" x14ac:dyDescent="0.25">
      <c r="A2365" s="24" t="s">
        <v>290</v>
      </c>
      <c r="B2365" s="24" t="s">
        <v>35</v>
      </c>
      <c r="C2365" s="24" t="s">
        <v>36</v>
      </c>
      <c r="D2365" s="24">
        <v>20.5</v>
      </c>
      <c r="E2365" s="24" t="s">
        <v>796</v>
      </c>
      <c r="F2365" s="24" t="s">
        <v>920</v>
      </c>
      <c r="G2365" s="24">
        <v>173717</v>
      </c>
    </row>
    <row r="2366" spans="1:7" x14ac:dyDescent="0.25">
      <c r="A2366" s="24" t="s">
        <v>290</v>
      </c>
      <c r="B2366" s="24" t="s">
        <v>37</v>
      </c>
      <c r="C2366" s="24" t="s">
        <v>38</v>
      </c>
      <c r="D2366" s="24">
        <v>3</v>
      </c>
      <c r="E2366" s="24" t="s">
        <v>796</v>
      </c>
      <c r="F2366" s="24" t="s">
        <v>920</v>
      </c>
      <c r="G2366" s="24">
        <v>173717</v>
      </c>
    </row>
    <row r="2367" spans="1:7" x14ac:dyDescent="0.25">
      <c r="A2367" s="24" t="s">
        <v>290</v>
      </c>
      <c r="B2367" s="24" t="s">
        <v>39</v>
      </c>
      <c r="C2367" s="24" t="s">
        <v>36</v>
      </c>
      <c r="D2367" s="24">
        <v>0.1</v>
      </c>
      <c r="E2367" s="24" t="s">
        <v>796</v>
      </c>
      <c r="F2367" s="24" t="s">
        <v>920</v>
      </c>
      <c r="G2367" s="24">
        <v>173717</v>
      </c>
    </row>
    <row r="2368" spans="1:7" x14ac:dyDescent="0.25">
      <c r="A2368" s="24" t="s">
        <v>290</v>
      </c>
      <c r="B2368" s="24" t="s">
        <v>40</v>
      </c>
      <c r="C2368" s="24" t="s">
        <v>31</v>
      </c>
      <c r="D2368" s="24">
        <v>0.2</v>
      </c>
      <c r="E2368" s="24" t="s">
        <v>796</v>
      </c>
      <c r="F2368" s="24" t="s">
        <v>920</v>
      </c>
      <c r="G2368" s="24">
        <v>173717</v>
      </c>
    </row>
    <row r="2369" spans="1:7" x14ac:dyDescent="0.25">
      <c r="A2369" s="24" t="s">
        <v>290</v>
      </c>
      <c r="B2369" s="24" t="s">
        <v>41</v>
      </c>
      <c r="C2369" s="24" t="s">
        <v>31</v>
      </c>
      <c r="D2369" s="24">
        <v>0.1</v>
      </c>
      <c r="E2369" s="24" t="s">
        <v>796</v>
      </c>
      <c r="F2369" s="24" t="s">
        <v>920</v>
      </c>
      <c r="G2369" s="24">
        <v>173717</v>
      </c>
    </row>
    <row r="2370" spans="1:7" x14ac:dyDescent="0.25">
      <c r="A2370" s="24" t="s">
        <v>290</v>
      </c>
      <c r="B2370" s="24" t="s">
        <v>42</v>
      </c>
      <c r="C2370" s="24" t="s">
        <v>43</v>
      </c>
      <c r="D2370" s="24">
        <v>7.2</v>
      </c>
      <c r="E2370" s="24" t="s">
        <v>796</v>
      </c>
      <c r="F2370" s="24" t="s">
        <v>920</v>
      </c>
      <c r="G2370" s="24">
        <v>173717</v>
      </c>
    </row>
    <row r="2371" spans="1:7" x14ac:dyDescent="0.25">
      <c r="A2371" s="24" t="s">
        <v>290</v>
      </c>
      <c r="B2371" s="24" t="s">
        <v>44</v>
      </c>
      <c r="C2371" s="24" t="s">
        <v>31</v>
      </c>
      <c r="D2371" s="24">
        <v>0.4</v>
      </c>
      <c r="E2371" s="24" t="s">
        <v>796</v>
      </c>
      <c r="F2371" s="24" t="s">
        <v>920</v>
      </c>
      <c r="G2371" s="24">
        <v>173717</v>
      </c>
    </row>
    <row r="2372" spans="1:7" x14ac:dyDescent="0.25">
      <c r="A2372" s="24" t="s">
        <v>290</v>
      </c>
      <c r="B2372" s="24" t="s">
        <v>45</v>
      </c>
      <c r="C2372" s="24" t="s">
        <v>31</v>
      </c>
      <c r="D2372" s="24">
        <v>2.2000000000000002</v>
      </c>
      <c r="E2372" s="24" t="s">
        <v>796</v>
      </c>
      <c r="F2372" s="24" t="s">
        <v>920</v>
      </c>
      <c r="G2372" s="24">
        <v>173717</v>
      </c>
    </row>
    <row r="2373" spans="1:7" x14ac:dyDescent="0.25">
      <c r="A2373" s="24" t="s">
        <v>290</v>
      </c>
      <c r="B2373" s="24" t="s">
        <v>46</v>
      </c>
      <c r="C2373" s="24" t="s">
        <v>36</v>
      </c>
      <c r="D2373" s="24">
        <v>5.5</v>
      </c>
      <c r="E2373" s="24" t="s">
        <v>796</v>
      </c>
      <c r="F2373" s="24" t="s">
        <v>920</v>
      </c>
      <c r="G2373" s="24">
        <v>173717</v>
      </c>
    </row>
    <row r="2374" spans="1:7" x14ac:dyDescent="0.25">
      <c r="A2374" s="24" t="s">
        <v>290</v>
      </c>
      <c r="B2374" s="24" t="s">
        <v>47</v>
      </c>
      <c r="C2374" s="24" t="s">
        <v>48</v>
      </c>
      <c r="D2374" s="24">
        <v>14.2</v>
      </c>
      <c r="E2374" s="24" t="s">
        <v>796</v>
      </c>
      <c r="F2374" s="24" t="s">
        <v>920</v>
      </c>
      <c r="G2374" s="24">
        <v>173717</v>
      </c>
    </row>
    <row r="2375" spans="1:7" x14ac:dyDescent="0.25">
      <c r="A2375" s="24" t="s">
        <v>290</v>
      </c>
      <c r="B2375" s="24" t="s">
        <v>50</v>
      </c>
      <c r="C2375" s="24" t="s">
        <v>31</v>
      </c>
      <c r="D2375" s="24">
        <v>486.4</v>
      </c>
      <c r="E2375" s="24" t="s">
        <v>796</v>
      </c>
      <c r="F2375" s="24" t="s">
        <v>920</v>
      </c>
      <c r="G2375" s="24">
        <v>173717</v>
      </c>
    </row>
    <row r="2376" spans="1:7" x14ac:dyDescent="0.25">
      <c r="A2376" s="24" t="s">
        <v>290</v>
      </c>
      <c r="B2376" s="24" t="s">
        <v>52</v>
      </c>
      <c r="C2376" s="24" t="s">
        <v>31</v>
      </c>
      <c r="D2376" s="24">
        <v>291.60000000000002</v>
      </c>
      <c r="E2376" s="24" t="s">
        <v>796</v>
      </c>
      <c r="F2376" s="24" t="s">
        <v>920</v>
      </c>
      <c r="G2376" s="24">
        <v>173717</v>
      </c>
    </row>
    <row r="2377" spans="1:7" x14ac:dyDescent="0.25">
      <c r="A2377" s="24" t="s">
        <v>290</v>
      </c>
      <c r="B2377" s="24" t="s">
        <v>53</v>
      </c>
      <c r="C2377" s="24" t="s">
        <v>31</v>
      </c>
      <c r="D2377" s="24">
        <v>32.299999999999997</v>
      </c>
      <c r="E2377" s="24" t="s">
        <v>796</v>
      </c>
      <c r="F2377" s="24" t="s">
        <v>920</v>
      </c>
      <c r="G2377" s="24">
        <v>173717</v>
      </c>
    </row>
    <row r="2378" spans="1:7" x14ac:dyDescent="0.25">
      <c r="A2378" s="24" t="s">
        <v>290</v>
      </c>
      <c r="B2378" s="24" t="s">
        <v>55</v>
      </c>
      <c r="C2378" s="24" t="s">
        <v>31</v>
      </c>
      <c r="D2378" s="24">
        <v>0.6</v>
      </c>
      <c r="E2378" s="24" t="s">
        <v>796</v>
      </c>
      <c r="F2378" s="24" t="s">
        <v>920</v>
      </c>
      <c r="G2378" s="24">
        <v>173717</v>
      </c>
    </row>
    <row r="2379" spans="1:7" x14ac:dyDescent="0.25">
      <c r="A2379" s="24" t="s">
        <v>290</v>
      </c>
      <c r="B2379" s="24" t="s">
        <v>56</v>
      </c>
      <c r="C2379" s="24" t="s">
        <v>31</v>
      </c>
      <c r="D2379" s="24">
        <v>0.1</v>
      </c>
      <c r="E2379" s="24" t="s">
        <v>796</v>
      </c>
      <c r="F2379" s="24" t="s">
        <v>920</v>
      </c>
      <c r="G2379" s="24">
        <v>173717</v>
      </c>
    </row>
    <row r="2380" spans="1:7" x14ac:dyDescent="0.25">
      <c r="A2380" s="24" t="s">
        <v>290</v>
      </c>
      <c r="B2380" s="24" t="s">
        <v>57</v>
      </c>
      <c r="C2380" s="24" t="s">
        <v>36</v>
      </c>
      <c r="D2380" s="24">
        <v>30.4</v>
      </c>
      <c r="E2380" s="24" t="s">
        <v>796</v>
      </c>
      <c r="F2380" s="24" t="s">
        <v>920</v>
      </c>
      <c r="G2380" s="24">
        <v>173717</v>
      </c>
    </row>
    <row r="2381" spans="1:7" x14ac:dyDescent="0.25">
      <c r="A2381" s="24" t="s">
        <v>290</v>
      </c>
      <c r="B2381" s="24" t="s">
        <v>58</v>
      </c>
      <c r="C2381" s="24" t="s">
        <v>5</v>
      </c>
      <c r="D2381" s="24">
        <v>0</v>
      </c>
      <c r="E2381" s="24" t="s">
        <v>795</v>
      </c>
      <c r="F2381" s="24"/>
      <c r="G2381" s="24"/>
    </row>
    <row r="2382" spans="1:7" x14ac:dyDescent="0.25">
      <c r="A2382" s="24" t="s">
        <v>291</v>
      </c>
      <c r="B2382" s="24" t="s">
        <v>23</v>
      </c>
      <c r="C2382" s="24" t="s">
        <v>5</v>
      </c>
      <c r="D2382" s="24">
        <v>0</v>
      </c>
      <c r="E2382" s="24" t="s">
        <v>796</v>
      </c>
      <c r="F2382" s="24" t="s">
        <v>920</v>
      </c>
      <c r="G2382" s="24">
        <v>173717</v>
      </c>
    </row>
    <row r="2383" spans="1:7" x14ac:dyDescent="0.25">
      <c r="A2383" s="24" t="s">
        <v>291</v>
      </c>
      <c r="B2383" s="24" t="s">
        <v>29</v>
      </c>
      <c r="C2383" s="24" t="s">
        <v>5</v>
      </c>
      <c r="D2383" s="24">
        <v>0.04</v>
      </c>
      <c r="E2383" s="24" t="s">
        <v>799</v>
      </c>
      <c r="F2383" s="24" t="s">
        <v>920</v>
      </c>
      <c r="G2383" s="24">
        <v>173717</v>
      </c>
    </row>
    <row r="2384" spans="1:7" x14ac:dyDescent="0.25">
      <c r="A2384" s="24" t="s">
        <v>291</v>
      </c>
      <c r="B2384" s="24" t="s">
        <v>32</v>
      </c>
      <c r="C2384" s="24" t="s">
        <v>33</v>
      </c>
      <c r="D2384" s="24">
        <v>86.2</v>
      </c>
      <c r="E2384" s="24" t="s">
        <v>796</v>
      </c>
      <c r="F2384" s="24" t="s">
        <v>920</v>
      </c>
      <c r="G2384" s="24">
        <v>173717</v>
      </c>
    </row>
    <row r="2385" spans="1:7" x14ac:dyDescent="0.25">
      <c r="A2385" s="24" t="s">
        <v>291</v>
      </c>
      <c r="B2385" s="24" t="s">
        <v>34</v>
      </c>
      <c r="C2385" s="24" t="s">
        <v>31</v>
      </c>
      <c r="D2385" s="24">
        <v>3</v>
      </c>
      <c r="E2385" s="24" t="s">
        <v>796</v>
      </c>
      <c r="F2385" s="24" t="s">
        <v>920</v>
      </c>
      <c r="G2385" s="24">
        <v>173717</v>
      </c>
    </row>
    <row r="2386" spans="1:7" x14ac:dyDescent="0.25">
      <c r="A2386" s="24" t="s">
        <v>291</v>
      </c>
      <c r="B2386" s="24" t="s">
        <v>35</v>
      </c>
      <c r="C2386" s="24" t="s">
        <v>36</v>
      </c>
      <c r="D2386" s="24">
        <v>16.3</v>
      </c>
      <c r="E2386" s="24" t="s">
        <v>796</v>
      </c>
      <c r="F2386" s="24" t="s">
        <v>920</v>
      </c>
      <c r="G2386" s="24">
        <v>173717</v>
      </c>
    </row>
    <row r="2387" spans="1:7" x14ac:dyDescent="0.25">
      <c r="A2387" s="24" t="s">
        <v>291</v>
      </c>
      <c r="B2387" s="24" t="s">
        <v>37</v>
      </c>
      <c r="C2387" s="24" t="s">
        <v>38</v>
      </c>
      <c r="D2387" s="24">
        <v>2.4</v>
      </c>
      <c r="E2387" s="24" t="s">
        <v>796</v>
      </c>
      <c r="F2387" s="24" t="s">
        <v>920</v>
      </c>
      <c r="G2387" s="24">
        <v>173717</v>
      </c>
    </row>
    <row r="2388" spans="1:7" x14ac:dyDescent="0.25">
      <c r="A2388" s="24" t="s">
        <v>291</v>
      </c>
      <c r="B2388" s="24" t="s">
        <v>39</v>
      </c>
      <c r="C2388" s="24" t="s">
        <v>36</v>
      </c>
      <c r="D2388" s="24">
        <v>0.1</v>
      </c>
      <c r="E2388" s="24" t="s">
        <v>796</v>
      </c>
      <c r="F2388" s="24" t="s">
        <v>920</v>
      </c>
      <c r="G2388" s="24">
        <v>173717</v>
      </c>
    </row>
    <row r="2389" spans="1:7" x14ac:dyDescent="0.25">
      <c r="A2389" s="24" t="s">
        <v>291</v>
      </c>
      <c r="B2389" s="24" t="s">
        <v>40</v>
      </c>
      <c r="C2389" s="24" t="s">
        <v>31</v>
      </c>
      <c r="D2389" s="24">
        <v>0.1</v>
      </c>
      <c r="E2389" s="24" t="s">
        <v>796</v>
      </c>
      <c r="F2389" s="24" t="s">
        <v>920</v>
      </c>
      <c r="G2389" s="24">
        <v>173717</v>
      </c>
    </row>
    <row r="2390" spans="1:7" x14ac:dyDescent="0.25">
      <c r="A2390" s="24" t="s">
        <v>291</v>
      </c>
      <c r="B2390" s="24" t="s">
        <v>41</v>
      </c>
      <c r="C2390" s="24" t="s">
        <v>31</v>
      </c>
      <c r="D2390" s="24">
        <v>0.1</v>
      </c>
      <c r="E2390" s="24" t="s">
        <v>796</v>
      </c>
      <c r="F2390" s="24" t="s">
        <v>920</v>
      </c>
      <c r="G2390" s="24">
        <v>173717</v>
      </c>
    </row>
    <row r="2391" spans="1:7" x14ac:dyDescent="0.25">
      <c r="A2391" s="24" t="s">
        <v>291</v>
      </c>
      <c r="B2391" s="24" t="s">
        <v>42</v>
      </c>
      <c r="C2391" s="24" t="s">
        <v>43</v>
      </c>
      <c r="D2391" s="24">
        <v>5.7</v>
      </c>
      <c r="E2391" s="24" t="s">
        <v>796</v>
      </c>
      <c r="F2391" s="24" t="s">
        <v>920</v>
      </c>
      <c r="G2391" s="24">
        <v>173717</v>
      </c>
    </row>
    <row r="2392" spans="1:7" x14ac:dyDescent="0.25">
      <c r="A2392" s="24" t="s">
        <v>291</v>
      </c>
      <c r="B2392" s="24" t="s">
        <v>44</v>
      </c>
      <c r="C2392" s="24" t="s">
        <v>31</v>
      </c>
      <c r="D2392" s="24">
        <v>0.3</v>
      </c>
      <c r="E2392" s="24" t="s">
        <v>796</v>
      </c>
      <c r="F2392" s="24" t="s">
        <v>920</v>
      </c>
      <c r="G2392" s="24">
        <v>173717</v>
      </c>
    </row>
    <row r="2393" spans="1:7" x14ac:dyDescent="0.25">
      <c r="A2393" s="24" t="s">
        <v>291</v>
      </c>
      <c r="B2393" s="24" t="s">
        <v>45</v>
      </c>
      <c r="C2393" s="24" t="s">
        <v>31</v>
      </c>
      <c r="D2393" s="24">
        <v>1.7</v>
      </c>
      <c r="E2393" s="24" t="s">
        <v>796</v>
      </c>
      <c r="F2393" s="24" t="s">
        <v>920</v>
      </c>
      <c r="G2393" s="24">
        <v>173717</v>
      </c>
    </row>
    <row r="2394" spans="1:7" x14ac:dyDescent="0.25">
      <c r="A2394" s="24" t="s">
        <v>291</v>
      </c>
      <c r="B2394" s="24" t="s">
        <v>46</v>
      </c>
      <c r="C2394" s="24" t="s">
        <v>36</v>
      </c>
      <c r="D2394" s="24">
        <v>4.4000000000000004</v>
      </c>
      <c r="E2394" s="24" t="s">
        <v>796</v>
      </c>
      <c r="F2394" s="24" t="s">
        <v>920</v>
      </c>
      <c r="G2394" s="24">
        <v>173717</v>
      </c>
    </row>
    <row r="2395" spans="1:7" x14ac:dyDescent="0.25">
      <c r="A2395" s="24" t="s">
        <v>291</v>
      </c>
      <c r="B2395" s="24" t="s">
        <v>47</v>
      </c>
      <c r="C2395" s="24" t="s">
        <v>48</v>
      </c>
      <c r="D2395" s="24">
        <v>11.3</v>
      </c>
      <c r="E2395" s="24" t="s">
        <v>796</v>
      </c>
      <c r="F2395" s="24" t="s">
        <v>920</v>
      </c>
      <c r="G2395" s="24">
        <v>173717</v>
      </c>
    </row>
    <row r="2396" spans="1:7" x14ac:dyDescent="0.25">
      <c r="A2396" s="24" t="s">
        <v>291</v>
      </c>
      <c r="B2396" s="24" t="s">
        <v>51</v>
      </c>
      <c r="C2396" s="24" t="s">
        <v>31</v>
      </c>
      <c r="D2396" s="24">
        <v>25.7</v>
      </c>
      <c r="E2396" s="24" t="s">
        <v>796</v>
      </c>
      <c r="F2396" s="24" t="s">
        <v>920</v>
      </c>
      <c r="G2396" s="24">
        <v>173717</v>
      </c>
    </row>
    <row r="2397" spans="1:7" x14ac:dyDescent="0.25">
      <c r="A2397" s="24" t="s">
        <v>291</v>
      </c>
      <c r="B2397" s="24" t="s">
        <v>52</v>
      </c>
      <c r="C2397" s="24" t="s">
        <v>31</v>
      </c>
      <c r="D2397" s="24">
        <v>232</v>
      </c>
      <c r="E2397" s="24" t="s">
        <v>796</v>
      </c>
      <c r="F2397" s="24" t="s">
        <v>920</v>
      </c>
      <c r="G2397" s="24">
        <v>173717</v>
      </c>
    </row>
    <row r="2398" spans="1:7" x14ac:dyDescent="0.25">
      <c r="A2398" s="24" t="s">
        <v>291</v>
      </c>
      <c r="B2398" s="24" t="s">
        <v>53</v>
      </c>
      <c r="C2398" s="24" t="s">
        <v>31</v>
      </c>
      <c r="D2398" s="24">
        <v>25.7</v>
      </c>
      <c r="E2398" s="24" t="s">
        <v>796</v>
      </c>
      <c r="F2398" s="24" t="s">
        <v>920</v>
      </c>
      <c r="G2398" s="24">
        <v>173717</v>
      </c>
    </row>
    <row r="2399" spans="1:7" x14ac:dyDescent="0.25">
      <c r="A2399" s="24" t="s">
        <v>291</v>
      </c>
      <c r="B2399" s="24" t="s">
        <v>54</v>
      </c>
      <c r="C2399" s="24" t="s">
        <v>31</v>
      </c>
      <c r="D2399" s="24">
        <v>0.3</v>
      </c>
      <c r="E2399" s="24" t="s">
        <v>796</v>
      </c>
      <c r="F2399" s="24" t="s">
        <v>920</v>
      </c>
      <c r="G2399" s="24">
        <v>173717</v>
      </c>
    </row>
    <row r="2400" spans="1:7" x14ac:dyDescent="0.25">
      <c r="A2400" s="24" t="s">
        <v>291</v>
      </c>
      <c r="B2400" s="24" t="s">
        <v>55</v>
      </c>
      <c r="C2400" s="24" t="s">
        <v>31</v>
      </c>
      <c r="D2400" s="24">
        <v>0.5</v>
      </c>
      <c r="E2400" s="24" t="s">
        <v>796</v>
      </c>
      <c r="F2400" s="24" t="s">
        <v>920</v>
      </c>
      <c r="G2400" s="24">
        <v>173717</v>
      </c>
    </row>
    <row r="2401" spans="1:7" x14ac:dyDescent="0.25">
      <c r="A2401" s="24" t="s">
        <v>291</v>
      </c>
      <c r="B2401" s="24" t="s">
        <v>56</v>
      </c>
      <c r="C2401" s="24" t="s">
        <v>31</v>
      </c>
      <c r="D2401" s="24">
        <v>0</v>
      </c>
      <c r="E2401" s="24" t="s">
        <v>796</v>
      </c>
      <c r="F2401" s="24" t="s">
        <v>920</v>
      </c>
      <c r="G2401" s="24">
        <v>173717</v>
      </c>
    </row>
    <row r="2402" spans="1:7" x14ac:dyDescent="0.25">
      <c r="A2402" s="24" t="s">
        <v>291</v>
      </c>
      <c r="B2402" s="24" t="s">
        <v>57</v>
      </c>
      <c r="C2402" s="24" t="s">
        <v>36</v>
      </c>
      <c r="D2402" s="24">
        <v>24.2</v>
      </c>
      <c r="E2402" s="24" t="s">
        <v>796</v>
      </c>
      <c r="F2402" s="24" t="s">
        <v>920</v>
      </c>
      <c r="G2402" s="24">
        <v>173717</v>
      </c>
    </row>
    <row r="2403" spans="1:7" x14ac:dyDescent="0.25">
      <c r="A2403" s="24" t="s">
        <v>291</v>
      </c>
      <c r="B2403" s="24" t="s">
        <v>58</v>
      </c>
      <c r="C2403" s="24" t="s">
        <v>5</v>
      </c>
      <c r="D2403" s="24">
        <v>0</v>
      </c>
      <c r="E2403" s="24" t="s">
        <v>795</v>
      </c>
      <c r="F2403" s="24"/>
      <c r="G2403" s="24"/>
    </row>
    <row r="2404" spans="1:7" x14ac:dyDescent="0.25">
      <c r="A2404" s="24" t="s">
        <v>292</v>
      </c>
      <c r="B2404" s="24" t="s">
        <v>32</v>
      </c>
      <c r="C2404" s="24" t="s">
        <v>33</v>
      </c>
      <c r="D2404" s="24">
        <v>108.7</v>
      </c>
      <c r="E2404" s="24" t="s">
        <v>796</v>
      </c>
      <c r="F2404" s="24" t="s">
        <v>920</v>
      </c>
      <c r="G2404" s="24">
        <v>173717</v>
      </c>
    </row>
    <row r="2405" spans="1:7" x14ac:dyDescent="0.25">
      <c r="A2405" s="24" t="s">
        <v>292</v>
      </c>
      <c r="B2405" s="24" t="s">
        <v>34</v>
      </c>
      <c r="C2405" s="24" t="s">
        <v>31</v>
      </c>
      <c r="D2405" s="24">
        <v>3.8</v>
      </c>
      <c r="E2405" s="24" t="s">
        <v>796</v>
      </c>
      <c r="F2405" s="24" t="s">
        <v>920</v>
      </c>
      <c r="G2405" s="24">
        <v>173717</v>
      </c>
    </row>
    <row r="2406" spans="1:7" x14ac:dyDescent="0.25">
      <c r="A2406" s="24" t="s">
        <v>292</v>
      </c>
      <c r="B2406" s="24" t="s">
        <v>35</v>
      </c>
      <c r="C2406" s="24" t="s">
        <v>36</v>
      </c>
      <c r="D2406" s="24">
        <v>20.6</v>
      </c>
      <c r="E2406" s="24" t="s">
        <v>796</v>
      </c>
      <c r="F2406" s="24" t="s">
        <v>920</v>
      </c>
      <c r="G2406" s="24">
        <v>173717</v>
      </c>
    </row>
    <row r="2407" spans="1:7" x14ac:dyDescent="0.25">
      <c r="A2407" s="24" t="s">
        <v>292</v>
      </c>
      <c r="B2407" s="24" t="s">
        <v>37</v>
      </c>
      <c r="C2407" s="24" t="s">
        <v>38</v>
      </c>
      <c r="D2407" s="24">
        <v>3</v>
      </c>
      <c r="E2407" s="24" t="s">
        <v>796</v>
      </c>
      <c r="F2407" s="24" t="s">
        <v>920</v>
      </c>
      <c r="G2407" s="24">
        <v>173717</v>
      </c>
    </row>
    <row r="2408" spans="1:7" x14ac:dyDescent="0.25">
      <c r="A2408" s="24" t="s">
        <v>292</v>
      </c>
      <c r="B2408" s="24" t="s">
        <v>39</v>
      </c>
      <c r="C2408" s="24" t="s">
        <v>36</v>
      </c>
      <c r="D2408" s="24">
        <v>0.1</v>
      </c>
      <c r="E2408" s="24" t="s">
        <v>796</v>
      </c>
      <c r="F2408" s="24" t="s">
        <v>920</v>
      </c>
      <c r="G2408" s="24">
        <v>173717</v>
      </c>
    </row>
    <row r="2409" spans="1:7" x14ac:dyDescent="0.25">
      <c r="A2409" s="24" t="s">
        <v>292</v>
      </c>
      <c r="B2409" s="24" t="s">
        <v>40</v>
      </c>
      <c r="C2409" s="24" t="s">
        <v>31</v>
      </c>
      <c r="D2409" s="24">
        <v>0.2</v>
      </c>
      <c r="E2409" s="24" t="s">
        <v>796</v>
      </c>
      <c r="F2409" s="24" t="s">
        <v>920</v>
      </c>
      <c r="G2409" s="24">
        <v>173717</v>
      </c>
    </row>
    <row r="2410" spans="1:7" x14ac:dyDescent="0.25">
      <c r="A2410" s="24" t="s">
        <v>292</v>
      </c>
      <c r="B2410" s="24" t="s">
        <v>41</v>
      </c>
      <c r="C2410" s="24" t="s">
        <v>31</v>
      </c>
      <c r="D2410" s="24">
        <v>0.1</v>
      </c>
      <c r="E2410" s="24" t="s">
        <v>796</v>
      </c>
      <c r="F2410" s="24" t="s">
        <v>920</v>
      </c>
      <c r="G2410" s="24">
        <v>173717</v>
      </c>
    </row>
    <row r="2411" spans="1:7" x14ac:dyDescent="0.25">
      <c r="A2411" s="24" t="s">
        <v>292</v>
      </c>
      <c r="B2411" s="24" t="s">
        <v>42</v>
      </c>
      <c r="C2411" s="24" t="s">
        <v>43</v>
      </c>
      <c r="D2411" s="24">
        <v>7.2</v>
      </c>
      <c r="E2411" s="24" t="s">
        <v>796</v>
      </c>
      <c r="F2411" s="24" t="s">
        <v>920</v>
      </c>
      <c r="G2411" s="24">
        <v>173717</v>
      </c>
    </row>
    <row r="2412" spans="1:7" x14ac:dyDescent="0.25">
      <c r="A2412" s="24" t="s">
        <v>292</v>
      </c>
      <c r="B2412" s="24" t="s">
        <v>44</v>
      </c>
      <c r="C2412" s="24" t="s">
        <v>31</v>
      </c>
      <c r="D2412" s="24">
        <v>0.4</v>
      </c>
      <c r="E2412" s="24" t="s">
        <v>796</v>
      </c>
      <c r="F2412" s="24" t="s">
        <v>920</v>
      </c>
      <c r="G2412" s="24">
        <v>173717</v>
      </c>
    </row>
    <row r="2413" spans="1:7" x14ac:dyDescent="0.25">
      <c r="A2413" s="24" t="s">
        <v>292</v>
      </c>
      <c r="B2413" s="24" t="s">
        <v>45</v>
      </c>
      <c r="C2413" s="24" t="s">
        <v>31</v>
      </c>
      <c r="D2413" s="24">
        <v>2.2000000000000002</v>
      </c>
      <c r="E2413" s="24" t="s">
        <v>796</v>
      </c>
      <c r="F2413" s="24" t="s">
        <v>920</v>
      </c>
      <c r="G2413" s="24">
        <v>173717</v>
      </c>
    </row>
    <row r="2414" spans="1:7" x14ac:dyDescent="0.25">
      <c r="A2414" s="24" t="s">
        <v>292</v>
      </c>
      <c r="B2414" s="24" t="s">
        <v>46</v>
      </c>
      <c r="C2414" s="24" t="s">
        <v>36</v>
      </c>
      <c r="D2414" s="24">
        <v>5.6</v>
      </c>
      <c r="E2414" s="24" t="s">
        <v>796</v>
      </c>
      <c r="F2414" s="24" t="s">
        <v>920</v>
      </c>
      <c r="G2414" s="24">
        <v>173717</v>
      </c>
    </row>
    <row r="2415" spans="1:7" x14ac:dyDescent="0.25">
      <c r="A2415" s="24" t="s">
        <v>292</v>
      </c>
      <c r="B2415" s="24" t="s">
        <v>47</v>
      </c>
      <c r="C2415" s="24" t="s">
        <v>48</v>
      </c>
      <c r="D2415" s="24">
        <v>14.2</v>
      </c>
      <c r="E2415" s="24" t="s">
        <v>796</v>
      </c>
      <c r="F2415" s="24" t="s">
        <v>920</v>
      </c>
      <c r="G2415" s="24">
        <v>173717</v>
      </c>
    </row>
    <row r="2416" spans="1:7" x14ac:dyDescent="0.25">
      <c r="A2416" s="24" t="s">
        <v>292</v>
      </c>
      <c r="B2416" s="24" t="s">
        <v>50</v>
      </c>
      <c r="C2416" s="24" t="s">
        <v>31</v>
      </c>
      <c r="D2416" s="24">
        <v>487.8</v>
      </c>
      <c r="E2416" s="24" t="s">
        <v>796</v>
      </c>
      <c r="F2416" s="24" t="s">
        <v>920</v>
      </c>
      <c r="G2416" s="24">
        <v>173717</v>
      </c>
    </row>
    <row r="2417" spans="1:7" x14ac:dyDescent="0.25">
      <c r="A2417" s="24" t="s">
        <v>292</v>
      </c>
      <c r="B2417" s="24" t="s">
        <v>51</v>
      </c>
      <c r="C2417" s="24" t="s">
        <v>31</v>
      </c>
      <c r="D2417" s="24">
        <v>32.299999999999997</v>
      </c>
      <c r="E2417" s="24" t="s">
        <v>796</v>
      </c>
      <c r="F2417" s="24" t="s">
        <v>920</v>
      </c>
      <c r="G2417" s="24">
        <v>173717</v>
      </c>
    </row>
    <row r="2418" spans="1:7" x14ac:dyDescent="0.25">
      <c r="A2418" s="24" t="s">
        <v>292</v>
      </c>
      <c r="B2418" s="24" t="s">
        <v>52</v>
      </c>
      <c r="C2418" s="24" t="s">
        <v>31</v>
      </c>
      <c r="D2418" s="24">
        <v>292.39999999999998</v>
      </c>
      <c r="E2418" s="24" t="s">
        <v>796</v>
      </c>
      <c r="F2418" s="24" t="s">
        <v>920</v>
      </c>
      <c r="G2418" s="24">
        <v>173717</v>
      </c>
    </row>
    <row r="2419" spans="1:7" x14ac:dyDescent="0.25">
      <c r="A2419" s="24" t="s">
        <v>292</v>
      </c>
      <c r="B2419" s="24" t="s">
        <v>53</v>
      </c>
      <c r="C2419" s="24" t="s">
        <v>31</v>
      </c>
      <c r="D2419" s="24">
        <v>32.299999999999997</v>
      </c>
      <c r="E2419" s="24" t="s">
        <v>796</v>
      </c>
      <c r="F2419" s="24" t="s">
        <v>920</v>
      </c>
      <c r="G2419" s="24">
        <v>173717</v>
      </c>
    </row>
    <row r="2420" spans="1:7" x14ac:dyDescent="0.25">
      <c r="A2420" s="24" t="s">
        <v>292</v>
      </c>
      <c r="B2420" s="24" t="s">
        <v>54</v>
      </c>
      <c r="C2420" s="24" t="s">
        <v>31</v>
      </c>
      <c r="D2420" s="24">
        <v>0.4</v>
      </c>
      <c r="E2420" s="24" t="s">
        <v>796</v>
      </c>
      <c r="F2420" s="24" t="s">
        <v>920</v>
      </c>
      <c r="G2420" s="24">
        <v>173717</v>
      </c>
    </row>
    <row r="2421" spans="1:7" x14ac:dyDescent="0.25">
      <c r="A2421" s="24" t="s">
        <v>292</v>
      </c>
      <c r="B2421" s="24" t="s">
        <v>55</v>
      </c>
      <c r="C2421" s="24" t="s">
        <v>31</v>
      </c>
      <c r="D2421" s="24">
        <v>0.6</v>
      </c>
      <c r="E2421" s="24" t="s">
        <v>796</v>
      </c>
      <c r="F2421" s="24" t="s">
        <v>920</v>
      </c>
      <c r="G2421" s="24">
        <v>173717</v>
      </c>
    </row>
    <row r="2422" spans="1:7" x14ac:dyDescent="0.25">
      <c r="A2422" s="24" t="s">
        <v>292</v>
      </c>
      <c r="B2422" s="24" t="s">
        <v>56</v>
      </c>
      <c r="C2422" s="24" t="s">
        <v>31</v>
      </c>
      <c r="D2422" s="24">
        <v>0.1</v>
      </c>
      <c r="E2422" s="24" t="s">
        <v>796</v>
      </c>
      <c r="F2422" s="24" t="s">
        <v>920</v>
      </c>
      <c r="G2422" s="24">
        <v>173717</v>
      </c>
    </row>
    <row r="2423" spans="1:7" x14ac:dyDescent="0.25">
      <c r="A2423" s="24" t="s">
        <v>292</v>
      </c>
      <c r="B2423" s="24" t="s">
        <v>57</v>
      </c>
      <c r="C2423" s="24" t="s">
        <v>36</v>
      </c>
      <c r="D2423" s="24">
        <v>30.5</v>
      </c>
      <c r="E2423" s="24" t="s">
        <v>796</v>
      </c>
      <c r="F2423" s="24" t="s">
        <v>920</v>
      </c>
      <c r="G2423" s="24">
        <v>173717</v>
      </c>
    </row>
    <row r="2424" spans="1:7" x14ac:dyDescent="0.25">
      <c r="A2424" s="24" t="s">
        <v>292</v>
      </c>
      <c r="B2424" s="24" t="s">
        <v>58</v>
      </c>
      <c r="C2424" s="24" t="s">
        <v>5</v>
      </c>
      <c r="D2424" s="24">
        <v>0</v>
      </c>
      <c r="E2424" s="24" t="s">
        <v>795</v>
      </c>
      <c r="F2424" s="24"/>
      <c r="G2424" s="24"/>
    </row>
    <row r="2425" spans="1:7" x14ac:dyDescent="0.25">
      <c r="A2425" s="24" t="s">
        <v>293</v>
      </c>
      <c r="B2425" s="24" t="s">
        <v>58</v>
      </c>
      <c r="C2425" s="24" t="s">
        <v>5</v>
      </c>
      <c r="D2425" s="24">
        <v>0</v>
      </c>
      <c r="E2425" s="24" t="s">
        <v>795</v>
      </c>
      <c r="F2425" s="24"/>
      <c r="G2425" s="24"/>
    </row>
    <row r="2426" spans="1:7" x14ac:dyDescent="0.25">
      <c r="A2426" s="24" t="s">
        <v>294</v>
      </c>
      <c r="B2426" s="24" t="s">
        <v>26</v>
      </c>
      <c r="C2426" s="24" t="s">
        <v>5</v>
      </c>
      <c r="D2426" s="24">
        <v>0.28000000000000003</v>
      </c>
      <c r="E2426" s="24" t="s">
        <v>799</v>
      </c>
      <c r="F2426" s="24" t="s">
        <v>921</v>
      </c>
      <c r="G2426" s="24">
        <v>173702</v>
      </c>
    </row>
    <row r="2427" spans="1:7" x14ac:dyDescent="0.25">
      <c r="A2427" s="24" t="s">
        <v>294</v>
      </c>
      <c r="B2427" s="24" t="s">
        <v>27</v>
      </c>
      <c r="C2427" s="24" t="s">
        <v>5</v>
      </c>
      <c r="D2427" s="24">
        <v>0.22</v>
      </c>
      <c r="E2427" s="24" t="s">
        <v>799</v>
      </c>
      <c r="F2427" s="24" t="s">
        <v>921</v>
      </c>
      <c r="G2427" s="24">
        <v>173702</v>
      </c>
    </row>
    <row r="2428" spans="1:7" x14ac:dyDescent="0.25">
      <c r="A2428" s="24" t="s">
        <v>294</v>
      </c>
      <c r="B2428" s="24" t="s">
        <v>28</v>
      </c>
      <c r="C2428" s="24" t="s">
        <v>5</v>
      </c>
      <c r="D2428" s="24">
        <v>0.64</v>
      </c>
      <c r="E2428" s="24" t="s">
        <v>799</v>
      </c>
      <c r="F2428" s="24" t="s">
        <v>921</v>
      </c>
      <c r="G2428" s="24">
        <v>173702</v>
      </c>
    </row>
    <row r="2429" spans="1:7" x14ac:dyDescent="0.25">
      <c r="A2429" s="24" t="s">
        <v>294</v>
      </c>
      <c r="B2429" s="24" t="s">
        <v>30</v>
      </c>
      <c r="C2429" s="24" t="s">
        <v>31</v>
      </c>
      <c r="D2429" s="24">
        <v>30</v>
      </c>
      <c r="E2429" s="24" t="s">
        <v>801</v>
      </c>
      <c r="F2429" s="24" t="s">
        <v>921</v>
      </c>
      <c r="G2429" s="24">
        <v>173702</v>
      </c>
    </row>
    <row r="2430" spans="1:7" x14ac:dyDescent="0.25">
      <c r="A2430" s="24" t="s">
        <v>294</v>
      </c>
      <c r="B2430" s="24" t="s">
        <v>32</v>
      </c>
      <c r="C2430" s="24" t="s">
        <v>33</v>
      </c>
      <c r="D2430" s="24">
        <v>24.9</v>
      </c>
      <c r="E2430" s="24" t="s">
        <v>796</v>
      </c>
      <c r="F2430" s="24" t="s">
        <v>921</v>
      </c>
      <c r="G2430" s="24">
        <v>173702</v>
      </c>
    </row>
    <row r="2431" spans="1:7" x14ac:dyDescent="0.25">
      <c r="A2431" s="24" t="s">
        <v>294</v>
      </c>
      <c r="B2431" s="24" t="s">
        <v>34</v>
      </c>
      <c r="C2431" s="24" t="s">
        <v>31</v>
      </c>
      <c r="D2431" s="24">
        <v>0</v>
      </c>
      <c r="E2431" s="24" t="s">
        <v>796</v>
      </c>
      <c r="F2431" s="24" t="s">
        <v>921</v>
      </c>
      <c r="G2431" s="24">
        <v>173702</v>
      </c>
    </row>
    <row r="2432" spans="1:7" x14ac:dyDescent="0.25">
      <c r="A2432" s="24" t="s">
        <v>294</v>
      </c>
      <c r="B2432" s="24" t="s">
        <v>37</v>
      </c>
      <c r="C2432" s="24" t="s">
        <v>38</v>
      </c>
      <c r="D2432" s="24">
        <v>0.8</v>
      </c>
      <c r="E2432" s="24" t="s">
        <v>796</v>
      </c>
      <c r="F2432" s="24" t="s">
        <v>921</v>
      </c>
      <c r="G2432" s="24">
        <v>173702</v>
      </c>
    </row>
    <row r="2433" spans="1:7" x14ac:dyDescent="0.25">
      <c r="A2433" s="24" t="s">
        <v>294</v>
      </c>
      <c r="B2433" s="24" t="s">
        <v>39</v>
      </c>
      <c r="C2433" s="24" t="s">
        <v>36</v>
      </c>
      <c r="D2433" s="24">
        <v>0.1</v>
      </c>
      <c r="E2433" s="24" t="s">
        <v>796</v>
      </c>
      <c r="F2433" s="24" t="s">
        <v>921</v>
      </c>
      <c r="G2433" s="24">
        <v>173702</v>
      </c>
    </row>
    <row r="2434" spans="1:7" x14ac:dyDescent="0.25">
      <c r="A2434" s="24" t="s">
        <v>294</v>
      </c>
      <c r="B2434" s="24" t="s">
        <v>40</v>
      </c>
      <c r="C2434" s="24" t="s">
        <v>31</v>
      </c>
      <c r="D2434" s="24">
        <v>0</v>
      </c>
      <c r="E2434" s="24" t="s">
        <v>796</v>
      </c>
      <c r="F2434" s="24" t="s">
        <v>921</v>
      </c>
      <c r="G2434" s="24">
        <v>173702</v>
      </c>
    </row>
    <row r="2435" spans="1:7" x14ac:dyDescent="0.25">
      <c r="A2435" s="24" t="s">
        <v>294</v>
      </c>
      <c r="B2435" s="24" t="s">
        <v>41</v>
      </c>
      <c r="C2435" s="24" t="s">
        <v>31</v>
      </c>
      <c r="D2435" s="24">
        <v>0</v>
      </c>
      <c r="E2435" s="24" t="s">
        <v>796</v>
      </c>
      <c r="F2435" s="24" t="s">
        <v>921</v>
      </c>
      <c r="G2435" s="24">
        <v>173702</v>
      </c>
    </row>
    <row r="2436" spans="1:7" x14ac:dyDescent="0.25">
      <c r="A2436" s="24" t="s">
        <v>294</v>
      </c>
      <c r="B2436" s="24" t="s">
        <v>42</v>
      </c>
      <c r="C2436" s="24" t="s">
        <v>43</v>
      </c>
      <c r="D2436" s="24">
        <v>0.3</v>
      </c>
      <c r="E2436" s="24" t="s">
        <v>796</v>
      </c>
      <c r="F2436" s="24" t="s">
        <v>921</v>
      </c>
      <c r="G2436" s="24">
        <v>173702</v>
      </c>
    </row>
    <row r="2437" spans="1:7" x14ac:dyDescent="0.25">
      <c r="A2437" s="24" t="s">
        <v>294</v>
      </c>
      <c r="B2437" s="24" t="s">
        <v>44</v>
      </c>
      <c r="C2437" s="24" t="s">
        <v>31</v>
      </c>
      <c r="D2437" s="24">
        <v>0</v>
      </c>
      <c r="E2437" s="24" t="s">
        <v>796</v>
      </c>
      <c r="F2437" s="24" t="s">
        <v>921</v>
      </c>
      <c r="G2437" s="24">
        <v>173702</v>
      </c>
    </row>
    <row r="2438" spans="1:7" x14ac:dyDescent="0.25">
      <c r="A2438" s="24" t="s">
        <v>294</v>
      </c>
      <c r="B2438" s="24" t="s">
        <v>45</v>
      </c>
      <c r="C2438" s="24" t="s">
        <v>31</v>
      </c>
      <c r="D2438" s="24">
        <v>0.1</v>
      </c>
      <c r="E2438" s="24" t="s">
        <v>796</v>
      </c>
      <c r="F2438" s="24" t="s">
        <v>921</v>
      </c>
      <c r="G2438" s="24">
        <v>173702</v>
      </c>
    </row>
    <row r="2439" spans="1:7" x14ac:dyDescent="0.25">
      <c r="A2439" s="24" t="s">
        <v>294</v>
      </c>
      <c r="B2439" s="24" t="s">
        <v>46</v>
      </c>
      <c r="C2439" s="24" t="s">
        <v>36</v>
      </c>
      <c r="D2439" s="24">
        <v>2</v>
      </c>
      <c r="E2439" s="24" t="s">
        <v>796</v>
      </c>
      <c r="F2439" s="24" t="s">
        <v>921</v>
      </c>
      <c r="G2439" s="24">
        <v>173702</v>
      </c>
    </row>
    <row r="2440" spans="1:7" x14ac:dyDescent="0.25">
      <c r="A2440" s="24" t="s">
        <v>294</v>
      </c>
      <c r="B2440" s="24" t="s">
        <v>47</v>
      </c>
      <c r="C2440" s="24" t="s">
        <v>48</v>
      </c>
      <c r="D2440" s="24">
        <v>2.5</v>
      </c>
      <c r="E2440" s="24" t="s">
        <v>796</v>
      </c>
      <c r="F2440" s="24" t="s">
        <v>921</v>
      </c>
      <c r="G2440" s="24">
        <v>173702</v>
      </c>
    </row>
    <row r="2441" spans="1:7" x14ac:dyDescent="0.25">
      <c r="A2441" s="24" t="s">
        <v>294</v>
      </c>
      <c r="B2441" s="24" t="s">
        <v>50</v>
      </c>
      <c r="C2441" s="24" t="s">
        <v>31</v>
      </c>
      <c r="D2441" s="24">
        <v>139.19999999999999</v>
      </c>
      <c r="E2441" s="24" t="s">
        <v>796</v>
      </c>
      <c r="F2441" s="24" t="s">
        <v>921</v>
      </c>
      <c r="G2441" s="24">
        <v>173702</v>
      </c>
    </row>
    <row r="2442" spans="1:7" x14ac:dyDescent="0.25">
      <c r="A2442" s="24" t="s">
        <v>294</v>
      </c>
      <c r="B2442" s="24" t="s">
        <v>51</v>
      </c>
      <c r="C2442" s="24" t="s">
        <v>31</v>
      </c>
      <c r="D2442" s="24">
        <v>11.2</v>
      </c>
      <c r="E2442" s="24" t="s">
        <v>796</v>
      </c>
      <c r="F2442" s="24" t="s">
        <v>921</v>
      </c>
      <c r="G2442" s="24">
        <v>173702</v>
      </c>
    </row>
    <row r="2443" spans="1:7" x14ac:dyDescent="0.25">
      <c r="A2443" s="24" t="s">
        <v>294</v>
      </c>
      <c r="B2443" s="24" t="s">
        <v>52</v>
      </c>
      <c r="C2443" s="24" t="s">
        <v>31</v>
      </c>
      <c r="D2443" s="24">
        <v>350.4</v>
      </c>
      <c r="E2443" s="24" t="s">
        <v>796</v>
      </c>
      <c r="F2443" s="24" t="s">
        <v>921</v>
      </c>
      <c r="G2443" s="24">
        <v>173702</v>
      </c>
    </row>
    <row r="2444" spans="1:7" x14ac:dyDescent="0.25">
      <c r="A2444" s="24" t="s">
        <v>294</v>
      </c>
      <c r="B2444" s="24" t="s">
        <v>53</v>
      </c>
      <c r="C2444" s="24" t="s">
        <v>31</v>
      </c>
      <c r="D2444" s="24">
        <v>53.4</v>
      </c>
      <c r="E2444" s="24" t="s">
        <v>796</v>
      </c>
      <c r="F2444" s="24" t="s">
        <v>921</v>
      </c>
      <c r="G2444" s="24">
        <v>173702</v>
      </c>
    </row>
    <row r="2445" spans="1:7" x14ac:dyDescent="0.25">
      <c r="A2445" s="24" t="s">
        <v>294</v>
      </c>
      <c r="B2445" s="24" t="s">
        <v>54</v>
      </c>
      <c r="C2445" s="24" t="s">
        <v>31</v>
      </c>
      <c r="D2445" s="24">
        <v>0.3</v>
      </c>
      <c r="E2445" s="24" t="s">
        <v>796</v>
      </c>
      <c r="F2445" s="24" t="s">
        <v>921</v>
      </c>
      <c r="G2445" s="24">
        <v>173702</v>
      </c>
    </row>
    <row r="2446" spans="1:7" x14ac:dyDescent="0.25">
      <c r="A2446" s="24" t="s">
        <v>294</v>
      </c>
      <c r="B2446" s="24" t="s">
        <v>55</v>
      </c>
      <c r="C2446" s="24" t="s">
        <v>31</v>
      </c>
      <c r="D2446" s="24">
        <v>0.4</v>
      </c>
      <c r="E2446" s="24" t="s">
        <v>796</v>
      </c>
      <c r="F2446" s="24" t="s">
        <v>921</v>
      </c>
      <c r="G2446" s="24">
        <v>173702</v>
      </c>
    </row>
    <row r="2447" spans="1:7" x14ac:dyDescent="0.25">
      <c r="A2447" s="24" t="s">
        <v>294</v>
      </c>
      <c r="B2447" s="24" t="s">
        <v>56</v>
      </c>
      <c r="C2447" s="24" t="s">
        <v>31</v>
      </c>
      <c r="D2447" s="24">
        <v>0</v>
      </c>
      <c r="E2447" s="24" t="s">
        <v>796</v>
      </c>
      <c r="F2447" s="24" t="s">
        <v>921</v>
      </c>
      <c r="G2447" s="24">
        <v>173702</v>
      </c>
    </row>
    <row r="2448" spans="1:7" x14ac:dyDescent="0.25">
      <c r="A2448" s="24" t="s">
        <v>294</v>
      </c>
      <c r="B2448" s="24" t="s">
        <v>57</v>
      </c>
      <c r="C2448" s="24" t="s">
        <v>36</v>
      </c>
      <c r="D2448" s="24">
        <v>34.9</v>
      </c>
      <c r="E2448" s="24" t="s">
        <v>796</v>
      </c>
      <c r="F2448" s="24" t="s">
        <v>921</v>
      </c>
      <c r="G2448" s="24">
        <v>173702</v>
      </c>
    </row>
    <row r="2449" spans="1:7" x14ac:dyDescent="0.25">
      <c r="A2449" s="24" t="s">
        <v>294</v>
      </c>
      <c r="B2449" s="24" t="s">
        <v>58</v>
      </c>
      <c r="C2449" s="24" t="s">
        <v>5</v>
      </c>
      <c r="D2449" s="24">
        <v>0</v>
      </c>
      <c r="E2449" s="24" t="s">
        <v>795</v>
      </c>
      <c r="F2449" s="24"/>
      <c r="G2449" s="24"/>
    </row>
    <row r="2450" spans="1:7" x14ac:dyDescent="0.25">
      <c r="A2450" s="24" t="s">
        <v>295</v>
      </c>
      <c r="B2450" s="24" t="s">
        <v>23</v>
      </c>
      <c r="C2450" s="24" t="s">
        <v>5</v>
      </c>
      <c r="D2450" s="24">
        <v>0</v>
      </c>
      <c r="E2450" s="24" t="s">
        <v>796</v>
      </c>
      <c r="F2450" s="24" t="s">
        <v>922</v>
      </c>
      <c r="G2450" s="24">
        <v>175132</v>
      </c>
    </row>
    <row r="2451" spans="1:7" x14ac:dyDescent="0.25">
      <c r="A2451" s="24" t="s">
        <v>295</v>
      </c>
      <c r="B2451" s="24" t="s">
        <v>35</v>
      </c>
      <c r="C2451" s="24" t="s">
        <v>36</v>
      </c>
      <c r="D2451" s="24">
        <v>10.5</v>
      </c>
      <c r="E2451" s="24" t="s">
        <v>796</v>
      </c>
      <c r="F2451" s="24" t="s">
        <v>922</v>
      </c>
      <c r="G2451" s="24">
        <v>175132</v>
      </c>
    </row>
    <row r="2452" spans="1:7" x14ac:dyDescent="0.25">
      <c r="A2452" s="24" t="s">
        <v>295</v>
      </c>
      <c r="B2452" s="24" t="s">
        <v>37</v>
      </c>
      <c r="C2452" s="24" t="s">
        <v>38</v>
      </c>
      <c r="D2452" s="24">
        <v>6.1</v>
      </c>
      <c r="E2452" s="24" t="s">
        <v>796</v>
      </c>
      <c r="F2452" s="24" t="s">
        <v>922</v>
      </c>
      <c r="G2452" s="24">
        <v>175132</v>
      </c>
    </row>
    <row r="2453" spans="1:7" x14ac:dyDescent="0.25">
      <c r="A2453" s="24" t="s">
        <v>295</v>
      </c>
      <c r="B2453" s="24" t="s">
        <v>39</v>
      </c>
      <c r="C2453" s="24" t="s">
        <v>36</v>
      </c>
      <c r="D2453" s="24">
        <v>0.2</v>
      </c>
      <c r="E2453" s="24" t="s">
        <v>796</v>
      </c>
      <c r="F2453" s="24" t="s">
        <v>922</v>
      </c>
      <c r="G2453" s="24">
        <v>175132</v>
      </c>
    </row>
    <row r="2454" spans="1:7" x14ac:dyDescent="0.25">
      <c r="A2454" s="24" t="s">
        <v>295</v>
      </c>
      <c r="B2454" s="24" t="s">
        <v>44</v>
      </c>
      <c r="C2454" s="24" t="s">
        <v>31</v>
      </c>
      <c r="D2454" s="24">
        <v>0.1</v>
      </c>
      <c r="E2454" s="24" t="s">
        <v>796</v>
      </c>
      <c r="F2454" s="24" t="s">
        <v>922</v>
      </c>
      <c r="G2454" s="24">
        <v>175132</v>
      </c>
    </row>
    <row r="2455" spans="1:7" x14ac:dyDescent="0.25">
      <c r="A2455" s="24" t="s">
        <v>295</v>
      </c>
      <c r="B2455" s="24" t="s">
        <v>45</v>
      </c>
      <c r="C2455" s="24" t="s">
        <v>31</v>
      </c>
      <c r="D2455" s="24">
        <v>0.9</v>
      </c>
      <c r="E2455" s="24" t="s">
        <v>796</v>
      </c>
      <c r="F2455" s="24" t="s">
        <v>922</v>
      </c>
      <c r="G2455" s="24">
        <v>175132</v>
      </c>
    </row>
    <row r="2456" spans="1:7" x14ac:dyDescent="0.25">
      <c r="A2456" s="24" t="s">
        <v>295</v>
      </c>
      <c r="B2456" s="24" t="s">
        <v>46</v>
      </c>
      <c r="C2456" s="24" t="s">
        <v>36</v>
      </c>
      <c r="D2456" s="24">
        <v>8.6</v>
      </c>
      <c r="E2456" s="24" t="s">
        <v>796</v>
      </c>
      <c r="F2456" s="24" t="s">
        <v>922</v>
      </c>
      <c r="G2456" s="24">
        <v>175132</v>
      </c>
    </row>
    <row r="2457" spans="1:7" x14ac:dyDescent="0.25">
      <c r="A2457" s="24" t="s">
        <v>295</v>
      </c>
      <c r="B2457" s="24" t="s">
        <v>47</v>
      </c>
      <c r="C2457" s="24" t="s">
        <v>48</v>
      </c>
      <c r="D2457" s="24">
        <v>69.2</v>
      </c>
      <c r="E2457" s="24" t="s">
        <v>796</v>
      </c>
      <c r="F2457" s="24" t="s">
        <v>922</v>
      </c>
      <c r="G2457" s="24">
        <v>175132</v>
      </c>
    </row>
    <row r="2458" spans="1:7" x14ac:dyDescent="0.25">
      <c r="A2458" s="24" t="s">
        <v>295</v>
      </c>
      <c r="B2458" s="24" t="s">
        <v>50</v>
      </c>
      <c r="C2458" s="24" t="s">
        <v>31</v>
      </c>
      <c r="D2458" s="24">
        <v>191.1</v>
      </c>
      <c r="E2458" s="24" t="s">
        <v>796</v>
      </c>
      <c r="F2458" s="24" t="s">
        <v>922</v>
      </c>
      <c r="G2458" s="24">
        <v>175132</v>
      </c>
    </row>
    <row r="2459" spans="1:7" x14ac:dyDescent="0.25">
      <c r="A2459" s="24" t="s">
        <v>295</v>
      </c>
      <c r="B2459" s="24" t="s">
        <v>52</v>
      </c>
      <c r="C2459" s="24" t="s">
        <v>31</v>
      </c>
      <c r="D2459" s="24">
        <v>347.6</v>
      </c>
      <c r="E2459" s="24" t="s">
        <v>796</v>
      </c>
      <c r="F2459" s="24" t="s">
        <v>922</v>
      </c>
      <c r="G2459" s="24">
        <v>175132</v>
      </c>
    </row>
    <row r="2460" spans="1:7" x14ac:dyDescent="0.25">
      <c r="A2460" s="24" t="s">
        <v>295</v>
      </c>
      <c r="B2460" s="24" t="s">
        <v>53</v>
      </c>
      <c r="C2460" s="24" t="s">
        <v>31</v>
      </c>
      <c r="D2460" s="24">
        <v>17.3</v>
      </c>
      <c r="E2460" s="24" t="s">
        <v>796</v>
      </c>
      <c r="F2460" s="24" t="s">
        <v>922</v>
      </c>
      <c r="G2460" s="24">
        <v>175132</v>
      </c>
    </row>
    <row r="2461" spans="1:7" x14ac:dyDescent="0.25">
      <c r="A2461" s="24" t="s">
        <v>295</v>
      </c>
      <c r="B2461" s="24" t="s">
        <v>55</v>
      </c>
      <c r="C2461" s="24" t="s">
        <v>31</v>
      </c>
      <c r="D2461" s="24">
        <v>0.9</v>
      </c>
      <c r="E2461" s="24" t="s">
        <v>796</v>
      </c>
      <c r="F2461" s="24" t="s">
        <v>922</v>
      </c>
      <c r="G2461" s="24">
        <v>175132</v>
      </c>
    </row>
    <row r="2462" spans="1:7" x14ac:dyDescent="0.25">
      <c r="A2462" s="24" t="s">
        <v>295</v>
      </c>
      <c r="B2462" s="24" t="s">
        <v>56</v>
      </c>
      <c r="C2462" s="24" t="s">
        <v>31</v>
      </c>
      <c r="D2462" s="24">
        <v>0.1</v>
      </c>
      <c r="E2462" s="24" t="s">
        <v>796</v>
      </c>
      <c r="F2462" s="24" t="s">
        <v>922</v>
      </c>
      <c r="G2462" s="24">
        <v>175132</v>
      </c>
    </row>
    <row r="2463" spans="1:7" x14ac:dyDescent="0.25">
      <c r="A2463" s="24" t="s">
        <v>295</v>
      </c>
      <c r="B2463" s="24" t="s">
        <v>57</v>
      </c>
      <c r="C2463" s="24" t="s">
        <v>36</v>
      </c>
      <c r="D2463" s="24">
        <v>34.799999999999997</v>
      </c>
      <c r="E2463" s="24" t="s">
        <v>796</v>
      </c>
      <c r="F2463" s="24" t="s">
        <v>922</v>
      </c>
      <c r="G2463" s="24">
        <v>175132</v>
      </c>
    </row>
    <row r="2464" spans="1:7" x14ac:dyDescent="0.25">
      <c r="A2464" s="24" t="s">
        <v>295</v>
      </c>
      <c r="B2464" s="24" t="s">
        <v>58</v>
      </c>
      <c r="C2464" s="24" t="s">
        <v>5</v>
      </c>
      <c r="D2464" s="24">
        <v>0</v>
      </c>
      <c r="E2464" s="24" t="s">
        <v>795</v>
      </c>
      <c r="F2464" s="24"/>
      <c r="G2464" s="24"/>
    </row>
    <row r="2465" spans="1:7" x14ac:dyDescent="0.25">
      <c r="A2465" s="24" t="s">
        <v>296</v>
      </c>
      <c r="B2465" s="24" t="s">
        <v>32</v>
      </c>
      <c r="C2465" s="24" t="s">
        <v>33</v>
      </c>
      <c r="D2465" s="24">
        <v>41.7</v>
      </c>
      <c r="E2465" s="24" t="s">
        <v>796</v>
      </c>
      <c r="F2465" s="24" t="s">
        <v>923</v>
      </c>
      <c r="G2465" s="24">
        <v>173687</v>
      </c>
    </row>
    <row r="2466" spans="1:7" x14ac:dyDescent="0.25">
      <c r="A2466" s="24" t="s">
        <v>296</v>
      </c>
      <c r="B2466" s="24" t="s">
        <v>34</v>
      </c>
      <c r="C2466" s="24" t="s">
        <v>31</v>
      </c>
      <c r="D2466" s="24">
        <v>0</v>
      </c>
      <c r="E2466" s="24" t="s">
        <v>796</v>
      </c>
      <c r="F2466" s="24" t="s">
        <v>923</v>
      </c>
      <c r="G2466" s="24">
        <v>173687</v>
      </c>
    </row>
    <row r="2467" spans="1:7" x14ac:dyDescent="0.25">
      <c r="A2467" s="24" t="s">
        <v>296</v>
      </c>
      <c r="B2467" s="24" t="s">
        <v>35</v>
      </c>
      <c r="C2467" s="24" t="s">
        <v>36</v>
      </c>
      <c r="D2467" s="24">
        <v>27.4</v>
      </c>
      <c r="E2467" s="24" t="s">
        <v>796</v>
      </c>
      <c r="F2467" s="24" t="s">
        <v>923</v>
      </c>
      <c r="G2467" s="24">
        <v>173687</v>
      </c>
    </row>
    <row r="2468" spans="1:7" x14ac:dyDescent="0.25">
      <c r="A2468" s="24" t="s">
        <v>296</v>
      </c>
      <c r="B2468" s="24" t="s">
        <v>37</v>
      </c>
      <c r="C2468" s="24" t="s">
        <v>38</v>
      </c>
      <c r="D2468" s="24">
        <v>2.2000000000000002</v>
      </c>
      <c r="E2468" s="24" t="s">
        <v>796</v>
      </c>
      <c r="F2468" s="24" t="s">
        <v>923</v>
      </c>
      <c r="G2468" s="24">
        <v>173687</v>
      </c>
    </row>
    <row r="2469" spans="1:7" x14ac:dyDescent="0.25">
      <c r="A2469" s="24" t="s">
        <v>296</v>
      </c>
      <c r="B2469" s="24" t="s">
        <v>39</v>
      </c>
      <c r="C2469" s="24" t="s">
        <v>36</v>
      </c>
      <c r="D2469" s="24">
        <v>0.2</v>
      </c>
      <c r="E2469" s="24" t="s">
        <v>796</v>
      </c>
      <c r="F2469" s="24" t="s">
        <v>923</v>
      </c>
      <c r="G2469" s="24">
        <v>173687</v>
      </c>
    </row>
    <row r="2470" spans="1:7" x14ac:dyDescent="0.25">
      <c r="A2470" s="24" t="s">
        <v>296</v>
      </c>
      <c r="B2470" s="24" t="s">
        <v>40</v>
      </c>
      <c r="C2470" s="24" t="s">
        <v>31</v>
      </c>
      <c r="D2470" s="24">
        <v>0</v>
      </c>
      <c r="E2470" s="24" t="s">
        <v>796</v>
      </c>
      <c r="F2470" s="24" t="s">
        <v>923</v>
      </c>
      <c r="G2470" s="24">
        <v>173687</v>
      </c>
    </row>
    <row r="2471" spans="1:7" x14ac:dyDescent="0.25">
      <c r="A2471" s="24" t="s">
        <v>296</v>
      </c>
      <c r="B2471" s="24" t="s">
        <v>41</v>
      </c>
      <c r="C2471" s="24" t="s">
        <v>31</v>
      </c>
      <c r="D2471" s="24">
        <v>0.2</v>
      </c>
      <c r="E2471" s="24" t="s">
        <v>796</v>
      </c>
      <c r="F2471" s="24" t="s">
        <v>923</v>
      </c>
      <c r="G2471" s="24">
        <v>173687</v>
      </c>
    </row>
    <row r="2472" spans="1:7" x14ac:dyDescent="0.25">
      <c r="A2472" s="24" t="s">
        <v>296</v>
      </c>
      <c r="B2472" s="24" t="s">
        <v>42</v>
      </c>
      <c r="C2472" s="24" t="s">
        <v>43</v>
      </c>
      <c r="D2472" s="24">
        <v>7.6</v>
      </c>
      <c r="E2472" s="24" t="s">
        <v>796</v>
      </c>
      <c r="F2472" s="24" t="s">
        <v>923</v>
      </c>
      <c r="G2472" s="24">
        <v>173687</v>
      </c>
    </row>
    <row r="2473" spans="1:7" x14ac:dyDescent="0.25">
      <c r="A2473" s="24" t="s">
        <v>296</v>
      </c>
      <c r="B2473" s="24" t="s">
        <v>44</v>
      </c>
      <c r="C2473" s="24" t="s">
        <v>31</v>
      </c>
      <c r="D2473" s="24">
        <v>0.4</v>
      </c>
      <c r="E2473" s="24" t="s">
        <v>796</v>
      </c>
      <c r="F2473" s="24" t="s">
        <v>923</v>
      </c>
      <c r="G2473" s="24">
        <v>173687</v>
      </c>
    </row>
    <row r="2474" spans="1:7" x14ac:dyDescent="0.25">
      <c r="A2474" s="24" t="s">
        <v>296</v>
      </c>
      <c r="B2474" s="24" t="s">
        <v>45</v>
      </c>
      <c r="C2474" s="24" t="s">
        <v>31</v>
      </c>
      <c r="D2474" s="24">
        <v>1.4</v>
      </c>
      <c r="E2474" s="24" t="s">
        <v>796</v>
      </c>
      <c r="F2474" s="24" t="s">
        <v>923</v>
      </c>
      <c r="G2474" s="24">
        <v>173687</v>
      </c>
    </row>
    <row r="2475" spans="1:7" x14ac:dyDescent="0.25">
      <c r="A2475" s="24" t="s">
        <v>296</v>
      </c>
      <c r="B2475" s="24" t="s">
        <v>46</v>
      </c>
      <c r="C2475" s="24" t="s">
        <v>36</v>
      </c>
      <c r="D2475" s="24">
        <v>5.2</v>
      </c>
      <c r="E2475" s="24" t="s">
        <v>796</v>
      </c>
      <c r="F2475" s="24" t="s">
        <v>923</v>
      </c>
      <c r="G2475" s="24">
        <v>173687</v>
      </c>
    </row>
    <row r="2476" spans="1:7" x14ac:dyDescent="0.25">
      <c r="A2476" s="24" t="s">
        <v>296</v>
      </c>
      <c r="B2476" s="24" t="s">
        <v>47</v>
      </c>
      <c r="C2476" s="24" t="s">
        <v>48</v>
      </c>
      <c r="D2476" s="24">
        <v>3.2</v>
      </c>
      <c r="E2476" s="24" t="s">
        <v>796</v>
      </c>
      <c r="F2476" s="24" t="s">
        <v>923</v>
      </c>
      <c r="G2476" s="24">
        <v>173687</v>
      </c>
    </row>
    <row r="2477" spans="1:7" x14ac:dyDescent="0.25">
      <c r="A2477" s="24" t="s">
        <v>296</v>
      </c>
      <c r="B2477" s="24" t="s">
        <v>50</v>
      </c>
      <c r="C2477" s="24" t="s">
        <v>31</v>
      </c>
      <c r="D2477" s="24">
        <v>280.60000000000002</v>
      </c>
      <c r="E2477" s="24" t="s">
        <v>796</v>
      </c>
      <c r="F2477" s="24" t="s">
        <v>923</v>
      </c>
      <c r="G2477" s="24">
        <v>173687</v>
      </c>
    </row>
    <row r="2478" spans="1:7" x14ac:dyDescent="0.25">
      <c r="A2478" s="24" t="s">
        <v>296</v>
      </c>
      <c r="B2478" s="24" t="s">
        <v>51</v>
      </c>
      <c r="C2478" s="24" t="s">
        <v>31</v>
      </c>
      <c r="D2478" s="24">
        <v>17.600000000000001</v>
      </c>
      <c r="E2478" s="24" t="s">
        <v>796</v>
      </c>
      <c r="F2478" s="24" t="s">
        <v>923</v>
      </c>
      <c r="G2478" s="24">
        <v>173687</v>
      </c>
    </row>
    <row r="2479" spans="1:7" x14ac:dyDescent="0.25">
      <c r="A2479" s="24" t="s">
        <v>296</v>
      </c>
      <c r="B2479" s="24" t="s">
        <v>52</v>
      </c>
      <c r="C2479" s="24" t="s">
        <v>31</v>
      </c>
      <c r="D2479" s="24">
        <v>263</v>
      </c>
      <c r="E2479" s="24" t="s">
        <v>796</v>
      </c>
      <c r="F2479" s="24" t="s">
        <v>923</v>
      </c>
      <c r="G2479" s="24">
        <v>173687</v>
      </c>
    </row>
    <row r="2480" spans="1:7" x14ac:dyDescent="0.25">
      <c r="A2480" s="24" t="s">
        <v>296</v>
      </c>
      <c r="B2480" s="24" t="s">
        <v>53</v>
      </c>
      <c r="C2480" s="24" t="s">
        <v>31</v>
      </c>
      <c r="D2480" s="24">
        <v>28.9</v>
      </c>
      <c r="E2480" s="24" t="s">
        <v>796</v>
      </c>
      <c r="F2480" s="24" t="s">
        <v>923</v>
      </c>
      <c r="G2480" s="24">
        <v>173687</v>
      </c>
    </row>
    <row r="2481" spans="1:7" x14ac:dyDescent="0.25">
      <c r="A2481" s="24" t="s">
        <v>296</v>
      </c>
      <c r="B2481" s="24" t="s">
        <v>54</v>
      </c>
      <c r="C2481" s="24" t="s">
        <v>31</v>
      </c>
      <c r="D2481" s="24">
        <v>1.4</v>
      </c>
      <c r="E2481" s="24" t="s">
        <v>796</v>
      </c>
      <c r="F2481" s="24" t="s">
        <v>923</v>
      </c>
      <c r="G2481" s="24">
        <v>173687</v>
      </c>
    </row>
    <row r="2482" spans="1:7" x14ac:dyDescent="0.25">
      <c r="A2482" s="24" t="s">
        <v>296</v>
      </c>
      <c r="B2482" s="24" t="s">
        <v>55</v>
      </c>
      <c r="C2482" s="24" t="s">
        <v>31</v>
      </c>
      <c r="D2482" s="24">
        <v>0.5</v>
      </c>
      <c r="E2482" s="24" t="s">
        <v>796</v>
      </c>
      <c r="F2482" s="24" t="s">
        <v>923</v>
      </c>
      <c r="G2482" s="24">
        <v>173687</v>
      </c>
    </row>
    <row r="2483" spans="1:7" x14ac:dyDescent="0.25">
      <c r="A2483" s="24" t="s">
        <v>296</v>
      </c>
      <c r="B2483" s="24" t="s">
        <v>56</v>
      </c>
      <c r="C2483" s="24" t="s">
        <v>31</v>
      </c>
      <c r="D2483" s="24">
        <v>0.4</v>
      </c>
      <c r="E2483" s="24" t="s">
        <v>796</v>
      </c>
      <c r="F2483" s="24" t="s">
        <v>923</v>
      </c>
      <c r="G2483" s="24">
        <v>173687</v>
      </c>
    </row>
    <row r="2484" spans="1:7" x14ac:dyDescent="0.25">
      <c r="A2484" s="24" t="s">
        <v>296</v>
      </c>
      <c r="B2484" s="24" t="s">
        <v>57</v>
      </c>
      <c r="C2484" s="24" t="s">
        <v>36</v>
      </c>
      <c r="D2484" s="24">
        <v>52</v>
      </c>
      <c r="E2484" s="24" t="s">
        <v>796</v>
      </c>
      <c r="F2484" s="24" t="s">
        <v>923</v>
      </c>
      <c r="G2484" s="24">
        <v>173687</v>
      </c>
    </row>
    <row r="2485" spans="1:7" x14ac:dyDescent="0.25">
      <c r="A2485" s="24" t="s">
        <v>296</v>
      </c>
      <c r="B2485" s="24" t="s">
        <v>58</v>
      </c>
      <c r="C2485" s="24" t="s">
        <v>5</v>
      </c>
      <c r="D2485" s="24">
        <v>0</v>
      </c>
      <c r="E2485" s="24" t="s">
        <v>795</v>
      </c>
      <c r="F2485" s="24"/>
      <c r="G2485" s="24"/>
    </row>
    <row r="2486" spans="1:7" x14ac:dyDescent="0.25">
      <c r="A2486" s="24" t="s">
        <v>298</v>
      </c>
      <c r="B2486" s="24" t="s">
        <v>23</v>
      </c>
      <c r="C2486" s="24" t="s">
        <v>5</v>
      </c>
      <c r="D2486" s="24">
        <v>3.1</v>
      </c>
      <c r="E2486" s="24" t="s">
        <v>796</v>
      </c>
      <c r="F2486" s="24" t="s">
        <v>924</v>
      </c>
      <c r="G2486" s="24">
        <v>172428</v>
      </c>
    </row>
    <row r="2487" spans="1:7" x14ac:dyDescent="0.25">
      <c r="A2487" s="24" t="s">
        <v>298</v>
      </c>
      <c r="B2487" s="24" t="s">
        <v>24</v>
      </c>
      <c r="C2487" s="24" t="s">
        <v>5</v>
      </c>
      <c r="D2487" s="24">
        <v>22</v>
      </c>
      <c r="E2487" s="24" t="s">
        <v>796</v>
      </c>
      <c r="F2487" s="24" t="s">
        <v>924</v>
      </c>
      <c r="G2487" s="24">
        <v>172428</v>
      </c>
    </row>
    <row r="2488" spans="1:7" x14ac:dyDescent="0.25">
      <c r="A2488" s="24" t="s">
        <v>298</v>
      </c>
      <c r="B2488" s="24" t="s">
        <v>29</v>
      </c>
      <c r="C2488" s="24" t="s">
        <v>5</v>
      </c>
      <c r="D2488" s="24">
        <v>0</v>
      </c>
      <c r="E2488" s="24" t="s">
        <v>799</v>
      </c>
      <c r="F2488" s="24" t="s">
        <v>924</v>
      </c>
      <c r="G2488" s="24">
        <v>172428</v>
      </c>
    </row>
    <row r="2489" spans="1:7" x14ac:dyDescent="0.25">
      <c r="A2489" s="24" t="s">
        <v>298</v>
      </c>
      <c r="B2489" s="24" t="s">
        <v>32</v>
      </c>
      <c r="C2489" s="24" t="s">
        <v>33</v>
      </c>
      <c r="D2489" s="24">
        <v>6.9</v>
      </c>
      <c r="E2489" s="24" t="s">
        <v>796</v>
      </c>
      <c r="F2489" s="24" t="s">
        <v>924</v>
      </c>
      <c r="G2489" s="24">
        <v>172428</v>
      </c>
    </row>
    <row r="2490" spans="1:7" x14ac:dyDescent="0.25">
      <c r="A2490" s="24" t="s">
        <v>298</v>
      </c>
      <c r="B2490" s="24" t="s">
        <v>35</v>
      </c>
      <c r="C2490" s="24" t="s">
        <v>36</v>
      </c>
      <c r="D2490" s="24">
        <v>0</v>
      </c>
      <c r="E2490" s="24" t="s">
        <v>796</v>
      </c>
      <c r="F2490" s="24" t="s">
        <v>924</v>
      </c>
      <c r="G2490" s="24">
        <v>172428</v>
      </c>
    </row>
    <row r="2491" spans="1:7" x14ac:dyDescent="0.25">
      <c r="A2491" s="24" t="s">
        <v>298</v>
      </c>
      <c r="B2491" s="24" t="s">
        <v>37</v>
      </c>
      <c r="C2491" s="24" t="s">
        <v>38</v>
      </c>
      <c r="D2491" s="24">
        <v>0.1</v>
      </c>
      <c r="E2491" s="24" t="s">
        <v>796</v>
      </c>
      <c r="F2491" s="24" t="s">
        <v>924</v>
      </c>
      <c r="G2491" s="24">
        <v>172428</v>
      </c>
    </row>
    <row r="2492" spans="1:7" x14ac:dyDescent="0.25">
      <c r="A2492" s="24" t="s">
        <v>298</v>
      </c>
      <c r="B2492" s="24" t="s">
        <v>39</v>
      </c>
      <c r="C2492" s="24" t="s">
        <v>36</v>
      </c>
      <c r="D2492" s="24">
        <v>15.7</v>
      </c>
      <c r="E2492" s="24" t="s">
        <v>796</v>
      </c>
      <c r="F2492" s="24" t="s">
        <v>924</v>
      </c>
      <c r="G2492" s="24">
        <v>172428</v>
      </c>
    </row>
    <row r="2493" spans="1:7" x14ac:dyDescent="0.25">
      <c r="A2493" s="24" t="s">
        <v>298</v>
      </c>
      <c r="B2493" s="24" t="s">
        <v>58</v>
      </c>
      <c r="C2493" s="24" t="s">
        <v>5</v>
      </c>
      <c r="D2493" s="24">
        <v>0</v>
      </c>
      <c r="E2493" s="24" t="s">
        <v>795</v>
      </c>
      <c r="F2493" s="24"/>
      <c r="G2493" s="24"/>
    </row>
    <row r="2494" spans="1:7" x14ac:dyDescent="0.25">
      <c r="A2494" s="24" t="s">
        <v>299</v>
      </c>
      <c r="B2494" s="24" t="s">
        <v>23</v>
      </c>
      <c r="C2494" s="24" t="s">
        <v>5</v>
      </c>
      <c r="D2494" s="24">
        <v>3.1</v>
      </c>
      <c r="E2494" s="24" t="s">
        <v>796</v>
      </c>
      <c r="F2494" s="24" t="s">
        <v>924</v>
      </c>
      <c r="G2494" s="24">
        <v>172428</v>
      </c>
    </row>
    <row r="2495" spans="1:7" x14ac:dyDescent="0.25">
      <c r="A2495" s="24" t="s">
        <v>299</v>
      </c>
      <c r="B2495" s="24" t="s">
        <v>24</v>
      </c>
      <c r="C2495" s="24" t="s">
        <v>5</v>
      </c>
      <c r="D2495" s="24">
        <v>22</v>
      </c>
      <c r="E2495" s="24" t="s">
        <v>796</v>
      </c>
      <c r="F2495" s="24" t="s">
        <v>924</v>
      </c>
      <c r="G2495" s="24">
        <v>172428</v>
      </c>
    </row>
    <row r="2496" spans="1:7" x14ac:dyDescent="0.25">
      <c r="A2496" s="24" t="s">
        <v>299</v>
      </c>
      <c r="B2496" s="24" t="s">
        <v>26</v>
      </c>
      <c r="C2496" s="24" t="s">
        <v>5</v>
      </c>
      <c r="D2496" s="24">
        <v>0.13</v>
      </c>
      <c r="E2496" s="24" t="s">
        <v>799</v>
      </c>
      <c r="F2496" s="24" t="s">
        <v>924</v>
      </c>
      <c r="G2496" s="24">
        <v>172428</v>
      </c>
    </row>
    <row r="2497" spans="1:7" x14ac:dyDescent="0.25">
      <c r="A2497" s="24" t="s">
        <v>299</v>
      </c>
      <c r="B2497" s="24" t="s">
        <v>27</v>
      </c>
      <c r="C2497" s="24" t="s">
        <v>5</v>
      </c>
      <c r="D2497" s="24">
        <v>0.19</v>
      </c>
      <c r="E2497" s="24" t="s">
        <v>799</v>
      </c>
      <c r="F2497" s="24" t="s">
        <v>924</v>
      </c>
      <c r="G2497" s="24">
        <v>172428</v>
      </c>
    </row>
    <row r="2498" spans="1:7" x14ac:dyDescent="0.25">
      <c r="A2498" s="24" t="s">
        <v>299</v>
      </c>
      <c r="B2498" s="24" t="s">
        <v>28</v>
      </c>
      <c r="C2498" s="24" t="s">
        <v>5</v>
      </c>
      <c r="D2498" s="24">
        <v>0.32</v>
      </c>
      <c r="E2498" s="24" t="s">
        <v>799</v>
      </c>
      <c r="F2498" s="24" t="s">
        <v>924</v>
      </c>
      <c r="G2498" s="24">
        <v>172428</v>
      </c>
    </row>
    <row r="2499" spans="1:7" x14ac:dyDescent="0.25">
      <c r="A2499" s="24" t="s">
        <v>299</v>
      </c>
      <c r="B2499" s="24" t="s">
        <v>29</v>
      </c>
      <c r="C2499" s="24" t="s">
        <v>5</v>
      </c>
      <c r="D2499" s="24">
        <v>0</v>
      </c>
      <c r="E2499" s="24" t="s">
        <v>799</v>
      </c>
      <c r="F2499" s="24" t="s">
        <v>924</v>
      </c>
      <c r="G2499" s="24">
        <v>172428</v>
      </c>
    </row>
    <row r="2500" spans="1:7" x14ac:dyDescent="0.25">
      <c r="A2500" s="24" t="s">
        <v>299</v>
      </c>
      <c r="B2500" s="24" t="s">
        <v>32</v>
      </c>
      <c r="C2500" s="24" t="s">
        <v>33</v>
      </c>
      <c r="D2500" s="24">
        <v>6.9</v>
      </c>
      <c r="E2500" s="24" t="s">
        <v>796</v>
      </c>
      <c r="F2500" s="24" t="s">
        <v>924</v>
      </c>
      <c r="G2500" s="24">
        <v>172428</v>
      </c>
    </row>
    <row r="2501" spans="1:7" x14ac:dyDescent="0.25">
      <c r="A2501" s="24" t="s">
        <v>299</v>
      </c>
      <c r="B2501" s="24" t="s">
        <v>34</v>
      </c>
      <c r="C2501" s="24" t="s">
        <v>31</v>
      </c>
      <c r="D2501" s="24">
        <v>1.8</v>
      </c>
      <c r="E2501" s="24" t="s">
        <v>796</v>
      </c>
      <c r="F2501" s="24" t="s">
        <v>924</v>
      </c>
      <c r="G2501" s="24">
        <v>172428</v>
      </c>
    </row>
    <row r="2502" spans="1:7" x14ac:dyDescent="0.25">
      <c r="A2502" s="24" t="s">
        <v>299</v>
      </c>
      <c r="B2502" s="24" t="s">
        <v>35</v>
      </c>
      <c r="C2502" s="24" t="s">
        <v>36</v>
      </c>
      <c r="D2502" s="24">
        <v>0</v>
      </c>
      <c r="E2502" s="24" t="s">
        <v>796</v>
      </c>
      <c r="F2502" s="24" t="s">
        <v>924</v>
      </c>
      <c r="G2502" s="24">
        <v>172428</v>
      </c>
    </row>
    <row r="2503" spans="1:7" x14ac:dyDescent="0.25">
      <c r="A2503" s="24" t="s">
        <v>299</v>
      </c>
      <c r="B2503" s="24" t="s">
        <v>37</v>
      </c>
      <c r="C2503" s="24" t="s">
        <v>38</v>
      </c>
      <c r="D2503" s="24">
        <v>0.1</v>
      </c>
      <c r="E2503" s="24" t="s">
        <v>796</v>
      </c>
      <c r="F2503" s="24" t="s">
        <v>924</v>
      </c>
      <c r="G2503" s="24">
        <v>172428</v>
      </c>
    </row>
    <row r="2504" spans="1:7" x14ac:dyDescent="0.25">
      <c r="A2504" s="24" t="s">
        <v>299</v>
      </c>
      <c r="B2504" s="24" t="s">
        <v>39</v>
      </c>
      <c r="C2504" s="24" t="s">
        <v>36</v>
      </c>
      <c r="D2504" s="24">
        <v>15.7</v>
      </c>
      <c r="E2504" s="24" t="s">
        <v>796</v>
      </c>
      <c r="F2504" s="24" t="s">
        <v>924</v>
      </c>
      <c r="G2504" s="24">
        <v>172428</v>
      </c>
    </row>
    <row r="2505" spans="1:7" x14ac:dyDescent="0.25">
      <c r="A2505" s="24" t="s">
        <v>299</v>
      </c>
      <c r="B2505" s="24" t="s">
        <v>42</v>
      </c>
      <c r="C2505" s="24" t="s">
        <v>43</v>
      </c>
      <c r="D2505" s="24">
        <v>3.6</v>
      </c>
      <c r="E2505" s="24" t="s">
        <v>796</v>
      </c>
      <c r="F2505" s="24" t="s">
        <v>924</v>
      </c>
      <c r="G2505" s="24">
        <v>172428</v>
      </c>
    </row>
    <row r="2506" spans="1:7" x14ac:dyDescent="0.25">
      <c r="A2506" s="24" t="s">
        <v>299</v>
      </c>
      <c r="B2506" s="24" t="s">
        <v>44</v>
      </c>
      <c r="C2506" s="24" t="s">
        <v>31</v>
      </c>
      <c r="D2506" s="24">
        <v>0.1</v>
      </c>
      <c r="E2506" s="24" t="s">
        <v>796</v>
      </c>
      <c r="F2506" s="24" t="s">
        <v>924</v>
      </c>
      <c r="G2506" s="24">
        <v>172428</v>
      </c>
    </row>
    <row r="2507" spans="1:7" x14ac:dyDescent="0.25">
      <c r="A2507" s="24" t="s">
        <v>299</v>
      </c>
      <c r="B2507" s="24" t="s">
        <v>45</v>
      </c>
      <c r="C2507" s="24" t="s">
        <v>31</v>
      </c>
      <c r="D2507" s="24">
        <v>1</v>
      </c>
      <c r="E2507" s="24" t="s">
        <v>796</v>
      </c>
      <c r="F2507" s="24" t="s">
        <v>924</v>
      </c>
      <c r="G2507" s="24">
        <v>172428</v>
      </c>
    </row>
    <row r="2508" spans="1:7" x14ac:dyDescent="0.25">
      <c r="A2508" s="24" t="s">
        <v>299</v>
      </c>
      <c r="B2508" s="24" t="s">
        <v>46</v>
      </c>
      <c r="C2508" s="24" t="s">
        <v>36</v>
      </c>
      <c r="D2508" s="24">
        <v>0</v>
      </c>
      <c r="E2508" s="24" t="s">
        <v>796</v>
      </c>
      <c r="F2508" s="24" t="s">
        <v>924</v>
      </c>
      <c r="G2508" s="24">
        <v>172428</v>
      </c>
    </row>
    <row r="2509" spans="1:7" x14ac:dyDescent="0.25">
      <c r="A2509" s="24" t="s">
        <v>299</v>
      </c>
      <c r="B2509" s="24" t="s">
        <v>47</v>
      </c>
      <c r="C2509" s="24" t="s">
        <v>48</v>
      </c>
      <c r="D2509" s="24">
        <v>14.9</v>
      </c>
      <c r="E2509" s="24" t="s">
        <v>796</v>
      </c>
      <c r="F2509" s="24" t="s">
        <v>924</v>
      </c>
      <c r="G2509" s="24">
        <v>172428</v>
      </c>
    </row>
    <row r="2510" spans="1:7" x14ac:dyDescent="0.25">
      <c r="A2510" s="24" t="s">
        <v>299</v>
      </c>
      <c r="B2510" s="24" t="s">
        <v>53</v>
      </c>
      <c r="C2510" s="24" t="s">
        <v>31</v>
      </c>
      <c r="D2510" s="24">
        <v>62.4</v>
      </c>
      <c r="E2510" s="24" t="s">
        <v>796</v>
      </c>
      <c r="F2510" s="24" t="s">
        <v>924</v>
      </c>
      <c r="G2510" s="24">
        <v>172428</v>
      </c>
    </row>
    <row r="2511" spans="1:7" x14ac:dyDescent="0.25">
      <c r="A2511" s="24" t="s">
        <v>299</v>
      </c>
      <c r="B2511" s="24" t="s">
        <v>55</v>
      </c>
      <c r="C2511" s="24" t="s">
        <v>31</v>
      </c>
      <c r="D2511" s="24">
        <v>3.5</v>
      </c>
      <c r="E2511" s="24" t="s">
        <v>796</v>
      </c>
      <c r="F2511" s="24" t="s">
        <v>924</v>
      </c>
      <c r="G2511" s="24">
        <v>172428</v>
      </c>
    </row>
    <row r="2512" spans="1:7" x14ac:dyDescent="0.25">
      <c r="A2512" s="24" t="s">
        <v>299</v>
      </c>
      <c r="B2512" s="24" t="s">
        <v>56</v>
      </c>
      <c r="C2512" s="24" t="s">
        <v>31</v>
      </c>
      <c r="D2512" s="24">
        <v>0.8</v>
      </c>
      <c r="E2512" s="24" t="s">
        <v>796</v>
      </c>
      <c r="F2512" s="24" t="s">
        <v>924</v>
      </c>
      <c r="G2512" s="24">
        <v>172428</v>
      </c>
    </row>
    <row r="2513" spans="1:7" x14ac:dyDescent="0.25">
      <c r="A2513" s="24" t="s">
        <v>299</v>
      </c>
      <c r="B2513" s="24" t="s">
        <v>57</v>
      </c>
      <c r="C2513" s="24" t="s">
        <v>36</v>
      </c>
      <c r="D2513" s="24">
        <v>10.6</v>
      </c>
      <c r="E2513" s="24" t="s">
        <v>796</v>
      </c>
      <c r="F2513" s="24" t="s">
        <v>924</v>
      </c>
      <c r="G2513" s="24">
        <v>172428</v>
      </c>
    </row>
    <row r="2514" spans="1:7" x14ac:dyDescent="0.25">
      <c r="A2514" s="24" t="s">
        <v>299</v>
      </c>
      <c r="B2514" s="24" t="s">
        <v>58</v>
      </c>
      <c r="C2514" s="24" t="s">
        <v>5</v>
      </c>
      <c r="D2514" s="24">
        <v>0</v>
      </c>
      <c r="E2514" s="24" t="s">
        <v>795</v>
      </c>
      <c r="F2514" s="24"/>
      <c r="G2514" s="24"/>
    </row>
    <row r="2515" spans="1:7" x14ac:dyDescent="0.25">
      <c r="A2515" s="24" t="s">
        <v>300</v>
      </c>
      <c r="B2515" s="24" t="s">
        <v>29</v>
      </c>
      <c r="C2515" s="24" t="s">
        <v>5</v>
      </c>
      <c r="D2515" s="24">
        <v>0</v>
      </c>
      <c r="E2515" s="24" t="s">
        <v>799</v>
      </c>
      <c r="F2515" s="24" t="s">
        <v>925</v>
      </c>
      <c r="G2515" s="24">
        <v>170419</v>
      </c>
    </row>
    <row r="2516" spans="1:7" x14ac:dyDescent="0.25">
      <c r="A2516" s="24" t="s">
        <v>300</v>
      </c>
      <c r="B2516" s="24" t="s">
        <v>58</v>
      </c>
      <c r="C2516" s="24" t="s">
        <v>5</v>
      </c>
      <c r="D2516" s="24">
        <v>0</v>
      </c>
      <c r="E2516" s="24" t="s">
        <v>795</v>
      </c>
      <c r="F2516" s="24"/>
      <c r="G2516" s="24"/>
    </row>
    <row r="2517" spans="1:7" x14ac:dyDescent="0.25">
      <c r="A2517" s="24" t="s">
        <v>301</v>
      </c>
      <c r="B2517" s="24" t="s">
        <v>20</v>
      </c>
      <c r="C2517" s="24" t="s">
        <v>5</v>
      </c>
      <c r="D2517" s="24">
        <v>0.8</v>
      </c>
      <c r="E2517" s="24" t="s">
        <v>809</v>
      </c>
      <c r="F2517" s="24"/>
      <c r="G2517" s="24"/>
    </row>
    <row r="2518" spans="1:7" x14ac:dyDescent="0.25">
      <c r="A2518" s="24" t="s">
        <v>301</v>
      </c>
      <c r="B2518" s="24" t="s">
        <v>23</v>
      </c>
      <c r="C2518" s="24" t="s">
        <v>5</v>
      </c>
      <c r="D2518" s="24">
        <v>3.1</v>
      </c>
      <c r="E2518" s="24" t="s">
        <v>796</v>
      </c>
      <c r="F2518" s="24" t="s">
        <v>926</v>
      </c>
      <c r="G2518" s="24">
        <v>170013</v>
      </c>
    </row>
    <row r="2519" spans="1:7" x14ac:dyDescent="0.25">
      <c r="A2519" s="24" t="s">
        <v>301</v>
      </c>
      <c r="B2519" s="24" t="s">
        <v>29</v>
      </c>
      <c r="C2519" s="24" t="s">
        <v>5</v>
      </c>
      <c r="D2519" s="24">
        <v>0</v>
      </c>
      <c r="E2519" s="24" t="s">
        <v>799</v>
      </c>
      <c r="F2519" s="24" t="s">
        <v>926</v>
      </c>
      <c r="G2519" s="24">
        <v>170013</v>
      </c>
    </row>
    <row r="2520" spans="1:7" x14ac:dyDescent="0.25">
      <c r="A2520" s="24" t="s">
        <v>301</v>
      </c>
      <c r="B2520" s="24" t="s">
        <v>35</v>
      </c>
      <c r="C2520" s="24" t="s">
        <v>36</v>
      </c>
      <c r="D2520" s="24">
        <v>0</v>
      </c>
      <c r="E2520" s="24" t="s">
        <v>796</v>
      </c>
      <c r="F2520" s="24" t="s">
        <v>926</v>
      </c>
      <c r="G2520" s="24">
        <v>170013</v>
      </c>
    </row>
    <row r="2521" spans="1:7" x14ac:dyDescent="0.25">
      <c r="A2521" s="24" t="s">
        <v>301</v>
      </c>
      <c r="B2521" s="24" t="s">
        <v>39</v>
      </c>
      <c r="C2521" s="24" t="s">
        <v>36</v>
      </c>
      <c r="D2521" s="24">
        <v>38</v>
      </c>
      <c r="E2521" s="24" t="s">
        <v>796</v>
      </c>
      <c r="F2521" s="24" t="s">
        <v>926</v>
      </c>
      <c r="G2521" s="24">
        <v>170013</v>
      </c>
    </row>
    <row r="2522" spans="1:7" x14ac:dyDescent="0.25">
      <c r="A2522" s="24" t="s">
        <v>301</v>
      </c>
      <c r="B2522" s="24" t="s">
        <v>58</v>
      </c>
      <c r="C2522" s="24" t="s">
        <v>5</v>
      </c>
      <c r="D2522" s="24">
        <v>0</v>
      </c>
      <c r="E2522" s="24" t="s">
        <v>795</v>
      </c>
      <c r="F2522" s="24"/>
      <c r="G2522" s="24"/>
    </row>
    <row r="2523" spans="1:7" x14ac:dyDescent="0.25">
      <c r="A2523" s="24" t="s">
        <v>302</v>
      </c>
      <c r="B2523" s="24" t="s">
        <v>23</v>
      </c>
      <c r="C2523" s="24" t="s">
        <v>5</v>
      </c>
      <c r="D2523" s="24">
        <v>4.8</v>
      </c>
      <c r="E2523" s="24" t="s">
        <v>796</v>
      </c>
      <c r="F2523" s="24" t="s">
        <v>927</v>
      </c>
      <c r="G2523" s="24">
        <v>173757</v>
      </c>
    </row>
    <row r="2524" spans="1:7" x14ac:dyDescent="0.25">
      <c r="A2524" s="24" t="s">
        <v>302</v>
      </c>
      <c r="B2524" s="24" t="s">
        <v>29</v>
      </c>
      <c r="C2524" s="24" t="s">
        <v>5</v>
      </c>
      <c r="D2524" s="24">
        <v>0</v>
      </c>
      <c r="E2524" s="24" t="s">
        <v>799</v>
      </c>
      <c r="F2524" s="24" t="s">
        <v>927</v>
      </c>
      <c r="G2524" s="24">
        <v>173757</v>
      </c>
    </row>
    <row r="2525" spans="1:7" x14ac:dyDescent="0.25">
      <c r="A2525" s="24" t="s">
        <v>302</v>
      </c>
      <c r="B2525" s="24" t="s">
        <v>35</v>
      </c>
      <c r="C2525" s="24" t="s">
        <v>36</v>
      </c>
      <c r="D2525" s="24">
        <v>0</v>
      </c>
      <c r="E2525" s="24" t="s">
        <v>796</v>
      </c>
      <c r="F2525" s="24" t="s">
        <v>927</v>
      </c>
      <c r="G2525" s="24">
        <v>173757</v>
      </c>
    </row>
    <row r="2526" spans="1:7" x14ac:dyDescent="0.25">
      <c r="A2526" s="24" t="s">
        <v>302</v>
      </c>
      <c r="B2526" s="24" t="s">
        <v>39</v>
      </c>
      <c r="C2526" s="24" t="s">
        <v>36</v>
      </c>
      <c r="D2526" s="24">
        <v>4</v>
      </c>
      <c r="E2526" s="24" t="s">
        <v>796</v>
      </c>
      <c r="F2526" s="24" t="s">
        <v>927</v>
      </c>
      <c r="G2526" s="24">
        <v>173757</v>
      </c>
    </row>
    <row r="2527" spans="1:7" x14ac:dyDescent="0.25">
      <c r="A2527" s="24" t="s">
        <v>302</v>
      </c>
      <c r="B2527" s="24" t="s">
        <v>58</v>
      </c>
      <c r="C2527" s="24" t="s">
        <v>5</v>
      </c>
      <c r="D2527" s="24">
        <v>0</v>
      </c>
      <c r="E2527" s="24" t="s">
        <v>795</v>
      </c>
      <c r="F2527" s="24"/>
      <c r="G2527" s="24"/>
    </row>
    <row r="2528" spans="1:7" x14ac:dyDescent="0.25">
      <c r="A2528" s="24" t="s">
        <v>303</v>
      </c>
      <c r="B2528" s="24" t="s">
        <v>29</v>
      </c>
      <c r="C2528" s="24" t="s">
        <v>5</v>
      </c>
      <c r="D2528" s="24">
        <v>0</v>
      </c>
      <c r="E2528" s="24" t="s">
        <v>799</v>
      </c>
      <c r="F2528" s="24" t="s">
        <v>928</v>
      </c>
      <c r="G2528" s="24">
        <v>173756</v>
      </c>
    </row>
    <row r="2529" spans="1:7" x14ac:dyDescent="0.25">
      <c r="A2529" s="24" t="s">
        <v>303</v>
      </c>
      <c r="B2529" s="24" t="s">
        <v>58</v>
      </c>
      <c r="C2529" s="24" t="s">
        <v>5</v>
      </c>
      <c r="D2529" s="24">
        <v>0</v>
      </c>
      <c r="E2529" s="24" t="s">
        <v>795</v>
      </c>
      <c r="F2529" s="24"/>
      <c r="G2529" s="24"/>
    </row>
    <row r="2530" spans="1:7" x14ac:dyDescent="0.25">
      <c r="A2530" s="24" t="s">
        <v>304</v>
      </c>
      <c r="B2530" s="24" t="s">
        <v>29</v>
      </c>
      <c r="C2530" s="24" t="s">
        <v>5</v>
      </c>
      <c r="D2530" s="24">
        <v>0</v>
      </c>
      <c r="E2530" s="24" t="s">
        <v>799</v>
      </c>
      <c r="F2530" s="24" t="s">
        <v>929</v>
      </c>
      <c r="G2530" s="24">
        <v>174288</v>
      </c>
    </row>
    <row r="2531" spans="1:7" x14ac:dyDescent="0.25">
      <c r="A2531" s="24" t="s">
        <v>304</v>
      </c>
      <c r="B2531" s="24" t="s">
        <v>58</v>
      </c>
      <c r="C2531" s="24" t="s">
        <v>5</v>
      </c>
      <c r="D2531" s="24">
        <v>0</v>
      </c>
      <c r="E2531" s="24" t="s">
        <v>795</v>
      </c>
      <c r="F2531" s="24"/>
      <c r="G2531" s="24"/>
    </row>
    <row r="2532" spans="1:7" x14ac:dyDescent="0.25">
      <c r="A2532" s="24" t="s">
        <v>305</v>
      </c>
      <c r="B2532" s="24" t="s">
        <v>23</v>
      </c>
      <c r="C2532" s="24" t="s">
        <v>5</v>
      </c>
      <c r="D2532" s="24">
        <v>1.9</v>
      </c>
      <c r="E2532" s="24" t="s">
        <v>796</v>
      </c>
      <c r="F2532" s="24" t="s">
        <v>930</v>
      </c>
      <c r="G2532" s="24">
        <v>175205</v>
      </c>
    </row>
    <row r="2533" spans="1:7" x14ac:dyDescent="0.25">
      <c r="A2533" s="24" t="s">
        <v>305</v>
      </c>
      <c r="B2533" s="24" t="s">
        <v>29</v>
      </c>
      <c r="C2533" s="24" t="s">
        <v>5</v>
      </c>
      <c r="D2533" s="24">
        <v>0</v>
      </c>
      <c r="E2533" s="24" t="s">
        <v>799</v>
      </c>
      <c r="F2533" s="24" t="s">
        <v>930</v>
      </c>
      <c r="G2533" s="24">
        <v>175205</v>
      </c>
    </row>
    <row r="2534" spans="1:7" x14ac:dyDescent="0.25">
      <c r="A2534" s="24" t="s">
        <v>305</v>
      </c>
      <c r="B2534" s="24" t="s">
        <v>37</v>
      </c>
      <c r="C2534" s="24" t="s">
        <v>38</v>
      </c>
      <c r="D2534" s="24">
        <v>0</v>
      </c>
      <c r="E2534" s="24" t="s">
        <v>796</v>
      </c>
      <c r="F2534" s="24" t="s">
        <v>930</v>
      </c>
      <c r="G2534" s="24">
        <v>175205</v>
      </c>
    </row>
    <row r="2535" spans="1:7" x14ac:dyDescent="0.25">
      <c r="A2535" s="24" t="s">
        <v>305</v>
      </c>
      <c r="B2535" s="24" t="s">
        <v>39</v>
      </c>
      <c r="C2535" s="24" t="s">
        <v>36</v>
      </c>
      <c r="D2535" s="24">
        <v>3</v>
      </c>
      <c r="E2535" s="24" t="s">
        <v>796</v>
      </c>
      <c r="F2535" s="24" t="s">
        <v>930</v>
      </c>
      <c r="G2535" s="24">
        <v>175205</v>
      </c>
    </row>
    <row r="2536" spans="1:7" x14ac:dyDescent="0.25">
      <c r="A2536" s="24" t="s">
        <v>305</v>
      </c>
      <c r="B2536" s="24" t="s">
        <v>58</v>
      </c>
      <c r="C2536" s="24" t="s">
        <v>5</v>
      </c>
      <c r="D2536" s="24">
        <v>0</v>
      </c>
      <c r="E2536" s="24" t="s">
        <v>795</v>
      </c>
      <c r="F2536" s="24"/>
      <c r="G2536" s="24"/>
    </row>
    <row r="2537" spans="1:7" x14ac:dyDescent="0.25">
      <c r="A2537" s="24" t="s">
        <v>306</v>
      </c>
      <c r="B2537" s="24" t="s">
        <v>23</v>
      </c>
      <c r="C2537" s="24" t="s">
        <v>5</v>
      </c>
      <c r="D2537" s="24">
        <v>5.7</v>
      </c>
      <c r="E2537" s="24" t="s">
        <v>796</v>
      </c>
      <c r="F2537" s="24" t="s">
        <v>930</v>
      </c>
      <c r="G2537" s="24">
        <v>175205</v>
      </c>
    </row>
    <row r="2538" spans="1:7" x14ac:dyDescent="0.25">
      <c r="A2538" s="24" t="s">
        <v>306</v>
      </c>
      <c r="B2538" s="24" t="s">
        <v>29</v>
      </c>
      <c r="C2538" s="24" t="s">
        <v>5</v>
      </c>
      <c r="D2538" s="24">
        <v>0</v>
      </c>
      <c r="E2538" s="24" t="s">
        <v>799</v>
      </c>
      <c r="F2538" s="24" t="s">
        <v>930</v>
      </c>
      <c r="G2538" s="24">
        <v>175205</v>
      </c>
    </row>
    <row r="2539" spans="1:7" x14ac:dyDescent="0.25">
      <c r="A2539" s="24" t="s">
        <v>306</v>
      </c>
      <c r="B2539" s="24" t="s">
        <v>35</v>
      </c>
      <c r="C2539" s="24" t="s">
        <v>36</v>
      </c>
      <c r="D2539" s="24">
        <v>0</v>
      </c>
      <c r="E2539" s="24" t="s">
        <v>796</v>
      </c>
      <c r="F2539" s="24" t="s">
        <v>930</v>
      </c>
      <c r="G2539" s="24">
        <v>175205</v>
      </c>
    </row>
    <row r="2540" spans="1:7" x14ac:dyDescent="0.25">
      <c r="A2540" s="24" t="s">
        <v>306</v>
      </c>
      <c r="B2540" s="24" t="s">
        <v>37</v>
      </c>
      <c r="C2540" s="24" t="s">
        <v>38</v>
      </c>
      <c r="D2540" s="24">
        <v>0</v>
      </c>
      <c r="E2540" s="24" t="s">
        <v>796</v>
      </c>
      <c r="F2540" s="24" t="s">
        <v>930</v>
      </c>
      <c r="G2540" s="24">
        <v>175205</v>
      </c>
    </row>
    <row r="2541" spans="1:7" x14ac:dyDescent="0.25">
      <c r="A2541" s="24" t="s">
        <v>306</v>
      </c>
      <c r="B2541" s="24" t="s">
        <v>39</v>
      </c>
      <c r="C2541" s="24" t="s">
        <v>36</v>
      </c>
      <c r="D2541" s="24">
        <v>9</v>
      </c>
      <c r="E2541" s="24" t="s">
        <v>796</v>
      </c>
      <c r="F2541" s="24" t="s">
        <v>930</v>
      </c>
      <c r="G2541" s="24">
        <v>175205</v>
      </c>
    </row>
    <row r="2542" spans="1:7" x14ac:dyDescent="0.25">
      <c r="A2542" s="24" t="s">
        <v>306</v>
      </c>
      <c r="B2542" s="24" t="s">
        <v>58</v>
      </c>
      <c r="C2542" s="24" t="s">
        <v>5</v>
      </c>
      <c r="D2542" s="24">
        <v>0</v>
      </c>
      <c r="E2542" s="24" t="s">
        <v>795</v>
      </c>
      <c r="F2542" s="24"/>
      <c r="G2542" s="24"/>
    </row>
    <row r="2543" spans="1:7" x14ac:dyDescent="0.25">
      <c r="A2543" s="24" t="s">
        <v>307</v>
      </c>
      <c r="B2543" s="24" t="s">
        <v>29</v>
      </c>
      <c r="C2543" s="24" t="s">
        <v>5</v>
      </c>
      <c r="D2543" s="24">
        <v>0</v>
      </c>
      <c r="E2543" s="24" t="s">
        <v>799</v>
      </c>
      <c r="F2543" s="24" t="s">
        <v>931</v>
      </c>
      <c r="G2543" s="24">
        <v>172421</v>
      </c>
    </row>
    <row r="2544" spans="1:7" x14ac:dyDescent="0.25">
      <c r="A2544" s="24" t="s">
        <v>307</v>
      </c>
      <c r="B2544" s="24" t="s">
        <v>58</v>
      </c>
      <c r="C2544" s="24" t="s">
        <v>5</v>
      </c>
      <c r="D2544" s="24">
        <v>0</v>
      </c>
      <c r="E2544" s="24" t="s">
        <v>795</v>
      </c>
      <c r="F2544" s="24"/>
      <c r="G2544" s="24"/>
    </row>
    <row r="2545" spans="1:7" x14ac:dyDescent="0.25">
      <c r="A2545" s="24" t="s">
        <v>308</v>
      </c>
      <c r="B2545" s="24" t="s">
        <v>29</v>
      </c>
      <c r="C2545" s="24" t="s">
        <v>5</v>
      </c>
      <c r="D2545" s="24">
        <v>0</v>
      </c>
      <c r="E2545" s="24" t="s">
        <v>799</v>
      </c>
      <c r="F2545" s="24" t="s">
        <v>932</v>
      </c>
      <c r="G2545" s="24">
        <v>172420</v>
      </c>
    </row>
    <row r="2546" spans="1:7" x14ac:dyDescent="0.25">
      <c r="A2546" s="24" t="s">
        <v>308</v>
      </c>
      <c r="B2546" s="24" t="s">
        <v>58</v>
      </c>
      <c r="C2546" s="24" t="s">
        <v>5</v>
      </c>
      <c r="D2546" s="24">
        <v>0</v>
      </c>
      <c r="E2546" s="24" t="s">
        <v>795</v>
      </c>
      <c r="F2546" s="24"/>
      <c r="G2546" s="24"/>
    </row>
    <row r="2547" spans="1:7" x14ac:dyDescent="0.25">
      <c r="A2547" s="24" t="s">
        <v>309</v>
      </c>
      <c r="B2547" s="24" t="s">
        <v>23</v>
      </c>
      <c r="C2547" s="24" t="s">
        <v>5</v>
      </c>
      <c r="D2547" s="24">
        <v>2</v>
      </c>
      <c r="E2547" s="24" t="s">
        <v>796</v>
      </c>
      <c r="F2547" s="24" t="s">
        <v>932</v>
      </c>
      <c r="G2547" s="24">
        <v>172420</v>
      </c>
    </row>
    <row r="2548" spans="1:7" x14ac:dyDescent="0.25">
      <c r="A2548" s="24" t="s">
        <v>309</v>
      </c>
      <c r="B2548" s="24" t="s">
        <v>24</v>
      </c>
      <c r="C2548" s="24" t="s">
        <v>5</v>
      </c>
      <c r="D2548" s="24">
        <v>10.8</v>
      </c>
      <c r="E2548" s="24" t="s">
        <v>796</v>
      </c>
      <c r="F2548" s="24" t="s">
        <v>932</v>
      </c>
      <c r="G2548" s="24">
        <v>172420</v>
      </c>
    </row>
    <row r="2549" spans="1:7" x14ac:dyDescent="0.25">
      <c r="A2549" s="24" t="s">
        <v>309</v>
      </c>
      <c r="B2549" s="24" t="s">
        <v>26</v>
      </c>
      <c r="C2549" s="24" t="s">
        <v>5</v>
      </c>
      <c r="D2549" s="24">
        <v>0.15</v>
      </c>
      <c r="E2549" s="24" t="s">
        <v>799</v>
      </c>
      <c r="F2549" s="24" t="s">
        <v>932</v>
      </c>
      <c r="G2549" s="24">
        <v>172420</v>
      </c>
    </row>
    <row r="2550" spans="1:7" x14ac:dyDescent="0.25">
      <c r="A2550" s="24" t="s">
        <v>309</v>
      </c>
      <c r="B2550" s="24" t="s">
        <v>27</v>
      </c>
      <c r="C2550" s="24" t="s">
        <v>5</v>
      </c>
      <c r="D2550" s="24">
        <v>0.18</v>
      </c>
      <c r="E2550" s="24" t="s">
        <v>799</v>
      </c>
      <c r="F2550" s="24" t="s">
        <v>932</v>
      </c>
      <c r="G2550" s="24">
        <v>172420</v>
      </c>
    </row>
    <row r="2551" spans="1:7" x14ac:dyDescent="0.25">
      <c r="A2551" s="24" t="s">
        <v>309</v>
      </c>
      <c r="B2551" s="24" t="s">
        <v>28</v>
      </c>
      <c r="C2551" s="24" t="s">
        <v>5</v>
      </c>
      <c r="D2551" s="24">
        <v>0.5</v>
      </c>
      <c r="E2551" s="24" t="s">
        <v>799</v>
      </c>
      <c r="F2551" s="24" t="s">
        <v>932</v>
      </c>
      <c r="G2551" s="24">
        <v>172420</v>
      </c>
    </row>
    <row r="2552" spans="1:7" x14ac:dyDescent="0.25">
      <c r="A2552" s="24" t="s">
        <v>309</v>
      </c>
      <c r="B2552" s="24" t="s">
        <v>29</v>
      </c>
      <c r="C2552" s="24" t="s">
        <v>5</v>
      </c>
      <c r="D2552" s="24">
        <v>0</v>
      </c>
      <c r="E2552" s="24" t="s">
        <v>799</v>
      </c>
      <c r="F2552" s="24" t="s">
        <v>932</v>
      </c>
      <c r="G2552" s="24">
        <v>172420</v>
      </c>
    </row>
    <row r="2553" spans="1:7" x14ac:dyDescent="0.25">
      <c r="A2553" s="24" t="s">
        <v>309</v>
      </c>
      <c r="B2553" s="24" t="s">
        <v>32</v>
      </c>
      <c r="C2553" s="24" t="s">
        <v>33</v>
      </c>
      <c r="D2553" s="24">
        <v>2</v>
      </c>
      <c r="E2553" s="24" t="s">
        <v>796</v>
      </c>
      <c r="F2553" s="24" t="s">
        <v>932</v>
      </c>
      <c r="G2553" s="24">
        <v>172420</v>
      </c>
    </row>
    <row r="2554" spans="1:7" x14ac:dyDescent="0.25">
      <c r="A2554" s="24" t="s">
        <v>309</v>
      </c>
      <c r="B2554" s="24" t="s">
        <v>34</v>
      </c>
      <c r="C2554" s="24" t="s">
        <v>31</v>
      </c>
      <c r="D2554" s="24">
        <v>4.5</v>
      </c>
      <c r="E2554" s="24" t="s">
        <v>796</v>
      </c>
      <c r="F2554" s="24" t="s">
        <v>932</v>
      </c>
      <c r="G2554" s="24">
        <v>172420</v>
      </c>
    </row>
    <row r="2555" spans="1:7" x14ac:dyDescent="0.25">
      <c r="A2555" s="24" t="s">
        <v>309</v>
      </c>
      <c r="B2555" s="24" t="s">
        <v>35</v>
      </c>
      <c r="C2555" s="24" t="s">
        <v>36</v>
      </c>
      <c r="D2555" s="24">
        <v>0</v>
      </c>
      <c r="E2555" s="24" t="s">
        <v>796</v>
      </c>
      <c r="F2555" s="24" t="s">
        <v>932</v>
      </c>
      <c r="G2555" s="24">
        <v>172420</v>
      </c>
    </row>
    <row r="2556" spans="1:7" x14ac:dyDescent="0.25">
      <c r="A2556" s="24" t="s">
        <v>309</v>
      </c>
      <c r="B2556" s="24" t="s">
        <v>37</v>
      </c>
      <c r="C2556" s="24" t="s">
        <v>38</v>
      </c>
      <c r="D2556" s="24">
        <v>0.5</v>
      </c>
      <c r="E2556" s="24" t="s">
        <v>796</v>
      </c>
      <c r="F2556" s="24" t="s">
        <v>932</v>
      </c>
      <c r="G2556" s="24">
        <v>172420</v>
      </c>
    </row>
    <row r="2557" spans="1:7" x14ac:dyDescent="0.25">
      <c r="A2557" s="24" t="s">
        <v>309</v>
      </c>
      <c r="B2557" s="24" t="s">
        <v>39</v>
      </c>
      <c r="C2557" s="24" t="s">
        <v>36</v>
      </c>
      <c r="D2557" s="24">
        <v>5</v>
      </c>
      <c r="E2557" s="24" t="s">
        <v>796</v>
      </c>
      <c r="F2557" s="24" t="s">
        <v>932</v>
      </c>
      <c r="G2557" s="24">
        <v>172420</v>
      </c>
    </row>
    <row r="2558" spans="1:7" x14ac:dyDescent="0.25">
      <c r="A2558" s="24" t="s">
        <v>309</v>
      </c>
      <c r="B2558" s="24" t="s">
        <v>42</v>
      </c>
      <c r="C2558" s="24" t="s">
        <v>43</v>
      </c>
      <c r="D2558" s="24">
        <v>2.6</v>
      </c>
      <c r="E2558" s="24" t="s">
        <v>796</v>
      </c>
      <c r="F2558" s="24" t="s">
        <v>932</v>
      </c>
      <c r="G2558" s="24">
        <v>172420</v>
      </c>
    </row>
    <row r="2559" spans="1:7" x14ac:dyDescent="0.25">
      <c r="A2559" s="24" t="s">
        <v>309</v>
      </c>
      <c r="B2559" s="24" t="s">
        <v>44</v>
      </c>
      <c r="C2559" s="24" t="s">
        <v>31</v>
      </c>
      <c r="D2559" s="24">
        <v>0.5</v>
      </c>
      <c r="E2559" s="24" t="s">
        <v>796</v>
      </c>
      <c r="F2559" s="24" t="s">
        <v>932</v>
      </c>
      <c r="G2559" s="24">
        <v>172420</v>
      </c>
    </row>
    <row r="2560" spans="1:7" x14ac:dyDescent="0.25">
      <c r="A2560" s="24" t="s">
        <v>309</v>
      </c>
      <c r="B2560" s="24" t="s">
        <v>45</v>
      </c>
      <c r="C2560" s="24" t="s">
        <v>31</v>
      </c>
      <c r="D2560" s="24">
        <v>2.2000000000000002</v>
      </c>
      <c r="E2560" s="24" t="s">
        <v>796</v>
      </c>
      <c r="F2560" s="24" t="s">
        <v>932</v>
      </c>
      <c r="G2560" s="24">
        <v>172420</v>
      </c>
    </row>
    <row r="2561" spans="1:7" x14ac:dyDescent="0.25">
      <c r="A2561" s="24" t="s">
        <v>309</v>
      </c>
      <c r="B2561" s="24" t="s">
        <v>46</v>
      </c>
      <c r="C2561" s="24" t="s">
        <v>36</v>
      </c>
      <c r="D2561" s="24">
        <v>0</v>
      </c>
      <c r="E2561" s="24" t="s">
        <v>796</v>
      </c>
      <c r="F2561" s="24" t="s">
        <v>932</v>
      </c>
      <c r="G2561" s="24">
        <v>172420</v>
      </c>
    </row>
    <row r="2562" spans="1:7" x14ac:dyDescent="0.25">
      <c r="A2562" s="24" t="s">
        <v>309</v>
      </c>
      <c r="B2562" s="24" t="s">
        <v>47</v>
      </c>
      <c r="C2562" s="24" t="s">
        <v>48</v>
      </c>
      <c r="D2562" s="24">
        <v>482.4</v>
      </c>
      <c r="E2562" s="24" t="s">
        <v>796</v>
      </c>
      <c r="F2562" s="24" t="s">
        <v>932</v>
      </c>
      <c r="G2562" s="24">
        <v>172420</v>
      </c>
    </row>
    <row r="2563" spans="1:7" x14ac:dyDescent="0.25">
      <c r="A2563" s="24" t="s">
        <v>309</v>
      </c>
      <c r="B2563" s="24" t="s">
        <v>53</v>
      </c>
      <c r="C2563" s="24" t="s">
        <v>31</v>
      </c>
      <c r="D2563" s="24">
        <v>47.3</v>
      </c>
      <c r="E2563" s="24" t="s">
        <v>796</v>
      </c>
      <c r="F2563" s="24" t="s">
        <v>932</v>
      </c>
      <c r="G2563" s="24">
        <v>172420</v>
      </c>
    </row>
    <row r="2564" spans="1:7" x14ac:dyDescent="0.25">
      <c r="A2564" s="24" t="s">
        <v>309</v>
      </c>
      <c r="B2564" s="24" t="s">
        <v>55</v>
      </c>
      <c r="C2564" s="24" t="s">
        <v>31</v>
      </c>
      <c r="D2564" s="24">
        <v>3.3</v>
      </c>
      <c r="E2564" s="24" t="s">
        <v>796</v>
      </c>
      <c r="F2564" s="24" t="s">
        <v>932</v>
      </c>
      <c r="G2564" s="24">
        <v>172420</v>
      </c>
    </row>
    <row r="2565" spans="1:7" x14ac:dyDescent="0.25">
      <c r="A2565" s="24" t="s">
        <v>309</v>
      </c>
      <c r="B2565" s="24" t="s">
        <v>56</v>
      </c>
      <c r="C2565" s="24" t="s">
        <v>31</v>
      </c>
      <c r="D2565" s="24">
        <v>0.8</v>
      </c>
      <c r="E2565" s="24" t="s">
        <v>796</v>
      </c>
      <c r="F2565" s="24" t="s">
        <v>932</v>
      </c>
      <c r="G2565" s="24">
        <v>172420</v>
      </c>
    </row>
    <row r="2566" spans="1:7" x14ac:dyDescent="0.25">
      <c r="A2566" s="24" t="s">
        <v>309</v>
      </c>
      <c r="B2566" s="24" t="s">
        <v>57</v>
      </c>
      <c r="C2566" s="24" t="s">
        <v>36</v>
      </c>
      <c r="D2566" s="24">
        <v>0.1</v>
      </c>
      <c r="E2566" s="24" t="s">
        <v>796</v>
      </c>
      <c r="F2566" s="24" t="s">
        <v>932</v>
      </c>
      <c r="G2566" s="24">
        <v>172420</v>
      </c>
    </row>
    <row r="2567" spans="1:7" x14ac:dyDescent="0.25">
      <c r="A2567" s="24" t="s">
        <v>309</v>
      </c>
      <c r="B2567" s="24" t="s">
        <v>58</v>
      </c>
      <c r="C2567" s="24" t="s">
        <v>5</v>
      </c>
      <c r="D2567" s="24">
        <v>0</v>
      </c>
      <c r="E2567" s="24" t="s">
        <v>795</v>
      </c>
      <c r="F2567" s="24"/>
      <c r="G2567" s="24"/>
    </row>
    <row r="2568" spans="1:7" x14ac:dyDescent="0.25">
      <c r="A2568" s="24" t="s">
        <v>310</v>
      </c>
      <c r="B2568" s="24" t="s">
        <v>23</v>
      </c>
      <c r="C2568" s="24" t="s">
        <v>5</v>
      </c>
      <c r="D2568" s="24">
        <v>0.3</v>
      </c>
      <c r="E2568" s="24" t="s">
        <v>796</v>
      </c>
      <c r="F2568" s="24" t="s">
        <v>933</v>
      </c>
      <c r="G2568" s="24">
        <v>175203</v>
      </c>
    </row>
    <row r="2569" spans="1:7" x14ac:dyDescent="0.25">
      <c r="A2569" s="24" t="s">
        <v>310</v>
      </c>
      <c r="B2569" s="24" t="s">
        <v>29</v>
      </c>
      <c r="C2569" s="24" t="s">
        <v>5</v>
      </c>
      <c r="D2569" s="24">
        <v>0</v>
      </c>
      <c r="E2569" s="24" t="s">
        <v>799</v>
      </c>
      <c r="F2569" s="24" t="s">
        <v>933</v>
      </c>
      <c r="G2569" s="24">
        <v>175203</v>
      </c>
    </row>
    <row r="2570" spans="1:7" x14ac:dyDescent="0.25">
      <c r="A2570" s="24" t="s">
        <v>310</v>
      </c>
      <c r="B2570" s="24" t="s">
        <v>35</v>
      </c>
      <c r="C2570" s="24" t="s">
        <v>36</v>
      </c>
      <c r="D2570" s="24">
        <v>0</v>
      </c>
      <c r="E2570" s="24" t="s">
        <v>796</v>
      </c>
      <c r="F2570" s="24" t="s">
        <v>933</v>
      </c>
      <c r="G2570" s="24">
        <v>175203</v>
      </c>
    </row>
    <row r="2571" spans="1:7" x14ac:dyDescent="0.25">
      <c r="A2571" s="24" t="s">
        <v>310</v>
      </c>
      <c r="B2571" s="24" t="s">
        <v>37</v>
      </c>
      <c r="C2571" s="24" t="s">
        <v>38</v>
      </c>
      <c r="D2571" s="24">
        <v>0.9</v>
      </c>
      <c r="E2571" s="24" t="s">
        <v>796</v>
      </c>
      <c r="F2571" s="24" t="s">
        <v>933</v>
      </c>
      <c r="G2571" s="24">
        <v>175203</v>
      </c>
    </row>
    <row r="2572" spans="1:7" x14ac:dyDescent="0.25">
      <c r="A2572" s="24" t="s">
        <v>310</v>
      </c>
      <c r="B2572" s="24" t="s">
        <v>39</v>
      </c>
      <c r="C2572" s="24" t="s">
        <v>36</v>
      </c>
      <c r="D2572" s="24">
        <v>3.4</v>
      </c>
      <c r="E2572" s="24" t="s">
        <v>796</v>
      </c>
      <c r="F2572" s="24" t="s">
        <v>933</v>
      </c>
      <c r="G2572" s="24">
        <v>175203</v>
      </c>
    </row>
    <row r="2573" spans="1:7" x14ac:dyDescent="0.25">
      <c r="A2573" s="24" t="s">
        <v>310</v>
      </c>
      <c r="B2573" s="24" t="s">
        <v>57</v>
      </c>
      <c r="C2573" s="24" t="s">
        <v>36</v>
      </c>
      <c r="D2573" s="24">
        <v>1.3</v>
      </c>
      <c r="E2573" s="24" t="s">
        <v>796</v>
      </c>
      <c r="F2573" s="24" t="s">
        <v>933</v>
      </c>
      <c r="G2573" s="24">
        <v>175203</v>
      </c>
    </row>
    <row r="2574" spans="1:7" x14ac:dyDescent="0.25">
      <c r="A2574" s="24" t="s">
        <v>310</v>
      </c>
      <c r="B2574" s="24" t="s">
        <v>58</v>
      </c>
      <c r="C2574" s="24" t="s">
        <v>5</v>
      </c>
      <c r="D2574" s="24">
        <v>0</v>
      </c>
      <c r="E2574" s="24" t="s">
        <v>795</v>
      </c>
      <c r="F2574" s="24"/>
      <c r="G2574" s="24"/>
    </row>
    <row r="2575" spans="1:7" x14ac:dyDescent="0.25">
      <c r="A2575" s="24" t="s">
        <v>311</v>
      </c>
      <c r="B2575" s="24" t="s">
        <v>29</v>
      </c>
      <c r="C2575" s="24" t="s">
        <v>5</v>
      </c>
      <c r="D2575" s="24">
        <v>0</v>
      </c>
      <c r="E2575" s="24" t="s">
        <v>799</v>
      </c>
      <c r="F2575" s="24" t="s">
        <v>934</v>
      </c>
      <c r="G2575" s="24">
        <v>175202</v>
      </c>
    </row>
    <row r="2576" spans="1:7" x14ac:dyDescent="0.25">
      <c r="A2576" s="24" t="s">
        <v>311</v>
      </c>
      <c r="B2576" s="24" t="s">
        <v>58</v>
      </c>
      <c r="C2576" s="24" t="s">
        <v>5</v>
      </c>
      <c r="D2576" s="24">
        <v>0</v>
      </c>
      <c r="E2576" s="24" t="s">
        <v>795</v>
      </c>
      <c r="F2576" s="24"/>
      <c r="G2576" s="24"/>
    </row>
    <row r="2577" spans="1:7" x14ac:dyDescent="0.25">
      <c r="A2577" s="24" t="s">
        <v>312</v>
      </c>
      <c r="B2577" s="24" t="s">
        <v>29</v>
      </c>
      <c r="C2577" s="24" t="s">
        <v>5</v>
      </c>
      <c r="D2577" s="24">
        <v>0</v>
      </c>
      <c r="E2577" s="24" t="s">
        <v>799</v>
      </c>
      <c r="F2577" s="24" t="s">
        <v>935</v>
      </c>
      <c r="G2577" s="24">
        <v>169283</v>
      </c>
    </row>
    <row r="2578" spans="1:7" x14ac:dyDescent="0.25">
      <c r="A2578" s="24" t="s">
        <v>312</v>
      </c>
      <c r="B2578" s="24" t="s">
        <v>58</v>
      </c>
      <c r="C2578" s="24" t="s">
        <v>5</v>
      </c>
      <c r="D2578" s="24">
        <v>0</v>
      </c>
      <c r="E2578" s="24" t="s">
        <v>795</v>
      </c>
      <c r="F2578" s="24"/>
      <c r="G2578" s="24"/>
    </row>
    <row r="2579" spans="1:7" x14ac:dyDescent="0.25">
      <c r="A2579" s="24" t="s">
        <v>313</v>
      </c>
      <c r="B2579" s="24" t="s">
        <v>29</v>
      </c>
      <c r="C2579" s="24" t="s">
        <v>5</v>
      </c>
      <c r="D2579" s="24">
        <v>0</v>
      </c>
      <c r="E2579" s="24" t="s">
        <v>799</v>
      </c>
      <c r="F2579" s="24" t="s">
        <v>936</v>
      </c>
      <c r="G2579" s="24">
        <v>169282</v>
      </c>
    </row>
    <row r="2580" spans="1:7" x14ac:dyDescent="0.25">
      <c r="A2580" s="24" t="s">
        <v>313</v>
      </c>
      <c r="B2580" s="24" t="s">
        <v>58</v>
      </c>
      <c r="C2580" s="24" t="s">
        <v>5</v>
      </c>
      <c r="D2580" s="24">
        <v>0</v>
      </c>
      <c r="E2580" s="24" t="s">
        <v>795</v>
      </c>
      <c r="F2580" s="24"/>
      <c r="G2580" s="24"/>
    </row>
    <row r="2581" spans="1:7" x14ac:dyDescent="0.25">
      <c r="A2581" s="24" t="s">
        <v>314</v>
      </c>
      <c r="B2581" s="24" t="s">
        <v>20</v>
      </c>
      <c r="C2581" s="24" t="s">
        <v>5</v>
      </c>
      <c r="D2581" s="24">
        <v>0</v>
      </c>
      <c r="E2581" s="24" t="s">
        <v>809</v>
      </c>
      <c r="F2581" s="24"/>
      <c r="G2581" s="24"/>
    </row>
    <row r="2582" spans="1:7" x14ac:dyDescent="0.25">
      <c r="A2582" s="24" t="s">
        <v>314</v>
      </c>
      <c r="B2582" s="24" t="s">
        <v>29</v>
      </c>
      <c r="C2582" s="24" t="s">
        <v>5</v>
      </c>
      <c r="D2582" s="24">
        <v>0</v>
      </c>
      <c r="E2582" s="24" t="s">
        <v>799</v>
      </c>
      <c r="F2582" s="24" t="s">
        <v>937</v>
      </c>
      <c r="G2582" s="24">
        <v>173736</v>
      </c>
    </row>
    <row r="2583" spans="1:7" x14ac:dyDescent="0.25">
      <c r="A2583" s="24" t="s">
        <v>314</v>
      </c>
      <c r="B2583" s="24" t="s">
        <v>35</v>
      </c>
      <c r="C2583" s="24" t="s">
        <v>36</v>
      </c>
      <c r="D2583" s="24">
        <v>0</v>
      </c>
      <c r="E2583" s="24" t="s">
        <v>796</v>
      </c>
      <c r="F2583" s="24" t="s">
        <v>937</v>
      </c>
      <c r="G2583" s="24">
        <v>173736</v>
      </c>
    </row>
    <row r="2584" spans="1:7" x14ac:dyDescent="0.25">
      <c r="A2584" s="24" t="s">
        <v>314</v>
      </c>
      <c r="B2584" s="24" t="s">
        <v>58</v>
      </c>
      <c r="C2584" s="24" t="s">
        <v>5</v>
      </c>
      <c r="D2584" s="24">
        <v>0</v>
      </c>
      <c r="E2584" s="24" t="s">
        <v>795</v>
      </c>
      <c r="F2584" s="24"/>
      <c r="G2584" s="24"/>
    </row>
    <row r="2585" spans="1:7" x14ac:dyDescent="0.25">
      <c r="A2585" s="24" t="s">
        <v>315</v>
      </c>
      <c r="B2585" s="24" t="s">
        <v>29</v>
      </c>
      <c r="C2585" s="24" t="s">
        <v>5</v>
      </c>
      <c r="D2585" s="24">
        <v>0</v>
      </c>
      <c r="E2585" s="24" t="s">
        <v>799</v>
      </c>
      <c r="F2585" s="24" t="s">
        <v>938</v>
      </c>
      <c r="G2585" s="24">
        <v>173734</v>
      </c>
    </row>
    <row r="2586" spans="1:7" x14ac:dyDescent="0.25">
      <c r="A2586" s="24" t="s">
        <v>315</v>
      </c>
      <c r="B2586" s="24" t="s">
        <v>58</v>
      </c>
      <c r="C2586" s="24" t="s">
        <v>5</v>
      </c>
      <c r="D2586" s="24">
        <v>0</v>
      </c>
      <c r="E2586" s="24" t="s">
        <v>795</v>
      </c>
      <c r="F2586" s="24"/>
      <c r="G2586" s="24"/>
    </row>
    <row r="2587" spans="1:7" x14ac:dyDescent="0.25">
      <c r="A2587" s="24" t="s">
        <v>317</v>
      </c>
      <c r="B2587" s="24" t="s">
        <v>29</v>
      </c>
      <c r="C2587" s="24" t="s">
        <v>5</v>
      </c>
      <c r="D2587" s="24">
        <v>0.01</v>
      </c>
      <c r="E2587" s="24" t="s">
        <v>799</v>
      </c>
      <c r="F2587" s="24" t="s">
        <v>939</v>
      </c>
      <c r="G2587" s="24">
        <v>170567</v>
      </c>
    </row>
    <row r="2588" spans="1:7" x14ac:dyDescent="0.25">
      <c r="A2588" s="24" t="s">
        <v>317</v>
      </c>
      <c r="B2588" s="24" t="s">
        <v>58</v>
      </c>
      <c r="C2588" s="24" t="s">
        <v>5</v>
      </c>
      <c r="D2588" s="24">
        <v>0</v>
      </c>
      <c r="E2588" s="24" t="s">
        <v>795</v>
      </c>
      <c r="F2588" s="24"/>
      <c r="G2588" s="24"/>
    </row>
    <row r="2589" spans="1:7" x14ac:dyDescent="0.25">
      <c r="A2589" s="24" t="s">
        <v>318</v>
      </c>
      <c r="B2589" s="24" t="s">
        <v>23</v>
      </c>
      <c r="C2589" s="24" t="s">
        <v>5</v>
      </c>
      <c r="D2589" s="24">
        <v>4.3</v>
      </c>
      <c r="E2589" s="24" t="s">
        <v>796</v>
      </c>
      <c r="F2589" s="24" t="s">
        <v>939</v>
      </c>
      <c r="G2589" s="24">
        <v>170567</v>
      </c>
    </row>
    <row r="2590" spans="1:7" x14ac:dyDescent="0.25">
      <c r="A2590" s="24" t="s">
        <v>318</v>
      </c>
      <c r="B2590" s="24" t="s">
        <v>30</v>
      </c>
      <c r="C2590" s="24" t="s">
        <v>31</v>
      </c>
      <c r="D2590" s="24">
        <v>0</v>
      </c>
      <c r="E2590" s="24" t="s">
        <v>801</v>
      </c>
      <c r="F2590" s="24" t="s">
        <v>939</v>
      </c>
      <c r="G2590" s="24">
        <v>170567</v>
      </c>
    </row>
    <row r="2591" spans="1:7" x14ac:dyDescent="0.25">
      <c r="A2591" s="24" t="s">
        <v>318</v>
      </c>
      <c r="B2591" s="24" t="s">
        <v>32</v>
      </c>
      <c r="C2591" s="24" t="s">
        <v>33</v>
      </c>
      <c r="D2591" s="24">
        <v>0</v>
      </c>
      <c r="E2591" s="24" t="s">
        <v>796</v>
      </c>
      <c r="F2591" s="24" t="s">
        <v>939</v>
      </c>
      <c r="G2591" s="24">
        <v>170567</v>
      </c>
    </row>
    <row r="2592" spans="1:7" x14ac:dyDescent="0.25">
      <c r="A2592" s="24" t="s">
        <v>318</v>
      </c>
      <c r="B2592" s="24" t="s">
        <v>34</v>
      </c>
      <c r="C2592" s="24" t="s">
        <v>31</v>
      </c>
      <c r="D2592" s="24">
        <v>0</v>
      </c>
      <c r="E2592" s="24" t="s">
        <v>796</v>
      </c>
      <c r="F2592" s="24" t="s">
        <v>939</v>
      </c>
      <c r="G2592" s="24">
        <v>170567</v>
      </c>
    </row>
    <row r="2593" spans="1:7" x14ac:dyDescent="0.25">
      <c r="A2593" s="24" t="s">
        <v>318</v>
      </c>
      <c r="B2593" s="24" t="s">
        <v>35</v>
      </c>
      <c r="C2593" s="24" t="s">
        <v>36</v>
      </c>
      <c r="D2593" s="24">
        <v>0</v>
      </c>
      <c r="E2593" s="24" t="s">
        <v>796</v>
      </c>
      <c r="F2593" s="24" t="s">
        <v>939</v>
      </c>
      <c r="G2593" s="24">
        <v>170567</v>
      </c>
    </row>
    <row r="2594" spans="1:7" x14ac:dyDescent="0.25">
      <c r="A2594" s="24" t="s">
        <v>318</v>
      </c>
      <c r="B2594" s="24" t="s">
        <v>37</v>
      </c>
      <c r="C2594" s="24" t="s">
        <v>38</v>
      </c>
      <c r="D2594" s="24">
        <v>25.6</v>
      </c>
      <c r="E2594" s="24" t="s">
        <v>796</v>
      </c>
      <c r="F2594" s="24" t="s">
        <v>939</v>
      </c>
      <c r="G2594" s="24">
        <v>170567</v>
      </c>
    </row>
    <row r="2595" spans="1:7" x14ac:dyDescent="0.25">
      <c r="A2595" s="24" t="s">
        <v>318</v>
      </c>
      <c r="B2595" s="24" t="s">
        <v>39</v>
      </c>
      <c r="C2595" s="24" t="s">
        <v>36</v>
      </c>
      <c r="D2595" s="24">
        <v>0</v>
      </c>
      <c r="E2595" s="24" t="s">
        <v>796</v>
      </c>
      <c r="F2595" s="24" t="s">
        <v>939</v>
      </c>
      <c r="G2595" s="24">
        <v>170567</v>
      </c>
    </row>
    <row r="2596" spans="1:7" x14ac:dyDescent="0.25">
      <c r="A2596" s="24" t="s">
        <v>318</v>
      </c>
      <c r="B2596" s="24" t="s">
        <v>40</v>
      </c>
      <c r="C2596" s="24" t="s">
        <v>31</v>
      </c>
      <c r="D2596" s="24">
        <v>0.2</v>
      </c>
      <c r="E2596" s="24" t="s">
        <v>796</v>
      </c>
      <c r="F2596" s="24" t="s">
        <v>939</v>
      </c>
      <c r="G2596" s="24">
        <v>170567</v>
      </c>
    </row>
    <row r="2597" spans="1:7" x14ac:dyDescent="0.25">
      <c r="A2597" s="24" t="s">
        <v>318</v>
      </c>
      <c r="B2597" s="24" t="s">
        <v>41</v>
      </c>
      <c r="C2597" s="24" t="s">
        <v>31</v>
      </c>
      <c r="D2597" s="24">
        <v>1.1000000000000001</v>
      </c>
      <c r="E2597" s="24" t="s">
        <v>796</v>
      </c>
      <c r="F2597" s="24" t="s">
        <v>939</v>
      </c>
      <c r="G2597" s="24">
        <v>170567</v>
      </c>
    </row>
    <row r="2598" spans="1:7" x14ac:dyDescent="0.25">
      <c r="A2598" s="24" t="s">
        <v>318</v>
      </c>
      <c r="B2598" s="24" t="s">
        <v>42</v>
      </c>
      <c r="C2598" s="24" t="s">
        <v>43</v>
      </c>
      <c r="D2598" s="24">
        <v>3.6</v>
      </c>
      <c r="E2598" s="24" t="s">
        <v>796</v>
      </c>
      <c r="F2598" s="24" t="s">
        <v>939</v>
      </c>
      <c r="G2598" s="24">
        <v>170567</v>
      </c>
    </row>
    <row r="2599" spans="1:7" x14ac:dyDescent="0.25">
      <c r="A2599" s="24" t="s">
        <v>318</v>
      </c>
      <c r="B2599" s="24" t="s">
        <v>44</v>
      </c>
      <c r="C2599" s="24" t="s">
        <v>31</v>
      </c>
      <c r="D2599" s="24">
        <v>0.1</v>
      </c>
      <c r="E2599" s="24" t="s">
        <v>796</v>
      </c>
      <c r="F2599" s="24" t="s">
        <v>939</v>
      </c>
      <c r="G2599" s="24">
        <v>170567</v>
      </c>
    </row>
    <row r="2600" spans="1:7" x14ac:dyDescent="0.25">
      <c r="A2600" s="24" t="s">
        <v>318</v>
      </c>
      <c r="B2600" s="24" t="s">
        <v>45</v>
      </c>
      <c r="C2600" s="24" t="s">
        <v>31</v>
      </c>
      <c r="D2600" s="24">
        <v>0.5</v>
      </c>
      <c r="E2600" s="24" t="s">
        <v>796</v>
      </c>
      <c r="F2600" s="24" t="s">
        <v>939</v>
      </c>
      <c r="G2600" s="24">
        <v>170567</v>
      </c>
    </row>
    <row r="2601" spans="1:7" x14ac:dyDescent="0.25">
      <c r="A2601" s="24" t="s">
        <v>318</v>
      </c>
      <c r="B2601" s="24" t="s">
        <v>46</v>
      </c>
      <c r="C2601" s="24" t="s">
        <v>36</v>
      </c>
      <c r="D2601" s="24">
        <v>0</v>
      </c>
      <c r="E2601" s="24" t="s">
        <v>796</v>
      </c>
      <c r="F2601" s="24" t="s">
        <v>939</v>
      </c>
      <c r="G2601" s="24">
        <v>170567</v>
      </c>
    </row>
    <row r="2602" spans="1:7" x14ac:dyDescent="0.25">
      <c r="A2602" s="24" t="s">
        <v>318</v>
      </c>
      <c r="B2602" s="24" t="s">
        <v>47</v>
      </c>
      <c r="C2602" s="24" t="s">
        <v>48</v>
      </c>
      <c r="D2602" s="24">
        <v>44</v>
      </c>
      <c r="E2602" s="24" t="s">
        <v>796</v>
      </c>
      <c r="F2602" s="24" t="s">
        <v>939</v>
      </c>
      <c r="G2602" s="24">
        <v>170567</v>
      </c>
    </row>
    <row r="2603" spans="1:7" x14ac:dyDescent="0.25">
      <c r="A2603" s="24" t="s">
        <v>318</v>
      </c>
      <c r="B2603" s="24" t="s">
        <v>50</v>
      </c>
      <c r="C2603" s="24" t="s">
        <v>31</v>
      </c>
      <c r="D2603" s="24">
        <v>732.3</v>
      </c>
      <c r="E2603" s="24" t="s">
        <v>796</v>
      </c>
      <c r="F2603" s="24" t="s">
        <v>939</v>
      </c>
      <c r="G2603" s="24">
        <v>170567</v>
      </c>
    </row>
    <row r="2604" spans="1:7" x14ac:dyDescent="0.25">
      <c r="A2604" s="24" t="s">
        <v>318</v>
      </c>
      <c r="B2604" s="24" t="s">
        <v>51</v>
      </c>
      <c r="C2604" s="24" t="s">
        <v>31</v>
      </c>
      <c r="D2604" s="24">
        <v>268.7</v>
      </c>
      <c r="E2604" s="24" t="s">
        <v>796</v>
      </c>
      <c r="F2604" s="24" t="s">
        <v>939</v>
      </c>
      <c r="G2604" s="24">
        <v>170567</v>
      </c>
    </row>
    <row r="2605" spans="1:7" x14ac:dyDescent="0.25">
      <c r="A2605" s="24" t="s">
        <v>318</v>
      </c>
      <c r="B2605" s="24" t="s">
        <v>52</v>
      </c>
      <c r="C2605" s="24" t="s">
        <v>31</v>
      </c>
      <c r="D2605" s="24">
        <v>480.5</v>
      </c>
      <c r="E2605" s="24" t="s">
        <v>796</v>
      </c>
      <c r="F2605" s="24" t="s">
        <v>939</v>
      </c>
      <c r="G2605" s="24">
        <v>170567</v>
      </c>
    </row>
    <row r="2606" spans="1:7" x14ac:dyDescent="0.25">
      <c r="A2606" s="24" t="s">
        <v>318</v>
      </c>
      <c r="B2606" s="24" t="s">
        <v>53</v>
      </c>
      <c r="C2606" s="24" t="s">
        <v>31</v>
      </c>
      <c r="D2606" s="24">
        <v>269.7</v>
      </c>
      <c r="E2606" s="24" t="s">
        <v>796</v>
      </c>
      <c r="F2606" s="24" t="s">
        <v>939</v>
      </c>
      <c r="G2606" s="24">
        <v>170567</v>
      </c>
    </row>
    <row r="2607" spans="1:7" x14ac:dyDescent="0.25">
      <c r="A2607" s="24" t="s">
        <v>318</v>
      </c>
      <c r="B2607" s="24" t="s">
        <v>54</v>
      </c>
      <c r="C2607" s="24" t="s">
        <v>31</v>
      </c>
      <c r="D2607" s="24">
        <v>3.7</v>
      </c>
      <c r="E2607" s="24" t="s">
        <v>796</v>
      </c>
      <c r="F2607" s="24" t="s">
        <v>939</v>
      </c>
      <c r="G2607" s="24">
        <v>170567</v>
      </c>
    </row>
    <row r="2608" spans="1:7" x14ac:dyDescent="0.25">
      <c r="A2608" s="24" t="s">
        <v>318</v>
      </c>
      <c r="B2608" s="24" t="s">
        <v>55</v>
      </c>
      <c r="C2608" s="24" t="s">
        <v>31</v>
      </c>
      <c r="D2608" s="24">
        <v>3.1</v>
      </c>
      <c r="E2608" s="24" t="s">
        <v>796</v>
      </c>
      <c r="F2608" s="24" t="s">
        <v>939</v>
      </c>
      <c r="G2608" s="24">
        <v>170567</v>
      </c>
    </row>
    <row r="2609" spans="1:7" x14ac:dyDescent="0.25">
      <c r="A2609" s="24" t="s">
        <v>318</v>
      </c>
      <c r="B2609" s="24" t="s">
        <v>56</v>
      </c>
      <c r="C2609" s="24" t="s">
        <v>31</v>
      </c>
      <c r="D2609" s="24">
        <v>1</v>
      </c>
      <c r="E2609" s="24" t="s">
        <v>796</v>
      </c>
      <c r="F2609" s="24" t="s">
        <v>939</v>
      </c>
      <c r="G2609" s="24">
        <v>170567</v>
      </c>
    </row>
    <row r="2610" spans="1:7" x14ac:dyDescent="0.25">
      <c r="A2610" s="24" t="s">
        <v>318</v>
      </c>
      <c r="B2610" s="24" t="s">
        <v>57</v>
      </c>
      <c r="C2610" s="24" t="s">
        <v>36</v>
      </c>
      <c r="D2610" s="24">
        <v>4.0999999999999996</v>
      </c>
      <c r="E2610" s="24" t="s">
        <v>796</v>
      </c>
      <c r="F2610" s="24" t="s">
        <v>939</v>
      </c>
      <c r="G2610" s="24">
        <v>170567</v>
      </c>
    </row>
    <row r="2611" spans="1:7" x14ac:dyDescent="0.25">
      <c r="A2611" s="24" t="s">
        <v>318</v>
      </c>
      <c r="B2611" s="24" t="s">
        <v>58</v>
      </c>
      <c r="C2611" s="24" t="s">
        <v>5</v>
      </c>
      <c r="D2611" s="24">
        <v>0</v>
      </c>
      <c r="E2611" s="24" t="s">
        <v>795</v>
      </c>
      <c r="F2611" s="24"/>
      <c r="G2611" s="24"/>
    </row>
    <row r="2612" spans="1:7" x14ac:dyDescent="0.25">
      <c r="A2612" s="24" t="s">
        <v>319</v>
      </c>
      <c r="B2612" s="24" t="s">
        <v>29</v>
      </c>
      <c r="C2612" s="24" t="s">
        <v>5</v>
      </c>
      <c r="D2612" s="24">
        <v>0</v>
      </c>
      <c r="E2612" s="24" t="s">
        <v>940</v>
      </c>
      <c r="F2612" s="24"/>
      <c r="G2612" s="24"/>
    </row>
    <row r="2613" spans="1:7" x14ac:dyDescent="0.25">
      <c r="A2613" s="24" t="s">
        <v>319</v>
      </c>
      <c r="B2613" s="24" t="s">
        <v>58</v>
      </c>
      <c r="C2613" s="24" t="s">
        <v>5</v>
      </c>
      <c r="D2613" s="24">
        <v>0</v>
      </c>
      <c r="E2613" s="24" t="s">
        <v>795</v>
      </c>
      <c r="F2613" s="24"/>
      <c r="G2613" s="24"/>
    </row>
    <row r="2614" spans="1:7" x14ac:dyDescent="0.25">
      <c r="A2614" s="24" t="s">
        <v>320</v>
      </c>
      <c r="B2614" s="24" t="s">
        <v>29</v>
      </c>
      <c r="C2614" s="24" t="s">
        <v>5</v>
      </c>
      <c r="D2614" s="24">
        <v>0</v>
      </c>
      <c r="E2614" s="24" t="s">
        <v>940</v>
      </c>
      <c r="F2614" s="24"/>
      <c r="G2614" s="24"/>
    </row>
    <row r="2615" spans="1:7" x14ac:dyDescent="0.25">
      <c r="A2615" s="24" t="s">
        <v>320</v>
      </c>
      <c r="B2615" s="24" t="s">
        <v>58</v>
      </c>
      <c r="C2615" s="24" t="s">
        <v>5</v>
      </c>
      <c r="D2615" s="24">
        <v>0</v>
      </c>
      <c r="E2615" s="24" t="s">
        <v>795</v>
      </c>
      <c r="F2615" s="24"/>
      <c r="G2615" s="24"/>
    </row>
    <row r="2616" spans="1:7" x14ac:dyDescent="0.25">
      <c r="A2616" s="24" t="s">
        <v>321</v>
      </c>
      <c r="B2616" s="24" t="s">
        <v>29</v>
      </c>
      <c r="C2616" s="24" t="s">
        <v>5</v>
      </c>
      <c r="D2616" s="24">
        <v>0</v>
      </c>
      <c r="E2616" s="24" t="s">
        <v>940</v>
      </c>
      <c r="F2616" s="24"/>
      <c r="G2616" s="24"/>
    </row>
    <row r="2617" spans="1:7" x14ac:dyDescent="0.25">
      <c r="A2617" s="24" t="s">
        <v>321</v>
      </c>
      <c r="B2617" s="24" t="s">
        <v>58</v>
      </c>
      <c r="C2617" s="24" t="s">
        <v>5</v>
      </c>
      <c r="D2617" s="24">
        <v>0</v>
      </c>
      <c r="E2617" s="24" t="s">
        <v>795</v>
      </c>
      <c r="F2617" s="24"/>
      <c r="G2617" s="24"/>
    </row>
    <row r="2618" spans="1:7" x14ac:dyDescent="0.25">
      <c r="A2618" s="24" t="s">
        <v>322</v>
      </c>
      <c r="B2618" s="24" t="s">
        <v>29</v>
      </c>
      <c r="C2618" s="24" t="s">
        <v>5</v>
      </c>
      <c r="D2618" s="24">
        <v>0</v>
      </c>
      <c r="E2618" s="24" t="s">
        <v>799</v>
      </c>
      <c r="F2618" s="24" t="s">
        <v>941</v>
      </c>
      <c r="G2618" s="24">
        <v>172430</v>
      </c>
    </row>
    <row r="2619" spans="1:7" x14ac:dyDescent="0.25">
      <c r="A2619" s="24" t="s">
        <v>322</v>
      </c>
      <c r="B2619" s="24" t="s">
        <v>58</v>
      </c>
      <c r="C2619" s="24" t="s">
        <v>5</v>
      </c>
      <c r="D2619" s="24">
        <v>0</v>
      </c>
      <c r="E2619" s="24" t="s">
        <v>795</v>
      </c>
      <c r="F2619" s="24"/>
      <c r="G2619" s="24"/>
    </row>
    <row r="2620" spans="1:7" x14ac:dyDescent="0.25">
      <c r="A2620" s="24" t="s">
        <v>323</v>
      </c>
      <c r="B2620" s="24" t="s">
        <v>58</v>
      </c>
      <c r="C2620" s="24" t="s">
        <v>5</v>
      </c>
      <c r="D2620" s="24">
        <v>0</v>
      </c>
      <c r="E2620" s="24" t="s">
        <v>795</v>
      </c>
      <c r="F2620" s="24"/>
      <c r="G2620" s="24"/>
    </row>
    <row r="2621" spans="1:7" x14ac:dyDescent="0.25">
      <c r="A2621" s="24" t="s">
        <v>324</v>
      </c>
      <c r="B2621" s="24" t="s">
        <v>29</v>
      </c>
      <c r="C2621" s="24" t="s">
        <v>5</v>
      </c>
      <c r="D2621" s="24">
        <v>0.03</v>
      </c>
      <c r="E2621" s="24" t="s">
        <v>799</v>
      </c>
      <c r="F2621" s="24" t="s">
        <v>942</v>
      </c>
      <c r="G2621" s="24">
        <v>174262</v>
      </c>
    </row>
    <row r="2622" spans="1:7" x14ac:dyDescent="0.25">
      <c r="A2622" s="24" t="s">
        <v>324</v>
      </c>
      <c r="B2622" s="24" t="s">
        <v>58</v>
      </c>
      <c r="C2622" s="24" t="s">
        <v>5</v>
      </c>
      <c r="D2622" s="24">
        <v>0</v>
      </c>
      <c r="E2622" s="24" t="s">
        <v>795</v>
      </c>
      <c r="F2622" s="24"/>
      <c r="G2622" s="24"/>
    </row>
    <row r="2623" spans="1:7" x14ac:dyDescent="0.25">
      <c r="A2623" s="24" t="s">
        <v>325</v>
      </c>
      <c r="B2623" s="24" t="s">
        <v>26</v>
      </c>
      <c r="C2623" s="24" t="s">
        <v>5</v>
      </c>
      <c r="D2623" s="24">
        <v>4.8899999999999997</v>
      </c>
      <c r="E2623" s="24" t="s">
        <v>799</v>
      </c>
      <c r="F2623" s="24" t="s">
        <v>943</v>
      </c>
      <c r="G2623" s="24">
        <v>170187</v>
      </c>
    </row>
    <row r="2624" spans="1:7" x14ac:dyDescent="0.25">
      <c r="A2624" s="24" t="s">
        <v>325</v>
      </c>
      <c r="B2624" s="24" t="s">
        <v>27</v>
      </c>
      <c r="C2624" s="24" t="s">
        <v>5</v>
      </c>
      <c r="D2624" s="24">
        <v>7.14</v>
      </c>
      <c r="E2624" s="24" t="s">
        <v>799</v>
      </c>
      <c r="F2624" s="24" t="s">
        <v>943</v>
      </c>
      <c r="G2624" s="24">
        <v>170187</v>
      </c>
    </row>
    <row r="2625" spans="1:7" x14ac:dyDescent="0.25">
      <c r="A2625" s="24" t="s">
        <v>325</v>
      </c>
      <c r="B2625" s="24" t="s">
        <v>28</v>
      </c>
      <c r="C2625" s="24" t="s">
        <v>5</v>
      </c>
      <c r="D2625" s="24">
        <v>37.69</v>
      </c>
      <c r="E2625" s="24" t="s">
        <v>799</v>
      </c>
      <c r="F2625" s="24" t="s">
        <v>943</v>
      </c>
      <c r="G2625" s="24">
        <v>170187</v>
      </c>
    </row>
    <row r="2626" spans="1:7" x14ac:dyDescent="0.25">
      <c r="A2626" s="24" t="s">
        <v>325</v>
      </c>
      <c r="B2626" s="24" t="s">
        <v>29</v>
      </c>
      <c r="C2626" s="24" t="s">
        <v>5</v>
      </c>
      <c r="D2626" s="24">
        <v>0</v>
      </c>
      <c r="E2626" s="24" t="s">
        <v>940</v>
      </c>
      <c r="F2626" s="24"/>
      <c r="G2626" s="24"/>
    </row>
    <row r="2627" spans="1:7" x14ac:dyDescent="0.25">
      <c r="A2627" s="24" t="s">
        <v>325</v>
      </c>
      <c r="B2627" s="24" t="s">
        <v>30</v>
      </c>
      <c r="C2627" s="24" t="s">
        <v>31</v>
      </c>
      <c r="D2627" s="24">
        <v>0</v>
      </c>
      <c r="E2627" s="24" t="s">
        <v>801</v>
      </c>
      <c r="F2627" s="24" t="s">
        <v>943</v>
      </c>
      <c r="G2627" s="24">
        <v>170187</v>
      </c>
    </row>
    <row r="2628" spans="1:7" x14ac:dyDescent="0.25">
      <c r="A2628" s="24" t="s">
        <v>325</v>
      </c>
      <c r="B2628" s="24" t="s">
        <v>32</v>
      </c>
      <c r="C2628" s="24" t="s">
        <v>33</v>
      </c>
      <c r="D2628" s="24">
        <v>1</v>
      </c>
      <c r="E2628" s="24" t="s">
        <v>796</v>
      </c>
      <c r="F2628" s="24" t="s">
        <v>943</v>
      </c>
      <c r="G2628" s="24">
        <v>170187</v>
      </c>
    </row>
    <row r="2629" spans="1:7" x14ac:dyDescent="0.25">
      <c r="A2629" s="24" t="s">
        <v>325</v>
      </c>
      <c r="B2629" s="24" t="s">
        <v>34</v>
      </c>
      <c r="C2629" s="24" t="s">
        <v>31</v>
      </c>
      <c r="D2629" s="24">
        <v>1.3</v>
      </c>
      <c r="E2629" s="24" t="s">
        <v>796</v>
      </c>
      <c r="F2629" s="24" t="s">
        <v>943</v>
      </c>
      <c r="G2629" s="24">
        <v>170187</v>
      </c>
    </row>
    <row r="2630" spans="1:7" x14ac:dyDescent="0.25">
      <c r="A2630" s="24" t="s">
        <v>325</v>
      </c>
      <c r="B2630" s="24" t="s">
        <v>35</v>
      </c>
      <c r="C2630" s="24" t="s">
        <v>36</v>
      </c>
      <c r="D2630" s="24">
        <v>0</v>
      </c>
      <c r="E2630" s="24" t="s">
        <v>796</v>
      </c>
      <c r="F2630" s="24" t="s">
        <v>943</v>
      </c>
      <c r="G2630" s="24">
        <v>170187</v>
      </c>
    </row>
    <row r="2631" spans="1:7" x14ac:dyDescent="0.25">
      <c r="A2631" s="24" t="s">
        <v>325</v>
      </c>
      <c r="B2631" s="24" t="s">
        <v>37</v>
      </c>
      <c r="C2631" s="24" t="s">
        <v>38</v>
      </c>
      <c r="D2631" s="24">
        <v>0.7</v>
      </c>
      <c r="E2631" s="24" t="s">
        <v>796</v>
      </c>
      <c r="F2631" s="24" t="s">
        <v>943</v>
      </c>
      <c r="G2631" s="24">
        <v>170187</v>
      </c>
    </row>
    <row r="2632" spans="1:7" x14ac:dyDescent="0.25">
      <c r="A2632" s="24" t="s">
        <v>325</v>
      </c>
      <c r="B2632" s="24" t="s">
        <v>39</v>
      </c>
      <c r="C2632" s="24" t="s">
        <v>36</v>
      </c>
      <c r="D2632" s="24">
        <v>2.7</v>
      </c>
      <c r="E2632" s="24" t="s">
        <v>796</v>
      </c>
      <c r="F2632" s="24" t="s">
        <v>943</v>
      </c>
      <c r="G2632" s="24">
        <v>170187</v>
      </c>
    </row>
    <row r="2633" spans="1:7" x14ac:dyDescent="0.25">
      <c r="A2633" s="24" t="s">
        <v>325</v>
      </c>
      <c r="B2633" s="24" t="s">
        <v>40</v>
      </c>
      <c r="C2633" s="24" t="s">
        <v>31</v>
      </c>
      <c r="D2633" s="24">
        <v>0.3</v>
      </c>
      <c r="E2633" s="24" t="s">
        <v>796</v>
      </c>
      <c r="F2633" s="24" t="s">
        <v>943</v>
      </c>
      <c r="G2633" s="24">
        <v>170187</v>
      </c>
    </row>
    <row r="2634" spans="1:7" x14ac:dyDescent="0.25">
      <c r="A2634" s="24" t="s">
        <v>325</v>
      </c>
      <c r="B2634" s="24" t="s">
        <v>41</v>
      </c>
      <c r="C2634" s="24" t="s">
        <v>31</v>
      </c>
      <c r="D2634" s="24">
        <v>0.2</v>
      </c>
      <c r="E2634" s="24" t="s">
        <v>796</v>
      </c>
      <c r="F2634" s="24" t="s">
        <v>943</v>
      </c>
      <c r="G2634" s="24">
        <v>170187</v>
      </c>
    </row>
    <row r="2635" spans="1:7" x14ac:dyDescent="0.25">
      <c r="A2635" s="24" t="s">
        <v>325</v>
      </c>
      <c r="B2635" s="24" t="s">
        <v>42</v>
      </c>
      <c r="C2635" s="24" t="s">
        <v>43</v>
      </c>
      <c r="D2635" s="24">
        <v>1.1000000000000001</v>
      </c>
      <c r="E2635" s="24" t="s">
        <v>796</v>
      </c>
      <c r="F2635" s="24" t="s">
        <v>943</v>
      </c>
      <c r="G2635" s="24">
        <v>170187</v>
      </c>
    </row>
    <row r="2636" spans="1:7" x14ac:dyDescent="0.25">
      <c r="A2636" s="24" t="s">
        <v>325</v>
      </c>
      <c r="B2636" s="24" t="s">
        <v>44</v>
      </c>
      <c r="C2636" s="24" t="s">
        <v>31</v>
      </c>
      <c r="D2636" s="24">
        <v>0.5</v>
      </c>
      <c r="E2636" s="24" t="s">
        <v>796</v>
      </c>
      <c r="F2636" s="24" t="s">
        <v>943</v>
      </c>
      <c r="G2636" s="24">
        <v>170187</v>
      </c>
    </row>
    <row r="2637" spans="1:7" x14ac:dyDescent="0.25">
      <c r="A2637" s="24" t="s">
        <v>325</v>
      </c>
      <c r="B2637" s="24" t="s">
        <v>45</v>
      </c>
      <c r="C2637" s="24" t="s">
        <v>31</v>
      </c>
      <c r="D2637" s="24">
        <v>0.6</v>
      </c>
      <c r="E2637" s="24" t="s">
        <v>796</v>
      </c>
      <c r="F2637" s="24" t="s">
        <v>943</v>
      </c>
      <c r="G2637" s="24">
        <v>170187</v>
      </c>
    </row>
    <row r="2638" spans="1:7" x14ac:dyDescent="0.25">
      <c r="A2638" s="24" t="s">
        <v>325</v>
      </c>
      <c r="B2638" s="24" t="s">
        <v>46</v>
      </c>
      <c r="C2638" s="24" t="s">
        <v>36</v>
      </c>
      <c r="D2638" s="24">
        <v>0</v>
      </c>
      <c r="E2638" s="24" t="s">
        <v>796</v>
      </c>
      <c r="F2638" s="24" t="s">
        <v>943</v>
      </c>
      <c r="G2638" s="24">
        <v>170187</v>
      </c>
    </row>
    <row r="2639" spans="1:7" x14ac:dyDescent="0.25">
      <c r="A2639" s="24" t="s">
        <v>325</v>
      </c>
      <c r="B2639" s="24" t="s">
        <v>47</v>
      </c>
      <c r="C2639" s="24" t="s">
        <v>48</v>
      </c>
      <c r="D2639" s="24">
        <v>98.7</v>
      </c>
      <c r="E2639" s="24" t="s">
        <v>796</v>
      </c>
      <c r="F2639" s="24" t="s">
        <v>943</v>
      </c>
      <c r="G2639" s="24">
        <v>170187</v>
      </c>
    </row>
    <row r="2640" spans="1:7" x14ac:dyDescent="0.25">
      <c r="A2640" s="24" t="s">
        <v>325</v>
      </c>
      <c r="B2640" s="24" t="s">
        <v>50</v>
      </c>
      <c r="C2640" s="24" t="s">
        <v>31</v>
      </c>
      <c r="D2640" s="24">
        <v>444.1</v>
      </c>
      <c r="E2640" s="24" t="s">
        <v>796</v>
      </c>
      <c r="F2640" s="24" t="s">
        <v>943</v>
      </c>
      <c r="G2640" s="24">
        <v>170187</v>
      </c>
    </row>
    <row r="2641" spans="1:7" x14ac:dyDescent="0.25">
      <c r="A2641" s="24" t="s">
        <v>325</v>
      </c>
      <c r="B2641" s="24" t="s">
        <v>51</v>
      </c>
      <c r="C2641" s="24" t="s">
        <v>31</v>
      </c>
      <c r="D2641" s="24">
        <v>98.7</v>
      </c>
      <c r="E2641" s="24" t="s">
        <v>796</v>
      </c>
      <c r="F2641" s="24" t="s">
        <v>943</v>
      </c>
      <c r="G2641" s="24">
        <v>170187</v>
      </c>
    </row>
    <row r="2642" spans="1:7" x14ac:dyDescent="0.25">
      <c r="A2642" s="24" t="s">
        <v>325</v>
      </c>
      <c r="B2642" s="24" t="s">
        <v>52</v>
      </c>
      <c r="C2642" s="24" t="s">
        <v>31</v>
      </c>
      <c r="D2642" s="24">
        <v>348.4</v>
      </c>
      <c r="E2642" s="24" t="s">
        <v>796</v>
      </c>
      <c r="F2642" s="24" t="s">
        <v>943</v>
      </c>
      <c r="G2642" s="24">
        <v>170187</v>
      </c>
    </row>
    <row r="2643" spans="1:7" x14ac:dyDescent="0.25">
      <c r="A2643" s="24" t="s">
        <v>325</v>
      </c>
      <c r="B2643" s="24" t="s">
        <v>53</v>
      </c>
      <c r="C2643" s="24" t="s">
        <v>31</v>
      </c>
      <c r="D2643" s="24">
        <v>159.1</v>
      </c>
      <c r="E2643" s="24" t="s">
        <v>796</v>
      </c>
      <c r="F2643" s="24" t="s">
        <v>943</v>
      </c>
      <c r="G2643" s="24">
        <v>170187</v>
      </c>
    </row>
    <row r="2644" spans="1:7" x14ac:dyDescent="0.25">
      <c r="A2644" s="24" t="s">
        <v>325</v>
      </c>
      <c r="B2644" s="24" t="s">
        <v>54</v>
      </c>
      <c r="C2644" s="24" t="s">
        <v>31</v>
      </c>
      <c r="D2644" s="24">
        <v>2.9</v>
      </c>
      <c r="E2644" s="24" t="s">
        <v>796</v>
      </c>
      <c r="F2644" s="24" t="s">
        <v>943</v>
      </c>
      <c r="G2644" s="24">
        <v>170187</v>
      </c>
    </row>
    <row r="2645" spans="1:7" x14ac:dyDescent="0.25">
      <c r="A2645" s="24" t="s">
        <v>325</v>
      </c>
      <c r="B2645" s="24" t="s">
        <v>55</v>
      </c>
      <c r="C2645" s="24" t="s">
        <v>31</v>
      </c>
      <c r="D2645" s="24">
        <v>3.1</v>
      </c>
      <c r="E2645" s="24" t="s">
        <v>796</v>
      </c>
      <c r="F2645" s="24" t="s">
        <v>943</v>
      </c>
      <c r="G2645" s="24">
        <v>170187</v>
      </c>
    </row>
    <row r="2646" spans="1:7" x14ac:dyDescent="0.25">
      <c r="A2646" s="24" t="s">
        <v>325</v>
      </c>
      <c r="B2646" s="24" t="s">
        <v>56</v>
      </c>
      <c r="C2646" s="24" t="s">
        <v>31</v>
      </c>
      <c r="D2646" s="24">
        <v>1.6</v>
      </c>
      <c r="E2646" s="24" t="s">
        <v>796</v>
      </c>
      <c r="F2646" s="24" t="s">
        <v>943</v>
      </c>
      <c r="G2646" s="24">
        <v>170187</v>
      </c>
    </row>
    <row r="2647" spans="1:7" x14ac:dyDescent="0.25">
      <c r="A2647" s="24" t="s">
        <v>325</v>
      </c>
      <c r="B2647" s="24" t="s">
        <v>57</v>
      </c>
      <c r="C2647" s="24" t="s">
        <v>36</v>
      </c>
      <c r="D2647" s="24">
        <v>4.9000000000000004</v>
      </c>
      <c r="E2647" s="24" t="s">
        <v>796</v>
      </c>
      <c r="F2647" s="24" t="s">
        <v>943</v>
      </c>
      <c r="G2647" s="24">
        <v>170187</v>
      </c>
    </row>
    <row r="2648" spans="1:7" x14ac:dyDescent="0.25">
      <c r="A2648" s="24" t="s">
        <v>325</v>
      </c>
      <c r="B2648" s="24" t="s">
        <v>58</v>
      </c>
      <c r="C2648" s="24" t="s">
        <v>5</v>
      </c>
      <c r="D2648" s="24">
        <v>0</v>
      </c>
      <c r="E2648" s="24" t="s">
        <v>795</v>
      </c>
      <c r="F2648" s="24"/>
      <c r="G2648" s="24"/>
    </row>
    <row r="2649" spans="1:7" x14ac:dyDescent="0.25">
      <c r="A2649" s="24" t="s">
        <v>326</v>
      </c>
      <c r="B2649" s="24" t="s">
        <v>20</v>
      </c>
      <c r="C2649" s="24" t="s">
        <v>5</v>
      </c>
      <c r="D2649" s="24">
        <v>1.5</v>
      </c>
      <c r="E2649" s="24" t="s">
        <v>809</v>
      </c>
      <c r="F2649" s="24"/>
      <c r="G2649" s="24"/>
    </row>
    <row r="2650" spans="1:7" x14ac:dyDescent="0.25">
      <c r="A2650" s="24" t="s">
        <v>326</v>
      </c>
      <c r="B2650" s="24" t="s">
        <v>23</v>
      </c>
      <c r="C2650" s="24" t="s">
        <v>5</v>
      </c>
      <c r="D2650" s="24">
        <v>2.6</v>
      </c>
      <c r="E2650" s="24" t="s">
        <v>796</v>
      </c>
      <c r="F2650" s="24" t="s">
        <v>943</v>
      </c>
      <c r="G2650" s="24">
        <v>170187</v>
      </c>
    </row>
    <row r="2651" spans="1:7" x14ac:dyDescent="0.25">
      <c r="A2651" s="24" t="s">
        <v>326</v>
      </c>
      <c r="B2651" s="24" t="s">
        <v>29</v>
      </c>
      <c r="C2651" s="24" t="s">
        <v>5</v>
      </c>
      <c r="D2651" s="24">
        <v>0</v>
      </c>
      <c r="E2651" s="24" t="s">
        <v>940</v>
      </c>
      <c r="F2651" s="24"/>
      <c r="G2651" s="24"/>
    </row>
    <row r="2652" spans="1:7" x14ac:dyDescent="0.25">
      <c r="A2652" s="24" t="s">
        <v>326</v>
      </c>
      <c r="B2652" s="24" t="s">
        <v>35</v>
      </c>
      <c r="C2652" s="24" t="s">
        <v>36</v>
      </c>
      <c r="D2652" s="24">
        <v>0</v>
      </c>
      <c r="E2652" s="24" t="s">
        <v>796</v>
      </c>
      <c r="F2652" s="24" t="s">
        <v>943</v>
      </c>
      <c r="G2652" s="24">
        <v>170187</v>
      </c>
    </row>
    <row r="2653" spans="1:7" x14ac:dyDescent="0.25">
      <c r="A2653" s="24" t="s">
        <v>326</v>
      </c>
      <c r="B2653" s="24" t="s">
        <v>39</v>
      </c>
      <c r="C2653" s="24" t="s">
        <v>36</v>
      </c>
      <c r="D2653" s="24">
        <v>2.7</v>
      </c>
      <c r="E2653" s="24" t="s">
        <v>796</v>
      </c>
      <c r="F2653" s="24" t="s">
        <v>943</v>
      </c>
      <c r="G2653" s="24">
        <v>170187</v>
      </c>
    </row>
    <row r="2654" spans="1:7" x14ac:dyDescent="0.25">
      <c r="A2654" s="24" t="s">
        <v>326</v>
      </c>
      <c r="B2654" s="24" t="s">
        <v>58</v>
      </c>
      <c r="C2654" s="24" t="s">
        <v>5</v>
      </c>
      <c r="D2654" s="24">
        <v>0</v>
      </c>
      <c r="E2654" s="24" t="s">
        <v>795</v>
      </c>
      <c r="F2654" s="24"/>
      <c r="G2654" s="24"/>
    </row>
    <row r="2655" spans="1:7" x14ac:dyDescent="0.25">
      <c r="A2655" s="24" t="s">
        <v>327</v>
      </c>
      <c r="B2655" s="24" t="s">
        <v>29</v>
      </c>
      <c r="C2655" s="24" t="s">
        <v>5</v>
      </c>
      <c r="D2655" s="24">
        <v>0</v>
      </c>
      <c r="E2655" s="24" t="s">
        <v>799</v>
      </c>
      <c r="F2655" s="24" t="s">
        <v>944</v>
      </c>
      <c r="G2655" s="24">
        <v>170184</v>
      </c>
    </row>
    <row r="2656" spans="1:7" x14ac:dyDescent="0.25">
      <c r="A2656" s="24" t="s">
        <v>327</v>
      </c>
      <c r="B2656" s="24" t="s">
        <v>58</v>
      </c>
      <c r="C2656" s="24" t="s">
        <v>5</v>
      </c>
      <c r="D2656" s="24">
        <v>0</v>
      </c>
      <c r="E2656" s="24" t="s">
        <v>795</v>
      </c>
      <c r="F2656" s="24"/>
      <c r="G2656" s="24"/>
    </row>
    <row r="2657" spans="1:7" x14ac:dyDescent="0.25">
      <c r="A2657" s="24" t="s">
        <v>328</v>
      </c>
      <c r="B2657" s="24" t="s">
        <v>29</v>
      </c>
      <c r="C2657" s="24" t="s">
        <v>5</v>
      </c>
      <c r="D2657" s="24">
        <v>0</v>
      </c>
      <c r="E2657" s="24" t="s">
        <v>940</v>
      </c>
      <c r="F2657" s="24"/>
      <c r="G2657" s="24"/>
    </row>
    <row r="2658" spans="1:7" x14ac:dyDescent="0.25">
      <c r="A2658" s="24" t="s">
        <v>328</v>
      </c>
      <c r="B2658" s="24" t="s">
        <v>58</v>
      </c>
      <c r="C2658" s="24" t="s">
        <v>5</v>
      </c>
      <c r="D2658" s="24">
        <v>0</v>
      </c>
      <c r="E2658" s="24" t="s">
        <v>795</v>
      </c>
      <c r="F2658" s="24"/>
      <c r="G2658" s="24"/>
    </row>
    <row r="2659" spans="1:7" x14ac:dyDescent="0.25">
      <c r="A2659" s="24" t="s">
        <v>329</v>
      </c>
      <c r="B2659" s="24" t="s">
        <v>22</v>
      </c>
      <c r="C2659" s="24" t="s">
        <v>5</v>
      </c>
      <c r="D2659" s="24">
        <v>9.6</v>
      </c>
      <c r="E2659" s="24" t="s">
        <v>796</v>
      </c>
      <c r="F2659" s="24" t="s">
        <v>945</v>
      </c>
      <c r="G2659" s="24">
        <v>170592</v>
      </c>
    </row>
    <row r="2660" spans="1:7" x14ac:dyDescent="0.25">
      <c r="A2660" s="24" t="s">
        <v>329</v>
      </c>
      <c r="B2660" s="24" t="s">
        <v>24</v>
      </c>
      <c r="C2660" s="24" t="s">
        <v>5</v>
      </c>
      <c r="D2660" s="24">
        <v>5.3</v>
      </c>
      <c r="E2660" s="24" t="s">
        <v>796</v>
      </c>
      <c r="F2660" s="24" t="s">
        <v>945</v>
      </c>
      <c r="G2660" s="24">
        <v>170592</v>
      </c>
    </row>
    <row r="2661" spans="1:7" x14ac:dyDescent="0.25">
      <c r="A2661" s="24" t="s">
        <v>329</v>
      </c>
      <c r="B2661" s="24" t="s">
        <v>26</v>
      </c>
      <c r="C2661" s="24" t="s">
        <v>5</v>
      </c>
      <c r="D2661" s="24">
        <v>0.17</v>
      </c>
      <c r="E2661" s="24" t="s">
        <v>799</v>
      </c>
      <c r="F2661" s="24" t="s">
        <v>945</v>
      </c>
      <c r="G2661" s="24">
        <v>170592</v>
      </c>
    </row>
    <row r="2662" spans="1:7" x14ac:dyDescent="0.25">
      <c r="A2662" s="24" t="s">
        <v>329</v>
      </c>
      <c r="B2662" s="24" t="s">
        <v>27</v>
      </c>
      <c r="C2662" s="24" t="s">
        <v>5</v>
      </c>
      <c r="D2662" s="24">
        <v>0.41</v>
      </c>
      <c r="E2662" s="24" t="s">
        <v>799</v>
      </c>
      <c r="F2662" s="24" t="s">
        <v>945</v>
      </c>
      <c r="G2662" s="24">
        <v>170592</v>
      </c>
    </row>
    <row r="2663" spans="1:7" x14ac:dyDescent="0.25">
      <c r="A2663" s="24" t="s">
        <v>329</v>
      </c>
      <c r="B2663" s="24" t="s">
        <v>28</v>
      </c>
      <c r="C2663" s="24" t="s">
        <v>5</v>
      </c>
      <c r="D2663" s="24">
        <v>0.46</v>
      </c>
      <c r="E2663" s="24" t="s">
        <v>799</v>
      </c>
      <c r="F2663" s="24" t="s">
        <v>945</v>
      </c>
      <c r="G2663" s="24">
        <v>170592</v>
      </c>
    </row>
    <row r="2664" spans="1:7" x14ac:dyDescent="0.25">
      <c r="A2664" s="24" t="s">
        <v>329</v>
      </c>
      <c r="B2664" s="24" t="s">
        <v>29</v>
      </c>
      <c r="C2664" s="24" t="s">
        <v>5</v>
      </c>
      <c r="D2664" s="24">
        <v>0</v>
      </c>
      <c r="E2664" s="24" t="s">
        <v>940</v>
      </c>
      <c r="F2664" s="24"/>
      <c r="G2664" s="24"/>
    </row>
    <row r="2665" spans="1:7" x14ac:dyDescent="0.25">
      <c r="A2665" s="24" t="s">
        <v>329</v>
      </c>
      <c r="B2665" s="24" t="s">
        <v>30</v>
      </c>
      <c r="C2665" s="24" t="s">
        <v>31</v>
      </c>
      <c r="D2665" s="24">
        <v>0</v>
      </c>
      <c r="E2665" s="24" t="s">
        <v>801</v>
      </c>
      <c r="F2665" s="24" t="s">
        <v>945</v>
      </c>
      <c r="G2665" s="24">
        <v>170592</v>
      </c>
    </row>
    <row r="2666" spans="1:7" x14ac:dyDescent="0.25">
      <c r="A2666" s="24" t="s">
        <v>329</v>
      </c>
      <c r="B2666" s="24" t="s">
        <v>32</v>
      </c>
      <c r="C2666" s="24" t="s">
        <v>33</v>
      </c>
      <c r="D2666" s="24">
        <v>0.5</v>
      </c>
      <c r="E2666" s="24" t="s">
        <v>796</v>
      </c>
      <c r="F2666" s="24" t="s">
        <v>945</v>
      </c>
      <c r="G2666" s="24">
        <v>170592</v>
      </c>
    </row>
    <row r="2667" spans="1:7" x14ac:dyDescent="0.25">
      <c r="A2667" s="24" t="s">
        <v>329</v>
      </c>
      <c r="B2667" s="24" t="s">
        <v>34</v>
      </c>
      <c r="C2667" s="24" t="s">
        <v>31</v>
      </c>
      <c r="D2667" s="24">
        <v>1</v>
      </c>
      <c r="E2667" s="24" t="s">
        <v>796</v>
      </c>
      <c r="F2667" s="24" t="s">
        <v>945</v>
      </c>
      <c r="G2667" s="24">
        <v>170592</v>
      </c>
    </row>
    <row r="2668" spans="1:7" x14ac:dyDescent="0.25">
      <c r="A2668" s="24" t="s">
        <v>329</v>
      </c>
      <c r="B2668" s="24" t="s">
        <v>35</v>
      </c>
      <c r="C2668" s="24" t="s">
        <v>36</v>
      </c>
      <c r="D2668" s="24">
        <v>0</v>
      </c>
      <c r="E2668" s="24" t="s">
        <v>796</v>
      </c>
      <c r="F2668" s="24" t="s">
        <v>945</v>
      </c>
      <c r="G2668" s="24">
        <v>170592</v>
      </c>
    </row>
    <row r="2669" spans="1:7" x14ac:dyDescent="0.25">
      <c r="A2669" s="24" t="s">
        <v>329</v>
      </c>
      <c r="B2669" s="24" t="s">
        <v>42</v>
      </c>
      <c r="C2669" s="24" t="s">
        <v>43</v>
      </c>
      <c r="D2669" s="24">
        <v>2.2000000000000002</v>
      </c>
      <c r="E2669" s="24" t="s">
        <v>796</v>
      </c>
      <c r="F2669" s="24" t="s">
        <v>945</v>
      </c>
      <c r="G2669" s="24">
        <v>170592</v>
      </c>
    </row>
    <row r="2670" spans="1:7" x14ac:dyDescent="0.25">
      <c r="A2670" s="24" t="s">
        <v>329</v>
      </c>
      <c r="B2670" s="24" t="s">
        <v>44</v>
      </c>
      <c r="C2670" s="24" t="s">
        <v>31</v>
      </c>
      <c r="D2670" s="24">
        <v>0.1</v>
      </c>
      <c r="E2670" s="24" t="s">
        <v>796</v>
      </c>
      <c r="F2670" s="24" t="s">
        <v>945</v>
      </c>
      <c r="G2670" s="24">
        <v>170592</v>
      </c>
    </row>
    <row r="2671" spans="1:7" x14ac:dyDescent="0.25">
      <c r="A2671" s="24" t="s">
        <v>329</v>
      </c>
      <c r="B2671" s="24" t="s">
        <v>45</v>
      </c>
      <c r="C2671" s="24" t="s">
        <v>31</v>
      </c>
      <c r="D2671" s="24">
        <v>0.1</v>
      </c>
      <c r="E2671" s="24" t="s">
        <v>796</v>
      </c>
      <c r="F2671" s="24" t="s">
        <v>945</v>
      </c>
      <c r="G2671" s="24">
        <v>170592</v>
      </c>
    </row>
    <row r="2672" spans="1:7" x14ac:dyDescent="0.25">
      <c r="A2672" s="24" t="s">
        <v>329</v>
      </c>
      <c r="B2672" s="24" t="s">
        <v>46</v>
      </c>
      <c r="C2672" s="24" t="s">
        <v>36</v>
      </c>
      <c r="D2672" s="24">
        <v>0</v>
      </c>
      <c r="E2672" s="24" t="s">
        <v>796</v>
      </c>
      <c r="F2672" s="24" t="s">
        <v>945</v>
      </c>
      <c r="G2672" s="24">
        <v>170592</v>
      </c>
    </row>
    <row r="2673" spans="1:7" x14ac:dyDescent="0.25">
      <c r="A2673" s="24" t="s">
        <v>329</v>
      </c>
      <c r="B2673" s="24" t="s">
        <v>47</v>
      </c>
      <c r="C2673" s="24" t="s">
        <v>48</v>
      </c>
      <c r="D2673" s="24">
        <v>28.9</v>
      </c>
      <c r="E2673" s="24" t="s">
        <v>796</v>
      </c>
      <c r="F2673" s="24" t="s">
        <v>945</v>
      </c>
      <c r="G2673" s="24">
        <v>170592</v>
      </c>
    </row>
    <row r="2674" spans="1:7" x14ac:dyDescent="0.25">
      <c r="A2674" s="24" t="s">
        <v>329</v>
      </c>
      <c r="B2674" s="24" t="s">
        <v>49</v>
      </c>
      <c r="C2674" s="24" t="s">
        <v>31</v>
      </c>
      <c r="D2674" s="24">
        <v>35.9</v>
      </c>
      <c r="E2674" s="24" t="s">
        <v>796</v>
      </c>
      <c r="F2674" s="24" t="s">
        <v>945</v>
      </c>
      <c r="G2674" s="24">
        <v>170592</v>
      </c>
    </row>
    <row r="2675" spans="1:7" x14ac:dyDescent="0.25">
      <c r="A2675" s="24" t="s">
        <v>329</v>
      </c>
      <c r="B2675" s="24" t="s">
        <v>53</v>
      </c>
      <c r="C2675" s="24" t="s">
        <v>31</v>
      </c>
      <c r="D2675" s="24">
        <v>116.6</v>
      </c>
      <c r="E2675" s="24" t="s">
        <v>796</v>
      </c>
      <c r="F2675" s="24" t="s">
        <v>945</v>
      </c>
      <c r="G2675" s="24">
        <v>170592</v>
      </c>
    </row>
    <row r="2676" spans="1:7" x14ac:dyDescent="0.25">
      <c r="A2676" s="24" t="s">
        <v>329</v>
      </c>
      <c r="B2676" s="24" t="s">
        <v>54</v>
      </c>
      <c r="C2676" s="24" t="s">
        <v>31</v>
      </c>
      <c r="D2676" s="24">
        <v>1.5</v>
      </c>
      <c r="E2676" s="24" t="s">
        <v>796</v>
      </c>
      <c r="F2676" s="24" t="s">
        <v>945</v>
      </c>
      <c r="G2676" s="24">
        <v>170592</v>
      </c>
    </row>
    <row r="2677" spans="1:7" x14ac:dyDescent="0.25">
      <c r="A2677" s="24" t="s">
        <v>329</v>
      </c>
      <c r="B2677" s="24" t="s">
        <v>55</v>
      </c>
      <c r="C2677" s="24" t="s">
        <v>31</v>
      </c>
      <c r="D2677" s="24">
        <v>2.1</v>
      </c>
      <c r="E2677" s="24" t="s">
        <v>796</v>
      </c>
      <c r="F2677" s="24" t="s">
        <v>945</v>
      </c>
      <c r="G2677" s="24">
        <v>170592</v>
      </c>
    </row>
    <row r="2678" spans="1:7" x14ac:dyDescent="0.25">
      <c r="A2678" s="24" t="s">
        <v>329</v>
      </c>
      <c r="B2678" s="24" t="s">
        <v>56</v>
      </c>
      <c r="C2678" s="24" t="s">
        <v>31</v>
      </c>
      <c r="D2678" s="24">
        <v>0.5</v>
      </c>
      <c r="E2678" s="24" t="s">
        <v>796</v>
      </c>
      <c r="F2678" s="24" t="s">
        <v>945</v>
      </c>
      <c r="G2678" s="24">
        <v>170592</v>
      </c>
    </row>
    <row r="2679" spans="1:7" x14ac:dyDescent="0.25">
      <c r="A2679" s="24" t="s">
        <v>329</v>
      </c>
      <c r="B2679" s="24" t="s">
        <v>58</v>
      </c>
      <c r="C2679" s="24" t="s">
        <v>5</v>
      </c>
      <c r="D2679" s="24">
        <v>0</v>
      </c>
      <c r="E2679" s="24" t="s">
        <v>795</v>
      </c>
      <c r="F2679" s="24"/>
      <c r="G2679" s="24"/>
    </row>
    <row r="2680" spans="1:7" x14ac:dyDescent="0.25">
      <c r="A2680" s="24" t="s">
        <v>330</v>
      </c>
      <c r="B2680" s="24" t="s">
        <v>29</v>
      </c>
      <c r="C2680" s="24" t="s">
        <v>5</v>
      </c>
      <c r="D2680" s="24">
        <v>0</v>
      </c>
      <c r="E2680" s="24" t="s">
        <v>940</v>
      </c>
      <c r="F2680" s="24"/>
      <c r="G2680" s="24"/>
    </row>
    <row r="2681" spans="1:7" x14ac:dyDescent="0.25">
      <c r="A2681" s="24" t="s">
        <v>330</v>
      </c>
      <c r="B2681" s="24" t="s">
        <v>58</v>
      </c>
      <c r="C2681" s="24" t="s">
        <v>5</v>
      </c>
      <c r="D2681" s="24">
        <v>0</v>
      </c>
      <c r="E2681" s="24" t="s">
        <v>795</v>
      </c>
      <c r="F2681" s="24"/>
      <c r="G2681" s="24"/>
    </row>
    <row r="2682" spans="1:7" x14ac:dyDescent="0.25">
      <c r="A2682" s="24" t="s">
        <v>331</v>
      </c>
      <c r="B2682" s="24" t="s">
        <v>29</v>
      </c>
      <c r="C2682" s="24" t="s">
        <v>5</v>
      </c>
      <c r="D2682" s="24">
        <v>0.14000000000000001</v>
      </c>
      <c r="E2682" s="24" t="s">
        <v>799</v>
      </c>
      <c r="F2682" s="24" t="s">
        <v>946</v>
      </c>
      <c r="G2682" s="24">
        <v>170554</v>
      </c>
    </row>
    <row r="2683" spans="1:7" x14ac:dyDescent="0.25">
      <c r="A2683" s="24" t="s">
        <v>331</v>
      </c>
      <c r="B2683" s="24" t="s">
        <v>58</v>
      </c>
      <c r="C2683" s="24" t="s">
        <v>5</v>
      </c>
      <c r="D2683" s="24">
        <v>0</v>
      </c>
      <c r="E2683" s="24" t="s">
        <v>795</v>
      </c>
      <c r="F2683" s="24"/>
      <c r="G2683" s="24"/>
    </row>
    <row r="2684" spans="1:7" x14ac:dyDescent="0.25">
      <c r="A2684" s="24" t="s">
        <v>332</v>
      </c>
      <c r="B2684" s="24" t="s">
        <v>29</v>
      </c>
      <c r="C2684" s="24" t="s">
        <v>5</v>
      </c>
      <c r="D2684" s="24">
        <v>0</v>
      </c>
      <c r="E2684" s="24" t="s">
        <v>799</v>
      </c>
      <c r="F2684" s="24" t="s">
        <v>947</v>
      </c>
      <c r="G2684" s="24">
        <v>171330</v>
      </c>
    </row>
    <row r="2685" spans="1:7" x14ac:dyDescent="0.25">
      <c r="A2685" s="24" t="s">
        <v>332</v>
      </c>
      <c r="B2685" s="24" t="s">
        <v>58</v>
      </c>
      <c r="C2685" s="24" t="s">
        <v>5</v>
      </c>
      <c r="D2685" s="24">
        <v>0</v>
      </c>
      <c r="E2685" s="24" t="s">
        <v>795</v>
      </c>
      <c r="F2685" s="24"/>
      <c r="G2685" s="24"/>
    </row>
    <row r="2686" spans="1:7" x14ac:dyDescent="0.25">
      <c r="A2686" s="24" t="s">
        <v>333</v>
      </c>
      <c r="B2686" s="24" t="s">
        <v>29</v>
      </c>
      <c r="C2686" s="24" t="s">
        <v>5</v>
      </c>
      <c r="D2686" s="24">
        <v>0</v>
      </c>
      <c r="E2686" s="24" t="s">
        <v>940</v>
      </c>
      <c r="F2686" s="24"/>
      <c r="G2686" s="24"/>
    </row>
    <row r="2687" spans="1:7" x14ac:dyDescent="0.25">
      <c r="A2687" s="24" t="s">
        <v>333</v>
      </c>
      <c r="B2687" s="24" t="s">
        <v>58</v>
      </c>
      <c r="C2687" s="24" t="s">
        <v>5</v>
      </c>
      <c r="D2687" s="24">
        <v>0</v>
      </c>
      <c r="E2687" s="24" t="s">
        <v>795</v>
      </c>
      <c r="F2687" s="24"/>
      <c r="G2687" s="24"/>
    </row>
    <row r="2688" spans="1:7" x14ac:dyDescent="0.25">
      <c r="A2688" s="24" t="s">
        <v>334</v>
      </c>
      <c r="B2688" s="24" t="s">
        <v>23</v>
      </c>
      <c r="C2688" s="24" t="s">
        <v>5</v>
      </c>
      <c r="D2688" s="24">
        <v>2.7</v>
      </c>
      <c r="E2688" s="24" t="s">
        <v>796</v>
      </c>
      <c r="F2688" s="24" t="s">
        <v>948</v>
      </c>
      <c r="G2688" s="24">
        <v>170563</v>
      </c>
    </row>
    <row r="2689" spans="1:7" x14ac:dyDescent="0.25">
      <c r="A2689" s="24" t="s">
        <v>334</v>
      </c>
      <c r="B2689" s="24" t="s">
        <v>29</v>
      </c>
      <c r="C2689" s="24" t="s">
        <v>5</v>
      </c>
      <c r="D2689" s="24">
        <v>0</v>
      </c>
      <c r="E2689" s="24" t="s">
        <v>940</v>
      </c>
      <c r="F2689" s="24"/>
      <c r="G2689" s="24"/>
    </row>
    <row r="2690" spans="1:7" x14ac:dyDescent="0.25">
      <c r="A2690" s="24" t="s">
        <v>334</v>
      </c>
      <c r="B2690" s="24" t="s">
        <v>37</v>
      </c>
      <c r="C2690" s="24" t="s">
        <v>38</v>
      </c>
      <c r="D2690" s="24">
        <v>26.2</v>
      </c>
      <c r="E2690" s="24" t="s">
        <v>796</v>
      </c>
      <c r="F2690" s="24" t="s">
        <v>948</v>
      </c>
      <c r="G2690" s="24">
        <v>170563</v>
      </c>
    </row>
    <row r="2691" spans="1:7" x14ac:dyDescent="0.25">
      <c r="A2691" s="24" t="s">
        <v>334</v>
      </c>
      <c r="B2691" s="24" t="s">
        <v>39</v>
      </c>
      <c r="C2691" s="24" t="s">
        <v>36</v>
      </c>
      <c r="D2691" s="24">
        <v>2.7</v>
      </c>
      <c r="E2691" s="24" t="s">
        <v>796</v>
      </c>
      <c r="F2691" s="24" t="s">
        <v>948</v>
      </c>
      <c r="G2691" s="24">
        <v>170563</v>
      </c>
    </row>
    <row r="2692" spans="1:7" x14ac:dyDescent="0.25">
      <c r="A2692" s="24" t="s">
        <v>334</v>
      </c>
      <c r="B2692" s="24" t="s">
        <v>57</v>
      </c>
      <c r="C2692" s="24" t="s">
        <v>36</v>
      </c>
      <c r="D2692" s="24">
        <v>79.5</v>
      </c>
      <c r="E2692" s="24" t="s">
        <v>796</v>
      </c>
      <c r="F2692" s="24" t="s">
        <v>948</v>
      </c>
      <c r="G2692" s="24">
        <v>170563</v>
      </c>
    </row>
    <row r="2693" spans="1:7" x14ac:dyDescent="0.25">
      <c r="A2693" s="24" t="s">
        <v>334</v>
      </c>
      <c r="B2693" s="24" t="s">
        <v>58</v>
      </c>
      <c r="C2693" s="24" t="s">
        <v>5</v>
      </c>
      <c r="D2693" s="24">
        <v>0</v>
      </c>
      <c r="E2693" s="24" t="s">
        <v>795</v>
      </c>
      <c r="F2693" s="24"/>
      <c r="G2693" s="24"/>
    </row>
    <row r="2694" spans="1:7" x14ac:dyDescent="0.25">
      <c r="A2694" s="24" t="s">
        <v>335</v>
      </c>
      <c r="B2694" s="24" t="s">
        <v>29</v>
      </c>
      <c r="C2694" s="24" t="s">
        <v>5</v>
      </c>
      <c r="D2694" s="24">
        <v>0.06</v>
      </c>
      <c r="E2694" s="24" t="s">
        <v>799</v>
      </c>
      <c r="F2694" s="24" t="s">
        <v>949</v>
      </c>
      <c r="G2694" s="24">
        <v>170556</v>
      </c>
    </row>
    <row r="2695" spans="1:7" x14ac:dyDescent="0.25">
      <c r="A2695" s="24" t="s">
        <v>335</v>
      </c>
      <c r="B2695" s="24" t="s">
        <v>58</v>
      </c>
      <c r="C2695" s="24" t="s">
        <v>5</v>
      </c>
      <c r="D2695" s="24">
        <v>0</v>
      </c>
      <c r="E2695" s="24" t="s">
        <v>795</v>
      </c>
      <c r="F2695" s="24"/>
      <c r="G2695" s="24"/>
    </row>
    <row r="2696" spans="1:7" x14ac:dyDescent="0.25">
      <c r="A2696" s="24" t="s">
        <v>336</v>
      </c>
      <c r="B2696" s="24" t="s">
        <v>23</v>
      </c>
      <c r="C2696" s="24" t="s">
        <v>5</v>
      </c>
      <c r="D2696" s="24">
        <v>1.6</v>
      </c>
      <c r="E2696" s="24" t="s">
        <v>796</v>
      </c>
      <c r="F2696" s="24" t="s">
        <v>950</v>
      </c>
      <c r="G2696" s="24">
        <v>169414</v>
      </c>
    </row>
    <row r="2697" spans="1:7" x14ac:dyDescent="0.25">
      <c r="A2697" s="24" t="s">
        <v>336</v>
      </c>
      <c r="B2697" s="24" t="s">
        <v>26</v>
      </c>
      <c r="C2697" s="24" t="s">
        <v>5</v>
      </c>
      <c r="D2697" s="24">
        <v>1.93</v>
      </c>
      <c r="E2697" s="24" t="s">
        <v>799</v>
      </c>
      <c r="F2697" s="24" t="s">
        <v>950</v>
      </c>
      <c r="G2697" s="24">
        <v>169414</v>
      </c>
    </row>
    <row r="2698" spans="1:7" x14ac:dyDescent="0.25">
      <c r="A2698" s="24" t="s">
        <v>336</v>
      </c>
      <c r="B2698" s="24" t="s">
        <v>27</v>
      </c>
      <c r="C2698" s="24" t="s">
        <v>5</v>
      </c>
      <c r="D2698" s="24">
        <v>3.96</v>
      </c>
      <c r="E2698" s="24" t="s">
        <v>799</v>
      </c>
      <c r="F2698" s="24" t="s">
        <v>950</v>
      </c>
      <c r="G2698" s="24">
        <v>169414</v>
      </c>
    </row>
    <row r="2699" spans="1:7" x14ac:dyDescent="0.25">
      <c r="A2699" s="24" t="s">
        <v>336</v>
      </c>
      <c r="B2699" s="24" t="s">
        <v>28</v>
      </c>
      <c r="C2699" s="24" t="s">
        <v>5</v>
      </c>
      <c r="D2699" s="24">
        <v>15.13</v>
      </c>
      <c r="E2699" s="24" t="s">
        <v>799</v>
      </c>
      <c r="F2699" s="24" t="s">
        <v>950</v>
      </c>
      <c r="G2699" s="24">
        <v>169414</v>
      </c>
    </row>
    <row r="2700" spans="1:7" x14ac:dyDescent="0.25">
      <c r="A2700" s="24" t="s">
        <v>336</v>
      </c>
      <c r="B2700" s="24" t="s">
        <v>29</v>
      </c>
      <c r="C2700" s="24" t="s">
        <v>5</v>
      </c>
      <c r="D2700" s="24">
        <v>0</v>
      </c>
      <c r="E2700" s="24" t="s">
        <v>940</v>
      </c>
      <c r="F2700" s="24"/>
      <c r="G2700" s="24"/>
    </row>
    <row r="2701" spans="1:7" x14ac:dyDescent="0.25">
      <c r="A2701" s="24" t="s">
        <v>336</v>
      </c>
      <c r="B2701" s="24" t="s">
        <v>30</v>
      </c>
      <c r="C2701" s="24" t="s">
        <v>31</v>
      </c>
      <c r="D2701" s="24">
        <v>0</v>
      </c>
      <c r="E2701" s="24" t="s">
        <v>801</v>
      </c>
      <c r="F2701" s="24" t="s">
        <v>950</v>
      </c>
      <c r="G2701" s="24">
        <v>169414</v>
      </c>
    </row>
    <row r="2702" spans="1:7" x14ac:dyDescent="0.25">
      <c r="A2702" s="24" t="s">
        <v>336</v>
      </c>
      <c r="B2702" s="24" t="s">
        <v>32</v>
      </c>
      <c r="C2702" s="24" t="s">
        <v>33</v>
      </c>
      <c r="D2702" s="24">
        <v>0</v>
      </c>
      <c r="E2702" s="24" t="s">
        <v>796</v>
      </c>
      <c r="F2702" s="24" t="s">
        <v>950</v>
      </c>
      <c r="G2702" s="24">
        <v>169414</v>
      </c>
    </row>
    <row r="2703" spans="1:7" x14ac:dyDescent="0.25">
      <c r="A2703" s="24" t="s">
        <v>336</v>
      </c>
      <c r="B2703" s="24" t="s">
        <v>34</v>
      </c>
      <c r="C2703" s="24" t="s">
        <v>31</v>
      </c>
      <c r="D2703" s="24">
        <v>0.6</v>
      </c>
      <c r="E2703" s="24" t="s">
        <v>796</v>
      </c>
      <c r="F2703" s="24" t="s">
        <v>950</v>
      </c>
      <c r="G2703" s="24">
        <v>169414</v>
      </c>
    </row>
    <row r="2704" spans="1:7" x14ac:dyDescent="0.25">
      <c r="A2704" s="24" t="s">
        <v>336</v>
      </c>
      <c r="B2704" s="24" t="s">
        <v>35</v>
      </c>
      <c r="C2704" s="24" t="s">
        <v>36</v>
      </c>
      <c r="D2704" s="24">
        <v>0</v>
      </c>
      <c r="E2704" s="24" t="s">
        <v>796</v>
      </c>
      <c r="F2704" s="24" t="s">
        <v>950</v>
      </c>
      <c r="G2704" s="24">
        <v>169414</v>
      </c>
    </row>
    <row r="2705" spans="1:7" x14ac:dyDescent="0.25">
      <c r="A2705" s="24" t="s">
        <v>336</v>
      </c>
      <c r="B2705" s="24" t="s">
        <v>37</v>
      </c>
      <c r="C2705" s="24" t="s">
        <v>38</v>
      </c>
      <c r="D2705" s="24">
        <v>0.3</v>
      </c>
      <c r="E2705" s="24" t="s">
        <v>796</v>
      </c>
      <c r="F2705" s="24" t="s">
        <v>950</v>
      </c>
      <c r="G2705" s="24">
        <v>169414</v>
      </c>
    </row>
    <row r="2706" spans="1:7" x14ac:dyDescent="0.25">
      <c r="A2706" s="24" t="s">
        <v>336</v>
      </c>
      <c r="B2706" s="24" t="s">
        <v>39</v>
      </c>
      <c r="C2706" s="24" t="s">
        <v>36</v>
      </c>
      <c r="D2706" s="24">
        <v>4.4000000000000004</v>
      </c>
      <c r="E2706" s="24" t="s">
        <v>796</v>
      </c>
      <c r="F2706" s="24" t="s">
        <v>950</v>
      </c>
      <c r="G2706" s="24">
        <v>169414</v>
      </c>
    </row>
    <row r="2707" spans="1:7" x14ac:dyDescent="0.25">
      <c r="A2707" s="24" t="s">
        <v>336</v>
      </c>
      <c r="B2707" s="24" t="s">
        <v>40</v>
      </c>
      <c r="C2707" s="24" t="s">
        <v>31</v>
      </c>
      <c r="D2707" s="24">
        <v>1.7</v>
      </c>
      <c r="E2707" s="24" t="s">
        <v>796</v>
      </c>
      <c r="F2707" s="24" t="s">
        <v>950</v>
      </c>
      <c r="G2707" s="24">
        <v>169414</v>
      </c>
    </row>
    <row r="2708" spans="1:7" x14ac:dyDescent="0.25">
      <c r="A2708" s="24" t="s">
        <v>336</v>
      </c>
      <c r="B2708" s="24" t="s">
        <v>41</v>
      </c>
      <c r="C2708" s="24" t="s">
        <v>31</v>
      </c>
      <c r="D2708" s="24">
        <v>0.2</v>
      </c>
      <c r="E2708" s="24" t="s">
        <v>796</v>
      </c>
      <c r="F2708" s="24" t="s">
        <v>950</v>
      </c>
      <c r="G2708" s="24">
        <v>169414</v>
      </c>
    </row>
    <row r="2709" spans="1:7" x14ac:dyDescent="0.25">
      <c r="A2709" s="24" t="s">
        <v>336</v>
      </c>
      <c r="B2709" s="24" t="s">
        <v>42</v>
      </c>
      <c r="C2709" s="24" t="s">
        <v>43</v>
      </c>
      <c r="D2709" s="24">
        <v>3.1</v>
      </c>
      <c r="E2709" s="24" t="s">
        <v>796</v>
      </c>
      <c r="F2709" s="24" t="s">
        <v>950</v>
      </c>
      <c r="G2709" s="24">
        <v>169414</v>
      </c>
    </row>
    <row r="2710" spans="1:7" x14ac:dyDescent="0.25">
      <c r="A2710" s="24" t="s">
        <v>336</v>
      </c>
      <c r="B2710" s="24" t="s">
        <v>44</v>
      </c>
      <c r="C2710" s="24" t="s">
        <v>31</v>
      </c>
      <c r="D2710" s="24">
        <v>0.5</v>
      </c>
      <c r="E2710" s="24" t="s">
        <v>796</v>
      </c>
      <c r="F2710" s="24" t="s">
        <v>950</v>
      </c>
      <c r="G2710" s="24">
        <v>169414</v>
      </c>
    </row>
    <row r="2711" spans="1:7" x14ac:dyDescent="0.25">
      <c r="A2711" s="24" t="s">
        <v>336</v>
      </c>
      <c r="B2711" s="24" t="s">
        <v>45</v>
      </c>
      <c r="C2711" s="24" t="s">
        <v>31</v>
      </c>
      <c r="D2711" s="24">
        <v>1</v>
      </c>
      <c r="E2711" s="24" t="s">
        <v>796</v>
      </c>
      <c r="F2711" s="24" t="s">
        <v>950</v>
      </c>
      <c r="G2711" s="24">
        <v>169414</v>
      </c>
    </row>
    <row r="2712" spans="1:7" x14ac:dyDescent="0.25">
      <c r="A2712" s="24" t="s">
        <v>336</v>
      </c>
      <c r="B2712" s="24" t="s">
        <v>46</v>
      </c>
      <c r="C2712" s="24" t="s">
        <v>36</v>
      </c>
      <c r="D2712" s="24">
        <v>0</v>
      </c>
      <c r="E2712" s="24" t="s">
        <v>796</v>
      </c>
      <c r="F2712" s="24" t="s">
        <v>950</v>
      </c>
      <c r="G2712" s="24">
        <v>169414</v>
      </c>
    </row>
    <row r="2713" spans="1:7" x14ac:dyDescent="0.25">
      <c r="A2713" s="24" t="s">
        <v>336</v>
      </c>
      <c r="B2713" s="24" t="s">
        <v>47</v>
      </c>
      <c r="C2713" s="24" t="s">
        <v>48</v>
      </c>
      <c r="D2713" s="24">
        <v>88.7</v>
      </c>
      <c r="E2713" s="24" t="s">
        <v>796</v>
      </c>
      <c r="F2713" s="24" t="s">
        <v>950</v>
      </c>
      <c r="G2713" s="24">
        <v>169414</v>
      </c>
    </row>
    <row r="2714" spans="1:7" x14ac:dyDescent="0.25">
      <c r="A2714" s="24" t="s">
        <v>336</v>
      </c>
      <c r="B2714" s="24" t="s">
        <v>49</v>
      </c>
      <c r="C2714" s="24" t="s">
        <v>31</v>
      </c>
      <c r="D2714" s="24">
        <v>30.6</v>
      </c>
      <c r="E2714" s="24" t="s">
        <v>796</v>
      </c>
      <c r="F2714" s="24" t="s">
        <v>950</v>
      </c>
      <c r="G2714" s="24">
        <v>169414</v>
      </c>
    </row>
    <row r="2715" spans="1:7" x14ac:dyDescent="0.25">
      <c r="A2715" s="24" t="s">
        <v>336</v>
      </c>
      <c r="B2715" s="24" t="s">
        <v>50</v>
      </c>
      <c r="C2715" s="24" t="s">
        <v>31</v>
      </c>
      <c r="D2715" s="24">
        <v>829.3</v>
      </c>
      <c r="E2715" s="24" t="s">
        <v>796</v>
      </c>
      <c r="F2715" s="24" t="s">
        <v>950</v>
      </c>
      <c r="G2715" s="24">
        <v>169414</v>
      </c>
    </row>
    <row r="2716" spans="1:7" x14ac:dyDescent="0.25">
      <c r="A2716" s="24" t="s">
        <v>336</v>
      </c>
      <c r="B2716" s="24" t="s">
        <v>51</v>
      </c>
      <c r="C2716" s="24" t="s">
        <v>31</v>
      </c>
      <c r="D2716" s="24">
        <v>260.10000000000002</v>
      </c>
      <c r="E2716" s="24" t="s">
        <v>796</v>
      </c>
      <c r="F2716" s="24" t="s">
        <v>950</v>
      </c>
      <c r="G2716" s="24">
        <v>169414</v>
      </c>
    </row>
    <row r="2717" spans="1:7" x14ac:dyDescent="0.25">
      <c r="A2717" s="24" t="s">
        <v>336</v>
      </c>
      <c r="B2717" s="24" t="s">
        <v>52</v>
      </c>
      <c r="C2717" s="24" t="s">
        <v>31</v>
      </c>
      <c r="D2717" s="24">
        <v>654.79999999999995</v>
      </c>
      <c r="E2717" s="24" t="s">
        <v>796</v>
      </c>
      <c r="F2717" s="24" t="s">
        <v>950</v>
      </c>
      <c r="G2717" s="24">
        <v>169414</v>
      </c>
    </row>
    <row r="2718" spans="1:7" x14ac:dyDescent="0.25">
      <c r="A2718" s="24" t="s">
        <v>336</v>
      </c>
      <c r="B2718" s="24" t="s">
        <v>53</v>
      </c>
      <c r="C2718" s="24" t="s">
        <v>31</v>
      </c>
      <c r="D2718" s="24">
        <v>399.8</v>
      </c>
      <c r="E2718" s="24" t="s">
        <v>796</v>
      </c>
      <c r="F2718" s="24" t="s">
        <v>950</v>
      </c>
      <c r="G2718" s="24">
        <v>169414</v>
      </c>
    </row>
    <row r="2719" spans="1:7" x14ac:dyDescent="0.25">
      <c r="A2719" s="24" t="s">
        <v>336</v>
      </c>
      <c r="B2719" s="24" t="s">
        <v>54</v>
      </c>
      <c r="C2719" s="24" t="s">
        <v>31</v>
      </c>
      <c r="D2719" s="24">
        <v>5.8</v>
      </c>
      <c r="E2719" s="24" t="s">
        <v>796</v>
      </c>
      <c r="F2719" s="24" t="s">
        <v>950</v>
      </c>
      <c r="G2719" s="24">
        <v>169414</v>
      </c>
    </row>
    <row r="2720" spans="1:7" x14ac:dyDescent="0.25">
      <c r="A2720" s="24" t="s">
        <v>336</v>
      </c>
      <c r="B2720" s="24" t="s">
        <v>55</v>
      </c>
      <c r="C2720" s="24" t="s">
        <v>31</v>
      </c>
      <c r="D2720" s="24">
        <v>4.4000000000000004</v>
      </c>
      <c r="E2720" s="24" t="s">
        <v>796</v>
      </c>
      <c r="F2720" s="24" t="s">
        <v>950</v>
      </c>
      <c r="G2720" s="24">
        <v>169414</v>
      </c>
    </row>
    <row r="2721" spans="1:7" x14ac:dyDescent="0.25">
      <c r="A2721" s="24" t="s">
        <v>336</v>
      </c>
      <c r="B2721" s="24" t="s">
        <v>56</v>
      </c>
      <c r="C2721" s="24" t="s">
        <v>31</v>
      </c>
      <c r="D2721" s="24">
        <v>1.2</v>
      </c>
      <c r="E2721" s="24" t="s">
        <v>796</v>
      </c>
      <c r="F2721" s="24" t="s">
        <v>950</v>
      </c>
      <c r="G2721" s="24">
        <v>169414</v>
      </c>
    </row>
    <row r="2722" spans="1:7" x14ac:dyDescent="0.25">
      <c r="A2722" s="24" t="s">
        <v>336</v>
      </c>
      <c r="B2722" s="24" t="s">
        <v>57</v>
      </c>
      <c r="C2722" s="24" t="s">
        <v>36</v>
      </c>
      <c r="D2722" s="24">
        <v>25.9</v>
      </c>
      <c r="E2722" s="24" t="s">
        <v>796</v>
      </c>
      <c r="F2722" s="24" t="s">
        <v>950</v>
      </c>
      <c r="G2722" s="24">
        <v>169414</v>
      </c>
    </row>
    <row r="2723" spans="1:7" x14ac:dyDescent="0.25">
      <c r="A2723" s="24" t="s">
        <v>336</v>
      </c>
      <c r="B2723" s="24" t="s">
        <v>58</v>
      </c>
      <c r="C2723" s="24" t="s">
        <v>5</v>
      </c>
      <c r="D2723" s="24">
        <v>0</v>
      </c>
      <c r="E2723" s="24" t="s">
        <v>795</v>
      </c>
      <c r="F2723" s="24"/>
      <c r="G2723" s="24"/>
    </row>
    <row r="2724" spans="1:7" x14ac:dyDescent="0.25">
      <c r="A2724" s="24" t="s">
        <v>338</v>
      </c>
      <c r="B2724" s="24" t="s">
        <v>58</v>
      </c>
      <c r="C2724" s="24" t="s">
        <v>5</v>
      </c>
      <c r="D2724" s="24">
        <v>0</v>
      </c>
      <c r="E2724" s="24" t="s">
        <v>795</v>
      </c>
      <c r="F2724" s="24"/>
      <c r="G2724" s="24"/>
    </row>
    <row r="2725" spans="1:7" x14ac:dyDescent="0.25">
      <c r="A2725" s="24" t="s">
        <v>339</v>
      </c>
      <c r="B2725" s="24" t="s">
        <v>58</v>
      </c>
      <c r="C2725" s="24" t="s">
        <v>5</v>
      </c>
      <c r="D2725" s="24">
        <v>0</v>
      </c>
      <c r="E2725" s="24" t="s">
        <v>795</v>
      </c>
      <c r="F2725" s="24"/>
      <c r="G2725" s="24"/>
    </row>
    <row r="2726" spans="1:7" x14ac:dyDescent="0.25">
      <c r="A2726" s="24" t="s">
        <v>340</v>
      </c>
      <c r="B2726" s="24" t="s">
        <v>58</v>
      </c>
      <c r="C2726" s="24" t="s">
        <v>5</v>
      </c>
      <c r="D2726" s="24">
        <v>0</v>
      </c>
      <c r="E2726" s="24" t="s">
        <v>795</v>
      </c>
      <c r="F2726" s="24"/>
      <c r="G2726" s="24"/>
    </row>
    <row r="2727" spans="1:7" x14ac:dyDescent="0.25">
      <c r="A2727" s="24" t="s">
        <v>341</v>
      </c>
      <c r="B2727" s="24" t="s">
        <v>32</v>
      </c>
      <c r="C2727" s="24" t="s">
        <v>33</v>
      </c>
      <c r="D2727" s="24">
        <v>0</v>
      </c>
      <c r="E2727" s="24" t="s">
        <v>796</v>
      </c>
      <c r="F2727" s="24" t="s">
        <v>951</v>
      </c>
      <c r="G2727" s="24">
        <v>172686</v>
      </c>
    </row>
    <row r="2728" spans="1:7" x14ac:dyDescent="0.25">
      <c r="A2728" s="24" t="s">
        <v>341</v>
      </c>
      <c r="B2728" s="24" t="s">
        <v>34</v>
      </c>
      <c r="C2728" s="24" t="s">
        <v>31</v>
      </c>
      <c r="D2728" s="24">
        <v>0.2</v>
      </c>
      <c r="E2728" s="24" t="s">
        <v>796</v>
      </c>
      <c r="F2728" s="24" t="s">
        <v>951</v>
      </c>
      <c r="G2728" s="24">
        <v>172686</v>
      </c>
    </row>
    <row r="2729" spans="1:7" x14ac:dyDescent="0.25">
      <c r="A2729" s="24" t="s">
        <v>341</v>
      </c>
      <c r="B2729" s="24" t="s">
        <v>35</v>
      </c>
      <c r="C2729" s="24" t="s">
        <v>36</v>
      </c>
      <c r="D2729" s="24">
        <v>0</v>
      </c>
      <c r="E2729" s="24" t="s">
        <v>796</v>
      </c>
      <c r="F2729" s="24" t="s">
        <v>951</v>
      </c>
      <c r="G2729" s="24">
        <v>172686</v>
      </c>
    </row>
    <row r="2730" spans="1:7" x14ac:dyDescent="0.25">
      <c r="A2730" s="24" t="s">
        <v>341</v>
      </c>
      <c r="B2730" s="24" t="s">
        <v>37</v>
      </c>
      <c r="C2730" s="24" t="s">
        <v>38</v>
      </c>
      <c r="D2730" s="24">
        <v>0.2</v>
      </c>
      <c r="E2730" s="24" t="s">
        <v>796</v>
      </c>
      <c r="F2730" s="24" t="s">
        <v>951</v>
      </c>
      <c r="G2730" s="24">
        <v>172686</v>
      </c>
    </row>
    <row r="2731" spans="1:7" x14ac:dyDescent="0.25">
      <c r="A2731" s="24" t="s">
        <v>341</v>
      </c>
      <c r="B2731" s="24" t="s">
        <v>39</v>
      </c>
      <c r="C2731" s="24" t="s">
        <v>36</v>
      </c>
      <c r="D2731" s="24">
        <v>4.9000000000000004</v>
      </c>
      <c r="E2731" s="24" t="s">
        <v>796</v>
      </c>
      <c r="F2731" s="24" t="s">
        <v>951</v>
      </c>
      <c r="G2731" s="24">
        <v>172686</v>
      </c>
    </row>
    <row r="2732" spans="1:7" x14ac:dyDescent="0.25">
      <c r="A2732" s="24" t="s">
        <v>341</v>
      </c>
      <c r="B2732" s="24" t="s">
        <v>40</v>
      </c>
      <c r="C2732" s="24" t="s">
        <v>31</v>
      </c>
      <c r="D2732" s="24">
        <v>0.4</v>
      </c>
      <c r="E2732" s="24" t="s">
        <v>796</v>
      </c>
      <c r="F2732" s="24" t="s">
        <v>951</v>
      </c>
      <c r="G2732" s="24">
        <v>172686</v>
      </c>
    </row>
    <row r="2733" spans="1:7" x14ac:dyDescent="0.25">
      <c r="A2733" s="24" t="s">
        <v>341</v>
      </c>
      <c r="B2733" s="24" t="s">
        <v>41</v>
      </c>
      <c r="C2733" s="24" t="s">
        <v>31</v>
      </c>
      <c r="D2733" s="24">
        <v>0.3</v>
      </c>
      <c r="E2733" s="24" t="s">
        <v>796</v>
      </c>
      <c r="F2733" s="24" t="s">
        <v>951</v>
      </c>
      <c r="G2733" s="24">
        <v>172686</v>
      </c>
    </row>
    <row r="2734" spans="1:7" x14ac:dyDescent="0.25">
      <c r="A2734" s="24" t="s">
        <v>341</v>
      </c>
      <c r="B2734" s="24" t="s">
        <v>42</v>
      </c>
      <c r="C2734" s="24" t="s">
        <v>43</v>
      </c>
      <c r="D2734" s="24">
        <v>5.6</v>
      </c>
      <c r="E2734" s="24" t="s">
        <v>796</v>
      </c>
      <c r="F2734" s="24" t="s">
        <v>951</v>
      </c>
      <c r="G2734" s="24">
        <v>172686</v>
      </c>
    </row>
    <row r="2735" spans="1:7" x14ac:dyDescent="0.25">
      <c r="A2735" s="24" t="s">
        <v>341</v>
      </c>
      <c r="B2735" s="24" t="s">
        <v>44</v>
      </c>
      <c r="C2735" s="24" t="s">
        <v>31</v>
      </c>
      <c r="D2735" s="24">
        <v>0.1</v>
      </c>
      <c r="E2735" s="24" t="s">
        <v>796</v>
      </c>
      <c r="F2735" s="24" t="s">
        <v>951</v>
      </c>
      <c r="G2735" s="24">
        <v>172686</v>
      </c>
    </row>
    <row r="2736" spans="1:7" x14ac:dyDescent="0.25">
      <c r="A2736" s="24" t="s">
        <v>341</v>
      </c>
      <c r="B2736" s="24" t="s">
        <v>45</v>
      </c>
      <c r="C2736" s="24" t="s">
        <v>31</v>
      </c>
      <c r="D2736" s="24">
        <v>0.8</v>
      </c>
      <c r="E2736" s="24" t="s">
        <v>796</v>
      </c>
      <c r="F2736" s="24" t="s">
        <v>951</v>
      </c>
      <c r="G2736" s="24">
        <v>172686</v>
      </c>
    </row>
    <row r="2737" spans="1:7" x14ac:dyDescent="0.25">
      <c r="A2737" s="24" t="s">
        <v>341</v>
      </c>
      <c r="B2737" s="24" t="s">
        <v>46</v>
      </c>
      <c r="C2737" s="24" t="s">
        <v>36</v>
      </c>
      <c r="D2737" s="24">
        <v>0</v>
      </c>
      <c r="E2737" s="24" t="s">
        <v>796</v>
      </c>
      <c r="F2737" s="24" t="s">
        <v>951</v>
      </c>
      <c r="G2737" s="24">
        <v>172686</v>
      </c>
    </row>
    <row r="2738" spans="1:7" x14ac:dyDescent="0.25">
      <c r="A2738" s="24" t="s">
        <v>341</v>
      </c>
      <c r="B2738" s="24" t="s">
        <v>47</v>
      </c>
      <c r="C2738" s="24" t="s">
        <v>48</v>
      </c>
      <c r="D2738" s="24">
        <v>99.5</v>
      </c>
      <c r="E2738" s="24" t="s">
        <v>796</v>
      </c>
      <c r="F2738" s="24" t="s">
        <v>951</v>
      </c>
      <c r="G2738" s="24">
        <v>172686</v>
      </c>
    </row>
    <row r="2739" spans="1:7" x14ac:dyDescent="0.25">
      <c r="A2739" s="24" t="s">
        <v>341</v>
      </c>
      <c r="B2739" s="24" t="s">
        <v>50</v>
      </c>
      <c r="C2739" s="24" t="s">
        <v>31</v>
      </c>
      <c r="D2739" s="24">
        <v>141.80000000000001</v>
      </c>
      <c r="E2739" s="24" t="s">
        <v>796</v>
      </c>
      <c r="F2739" s="24" t="s">
        <v>951</v>
      </c>
      <c r="G2739" s="24">
        <v>172686</v>
      </c>
    </row>
    <row r="2740" spans="1:7" x14ac:dyDescent="0.25">
      <c r="A2740" s="24" t="s">
        <v>341</v>
      </c>
      <c r="B2740" s="24" t="s">
        <v>51</v>
      </c>
      <c r="C2740" s="24" t="s">
        <v>31</v>
      </c>
      <c r="D2740" s="24">
        <v>125.7</v>
      </c>
      <c r="E2740" s="24" t="s">
        <v>796</v>
      </c>
      <c r="F2740" s="24" t="s">
        <v>951</v>
      </c>
      <c r="G2740" s="24">
        <v>172686</v>
      </c>
    </row>
    <row r="2741" spans="1:7" x14ac:dyDescent="0.25">
      <c r="A2741" s="24" t="s">
        <v>341</v>
      </c>
      <c r="B2741" s="24" t="s">
        <v>52</v>
      </c>
      <c r="C2741" s="24" t="s">
        <v>31</v>
      </c>
      <c r="D2741" s="24">
        <v>129.69999999999999</v>
      </c>
      <c r="E2741" s="24" t="s">
        <v>796</v>
      </c>
      <c r="F2741" s="24" t="s">
        <v>951</v>
      </c>
      <c r="G2741" s="24">
        <v>172686</v>
      </c>
    </row>
    <row r="2742" spans="1:7" x14ac:dyDescent="0.25">
      <c r="A2742" s="24" t="s">
        <v>341</v>
      </c>
      <c r="B2742" s="24" t="s">
        <v>53</v>
      </c>
      <c r="C2742" s="24" t="s">
        <v>31</v>
      </c>
      <c r="D2742" s="24">
        <v>41.2</v>
      </c>
      <c r="E2742" s="24" t="s">
        <v>796</v>
      </c>
      <c r="F2742" s="24" t="s">
        <v>951</v>
      </c>
      <c r="G2742" s="24">
        <v>172686</v>
      </c>
    </row>
    <row r="2743" spans="1:7" x14ac:dyDescent="0.25">
      <c r="A2743" s="24" t="s">
        <v>341</v>
      </c>
      <c r="B2743" s="24" t="s">
        <v>54</v>
      </c>
      <c r="C2743" s="24" t="s">
        <v>31</v>
      </c>
      <c r="D2743" s="24">
        <v>3.6</v>
      </c>
      <c r="E2743" s="24" t="s">
        <v>796</v>
      </c>
      <c r="F2743" s="24" t="s">
        <v>951</v>
      </c>
      <c r="G2743" s="24">
        <v>172686</v>
      </c>
    </row>
    <row r="2744" spans="1:7" x14ac:dyDescent="0.25">
      <c r="A2744" s="24" t="s">
        <v>341</v>
      </c>
      <c r="B2744" s="24" t="s">
        <v>55</v>
      </c>
      <c r="C2744" s="24" t="s">
        <v>31</v>
      </c>
      <c r="D2744" s="24">
        <v>1</v>
      </c>
      <c r="E2744" s="24" t="s">
        <v>796</v>
      </c>
      <c r="F2744" s="24" t="s">
        <v>951</v>
      </c>
      <c r="G2744" s="24">
        <v>172686</v>
      </c>
    </row>
    <row r="2745" spans="1:7" x14ac:dyDescent="0.25">
      <c r="A2745" s="24" t="s">
        <v>341</v>
      </c>
      <c r="B2745" s="24" t="s">
        <v>56</v>
      </c>
      <c r="C2745" s="24" t="s">
        <v>31</v>
      </c>
      <c r="D2745" s="24">
        <v>0.1</v>
      </c>
      <c r="E2745" s="24" t="s">
        <v>796</v>
      </c>
      <c r="F2745" s="24" t="s">
        <v>951</v>
      </c>
      <c r="G2745" s="24">
        <v>172686</v>
      </c>
    </row>
    <row r="2746" spans="1:7" x14ac:dyDescent="0.25">
      <c r="A2746" s="24" t="s">
        <v>341</v>
      </c>
      <c r="B2746" s="24" t="s">
        <v>57</v>
      </c>
      <c r="C2746" s="24" t="s">
        <v>36</v>
      </c>
      <c r="D2746" s="24">
        <v>29</v>
      </c>
      <c r="E2746" s="24" t="s">
        <v>796</v>
      </c>
      <c r="F2746" s="24" t="s">
        <v>951</v>
      </c>
      <c r="G2746" s="24">
        <v>172686</v>
      </c>
    </row>
    <row r="2747" spans="1:7" x14ac:dyDescent="0.25">
      <c r="A2747" s="24" t="s">
        <v>341</v>
      </c>
      <c r="B2747" s="24" t="s">
        <v>58</v>
      </c>
      <c r="C2747" s="24" t="s">
        <v>5</v>
      </c>
      <c r="D2747" s="24">
        <v>0</v>
      </c>
      <c r="E2747" s="24" t="s">
        <v>795</v>
      </c>
      <c r="F2747" s="24"/>
      <c r="G2747" s="24"/>
    </row>
    <row r="2748" spans="1:7" x14ac:dyDescent="0.25">
      <c r="A2748" s="24" t="s">
        <v>342</v>
      </c>
      <c r="B2748" s="24" t="s">
        <v>23</v>
      </c>
      <c r="C2748" s="24" t="s">
        <v>5</v>
      </c>
      <c r="D2748" s="24">
        <v>6.2</v>
      </c>
      <c r="E2748" s="24" t="s">
        <v>796</v>
      </c>
      <c r="F2748" s="24" t="s">
        <v>952</v>
      </c>
      <c r="G2748" s="24">
        <v>168013</v>
      </c>
    </row>
    <row r="2749" spans="1:7" x14ac:dyDescent="0.25">
      <c r="A2749" s="24" t="s">
        <v>342</v>
      </c>
      <c r="B2749" s="24" t="s">
        <v>32</v>
      </c>
      <c r="C2749" s="24" t="s">
        <v>33</v>
      </c>
      <c r="D2749" s="24">
        <v>0</v>
      </c>
      <c r="E2749" s="24" t="s">
        <v>796</v>
      </c>
      <c r="F2749" s="24" t="s">
        <v>952</v>
      </c>
      <c r="G2749" s="24">
        <v>168013</v>
      </c>
    </row>
    <row r="2750" spans="1:7" x14ac:dyDescent="0.25">
      <c r="A2750" s="24" t="s">
        <v>342</v>
      </c>
      <c r="B2750" s="24" t="s">
        <v>34</v>
      </c>
      <c r="C2750" s="24" t="s">
        <v>31</v>
      </c>
      <c r="D2750" s="24">
        <v>0.1</v>
      </c>
      <c r="E2750" s="24" t="s">
        <v>796</v>
      </c>
      <c r="F2750" s="24" t="s">
        <v>952</v>
      </c>
      <c r="G2750" s="24">
        <v>168013</v>
      </c>
    </row>
    <row r="2751" spans="1:7" x14ac:dyDescent="0.25">
      <c r="A2751" s="24" t="s">
        <v>342</v>
      </c>
      <c r="B2751" s="24" t="s">
        <v>35</v>
      </c>
      <c r="C2751" s="24" t="s">
        <v>36</v>
      </c>
      <c r="D2751" s="24">
        <v>0</v>
      </c>
      <c r="E2751" s="24" t="s">
        <v>796</v>
      </c>
      <c r="F2751" s="24" t="s">
        <v>952</v>
      </c>
      <c r="G2751" s="24">
        <v>168013</v>
      </c>
    </row>
    <row r="2752" spans="1:7" x14ac:dyDescent="0.25">
      <c r="A2752" s="24" t="s">
        <v>342</v>
      </c>
      <c r="B2752" s="24" t="s">
        <v>37</v>
      </c>
      <c r="C2752" s="24" t="s">
        <v>38</v>
      </c>
      <c r="D2752" s="24">
        <v>0.4</v>
      </c>
      <c r="E2752" s="24" t="s">
        <v>796</v>
      </c>
      <c r="F2752" s="24" t="s">
        <v>952</v>
      </c>
      <c r="G2752" s="24">
        <v>168013</v>
      </c>
    </row>
    <row r="2753" spans="1:7" x14ac:dyDescent="0.25">
      <c r="A2753" s="24" t="s">
        <v>342</v>
      </c>
      <c r="B2753" s="24" t="s">
        <v>39</v>
      </c>
      <c r="C2753" s="24" t="s">
        <v>36</v>
      </c>
      <c r="D2753" s="24">
        <v>1.4</v>
      </c>
      <c r="E2753" s="24" t="s">
        <v>796</v>
      </c>
      <c r="F2753" s="24" t="s">
        <v>952</v>
      </c>
      <c r="G2753" s="24">
        <v>168013</v>
      </c>
    </row>
    <row r="2754" spans="1:7" x14ac:dyDescent="0.25">
      <c r="A2754" s="24" t="s">
        <v>342</v>
      </c>
      <c r="B2754" s="24" t="s">
        <v>40</v>
      </c>
      <c r="C2754" s="24" t="s">
        <v>31</v>
      </c>
      <c r="D2754" s="24">
        <v>0.3</v>
      </c>
      <c r="E2754" s="24" t="s">
        <v>796</v>
      </c>
      <c r="F2754" s="24" t="s">
        <v>952</v>
      </c>
      <c r="G2754" s="24">
        <v>168013</v>
      </c>
    </row>
    <row r="2755" spans="1:7" x14ac:dyDescent="0.25">
      <c r="A2755" s="24" t="s">
        <v>342</v>
      </c>
      <c r="B2755" s="24" t="s">
        <v>41</v>
      </c>
      <c r="C2755" s="24" t="s">
        <v>31</v>
      </c>
      <c r="D2755" s="24">
        <v>0.1</v>
      </c>
      <c r="E2755" s="24" t="s">
        <v>796</v>
      </c>
      <c r="F2755" s="24" t="s">
        <v>952</v>
      </c>
      <c r="G2755" s="24">
        <v>168013</v>
      </c>
    </row>
    <row r="2756" spans="1:7" x14ac:dyDescent="0.25">
      <c r="A2756" s="24" t="s">
        <v>342</v>
      </c>
      <c r="B2756" s="24" t="s">
        <v>42</v>
      </c>
      <c r="C2756" s="24" t="s">
        <v>43</v>
      </c>
      <c r="D2756" s="24">
        <v>3.9</v>
      </c>
      <c r="E2756" s="24" t="s">
        <v>796</v>
      </c>
      <c r="F2756" s="24" t="s">
        <v>952</v>
      </c>
      <c r="G2756" s="24">
        <v>168013</v>
      </c>
    </row>
    <row r="2757" spans="1:7" x14ac:dyDescent="0.25">
      <c r="A2757" s="24" t="s">
        <v>342</v>
      </c>
      <c r="B2757" s="24" t="s">
        <v>44</v>
      </c>
      <c r="C2757" s="24" t="s">
        <v>31</v>
      </c>
      <c r="D2757" s="24">
        <v>0.3</v>
      </c>
      <c r="E2757" s="24" t="s">
        <v>796</v>
      </c>
      <c r="F2757" s="24" t="s">
        <v>952</v>
      </c>
      <c r="G2757" s="24">
        <v>168013</v>
      </c>
    </row>
    <row r="2758" spans="1:7" x14ac:dyDescent="0.25">
      <c r="A2758" s="24" t="s">
        <v>342</v>
      </c>
      <c r="B2758" s="24" t="s">
        <v>45</v>
      </c>
      <c r="C2758" s="24" t="s">
        <v>31</v>
      </c>
      <c r="D2758" s="24">
        <v>0.3</v>
      </c>
      <c r="E2758" s="24" t="s">
        <v>796</v>
      </c>
      <c r="F2758" s="24" t="s">
        <v>952</v>
      </c>
      <c r="G2758" s="24">
        <v>168013</v>
      </c>
    </row>
    <row r="2759" spans="1:7" x14ac:dyDescent="0.25">
      <c r="A2759" s="24" t="s">
        <v>342</v>
      </c>
      <c r="B2759" s="24" t="s">
        <v>46</v>
      </c>
      <c r="C2759" s="24" t="s">
        <v>36</v>
      </c>
      <c r="D2759" s="24">
        <v>0</v>
      </c>
      <c r="E2759" s="24" t="s">
        <v>796</v>
      </c>
      <c r="F2759" s="24" t="s">
        <v>952</v>
      </c>
      <c r="G2759" s="24">
        <v>168013</v>
      </c>
    </row>
    <row r="2760" spans="1:7" x14ac:dyDescent="0.25">
      <c r="A2760" s="24" t="s">
        <v>342</v>
      </c>
      <c r="B2760" s="24" t="s">
        <v>47</v>
      </c>
      <c r="C2760" s="24" t="s">
        <v>48</v>
      </c>
      <c r="D2760" s="24">
        <v>72.7</v>
      </c>
      <c r="E2760" s="24" t="s">
        <v>796</v>
      </c>
      <c r="F2760" s="24" t="s">
        <v>952</v>
      </c>
      <c r="G2760" s="24">
        <v>168013</v>
      </c>
    </row>
    <row r="2761" spans="1:7" x14ac:dyDescent="0.25">
      <c r="A2761" s="24" t="s">
        <v>342</v>
      </c>
      <c r="B2761" s="24" t="s">
        <v>50</v>
      </c>
      <c r="C2761" s="24" t="s">
        <v>31</v>
      </c>
      <c r="D2761" s="24">
        <v>222.9</v>
      </c>
      <c r="E2761" s="24" t="s">
        <v>796</v>
      </c>
      <c r="F2761" s="24" t="s">
        <v>952</v>
      </c>
      <c r="G2761" s="24">
        <v>168013</v>
      </c>
    </row>
    <row r="2762" spans="1:7" x14ac:dyDescent="0.25">
      <c r="A2762" s="24" t="s">
        <v>342</v>
      </c>
      <c r="B2762" s="24" t="s">
        <v>51</v>
      </c>
      <c r="C2762" s="24" t="s">
        <v>31</v>
      </c>
      <c r="D2762" s="24">
        <v>99.8</v>
      </c>
      <c r="E2762" s="24" t="s">
        <v>796</v>
      </c>
      <c r="F2762" s="24" t="s">
        <v>952</v>
      </c>
      <c r="G2762" s="24">
        <v>168013</v>
      </c>
    </row>
    <row r="2763" spans="1:7" x14ac:dyDescent="0.25">
      <c r="A2763" s="24" t="s">
        <v>342</v>
      </c>
      <c r="B2763" s="24" t="s">
        <v>52</v>
      </c>
      <c r="C2763" s="24" t="s">
        <v>31</v>
      </c>
      <c r="D2763" s="24">
        <v>220.9</v>
      </c>
      <c r="E2763" s="24" t="s">
        <v>796</v>
      </c>
      <c r="F2763" s="24" t="s">
        <v>952</v>
      </c>
      <c r="G2763" s="24">
        <v>168013</v>
      </c>
    </row>
    <row r="2764" spans="1:7" x14ac:dyDescent="0.25">
      <c r="A2764" s="24" t="s">
        <v>342</v>
      </c>
      <c r="B2764" s="24" t="s">
        <v>53</v>
      </c>
      <c r="C2764" s="24" t="s">
        <v>31</v>
      </c>
      <c r="D2764" s="24">
        <v>75.599999999999994</v>
      </c>
      <c r="E2764" s="24" t="s">
        <v>796</v>
      </c>
      <c r="F2764" s="24" t="s">
        <v>952</v>
      </c>
      <c r="G2764" s="24">
        <v>168013</v>
      </c>
    </row>
    <row r="2765" spans="1:7" x14ac:dyDescent="0.25">
      <c r="A2765" s="24" t="s">
        <v>342</v>
      </c>
      <c r="B2765" s="24" t="s">
        <v>54</v>
      </c>
      <c r="C2765" s="24" t="s">
        <v>31</v>
      </c>
      <c r="D2765" s="24">
        <v>2.4</v>
      </c>
      <c r="E2765" s="24" t="s">
        <v>796</v>
      </c>
      <c r="F2765" s="24" t="s">
        <v>952</v>
      </c>
      <c r="G2765" s="24">
        <v>168013</v>
      </c>
    </row>
    <row r="2766" spans="1:7" x14ac:dyDescent="0.25">
      <c r="A2766" s="24" t="s">
        <v>342</v>
      </c>
      <c r="B2766" s="24" t="s">
        <v>55</v>
      </c>
      <c r="C2766" s="24" t="s">
        <v>31</v>
      </c>
      <c r="D2766" s="24">
        <v>1.6</v>
      </c>
      <c r="E2766" s="24" t="s">
        <v>796</v>
      </c>
      <c r="F2766" s="24" t="s">
        <v>952</v>
      </c>
      <c r="G2766" s="24">
        <v>168013</v>
      </c>
    </row>
    <row r="2767" spans="1:7" x14ac:dyDescent="0.25">
      <c r="A2767" s="24" t="s">
        <v>342</v>
      </c>
      <c r="B2767" s="24" t="s">
        <v>56</v>
      </c>
      <c r="C2767" s="24" t="s">
        <v>31</v>
      </c>
      <c r="D2767" s="24">
        <v>0.3</v>
      </c>
      <c r="E2767" s="24" t="s">
        <v>796</v>
      </c>
      <c r="F2767" s="24" t="s">
        <v>952</v>
      </c>
      <c r="G2767" s="24">
        <v>168013</v>
      </c>
    </row>
    <row r="2768" spans="1:7" x14ac:dyDescent="0.25">
      <c r="A2768" s="24" t="s">
        <v>342</v>
      </c>
      <c r="B2768" s="24" t="s">
        <v>57</v>
      </c>
      <c r="C2768" s="24" t="s">
        <v>36</v>
      </c>
      <c r="D2768" s="24">
        <v>31.9</v>
      </c>
      <c r="E2768" s="24" t="s">
        <v>796</v>
      </c>
      <c r="F2768" s="24" t="s">
        <v>952</v>
      </c>
      <c r="G2768" s="24">
        <v>168013</v>
      </c>
    </row>
    <row r="2769" spans="1:7" x14ac:dyDescent="0.25">
      <c r="A2769" s="24" t="s">
        <v>342</v>
      </c>
      <c r="B2769" s="24" t="s">
        <v>58</v>
      </c>
      <c r="C2769" s="24" t="s">
        <v>5</v>
      </c>
      <c r="D2769" s="24">
        <v>0</v>
      </c>
      <c r="E2769" s="24" t="s">
        <v>795</v>
      </c>
      <c r="F2769" s="24"/>
      <c r="G2769" s="24"/>
    </row>
    <row r="2770" spans="1:7" x14ac:dyDescent="0.25">
      <c r="A2770" s="24" t="s">
        <v>343</v>
      </c>
      <c r="B2770" s="24" t="s">
        <v>23</v>
      </c>
      <c r="C2770" s="24" t="s">
        <v>5</v>
      </c>
      <c r="D2770" s="24">
        <v>6.9</v>
      </c>
      <c r="E2770" s="24" t="s">
        <v>796</v>
      </c>
      <c r="F2770" s="24" t="s">
        <v>953</v>
      </c>
      <c r="G2770" s="24">
        <v>174924</v>
      </c>
    </row>
    <row r="2771" spans="1:7" x14ac:dyDescent="0.25">
      <c r="A2771" s="24" t="s">
        <v>343</v>
      </c>
      <c r="B2771" s="24" t="s">
        <v>26</v>
      </c>
      <c r="C2771" s="24" t="s">
        <v>5</v>
      </c>
      <c r="D2771" s="24">
        <v>2.62</v>
      </c>
      <c r="E2771" s="24" t="s">
        <v>799</v>
      </c>
      <c r="F2771" s="24" t="s">
        <v>953</v>
      </c>
      <c r="G2771" s="24">
        <v>174924</v>
      </c>
    </row>
    <row r="2772" spans="1:7" x14ac:dyDescent="0.25">
      <c r="A2772" s="24" t="s">
        <v>343</v>
      </c>
      <c r="B2772" s="24" t="s">
        <v>27</v>
      </c>
      <c r="C2772" s="24" t="s">
        <v>5</v>
      </c>
      <c r="D2772" s="24">
        <v>2.25</v>
      </c>
      <c r="E2772" s="24" t="s">
        <v>799</v>
      </c>
      <c r="F2772" s="24" t="s">
        <v>953</v>
      </c>
      <c r="G2772" s="24">
        <v>174924</v>
      </c>
    </row>
    <row r="2773" spans="1:7" x14ac:dyDescent="0.25">
      <c r="A2773" s="24" t="s">
        <v>343</v>
      </c>
      <c r="B2773" s="24" t="s">
        <v>28</v>
      </c>
      <c r="C2773" s="24" t="s">
        <v>5</v>
      </c>
      <c r="D2773" s="24">
        <v>6.01</v>
      </c>
      <c r="E2773" s="24" t="s">
        <v>799</v>
      </c>
      <c r="F2773" s="24" t="s">
        <v>953</v>
      </c>
      <c r="G2773" s="24">
        <v>174924</v>
      </c>
    </row>
    <row r="2774" spans="1:7" x14ac:dyDescent="0.25">
      <c r="A2774" s="24" t="s">
        <v>343</v>
      </c>
      <c r="B2774" s="24" t="s">
        <v>29</v>
      </c>
      <c r="C2774" s="24" t="s">
        <v>5</v>
      </c>
      <c r="D2774" s="24">
        <v>0.1</v>
      </c>
      <c r="E2774" s="24" t="s">
        <v>799</v>
      </c>
      <c r="F2774" s="24" t="s">
        <v>953</v>
      </c>
      <c r="G2774" s="24">
        <v>174924</v>
      </c>
    </row>
    <row r="2775" spans="1:7" x14ac:dyDescent="0.25">
      <c r="A2775" s="24" t="s">
        <v>343</v>
      </c>
      <c r="B2775" s="24" t="s">
        <v>30</v>
      </c>
      <c r="C2775" s="24" t="s">
        <v>31</v>
      </c>
      <c r="D2775" s="24">
        <v>0</v>
      </c>
      <c r="E2775" s="24" t="s">
        <v>801</v>
      </c>
      <c r="F2775" s="24" t="s">
        <v>953</v>
      </c>
      <c r="G2775" s="24">
        <v>174924</v>
      </c>
    </row>
    <row r="2776" spans="1:7" x14ac:dyDescent="0.25">
      <c r="A2776" s="24" t="s">
        <v>343</v>
      </c>
      <c r="B2776" s="24" t="s">
        <v>32</v>
      </c>
      <c r="C2776" s="24" t="s">
        <v>33</v>
      </c>
      <c r="D2776" s="24">
        <v>0</v>
      </c>
      <c r="E2776" s="24" t="s">
        <v>796</v>
      </c>
      <c r="F2776" s="24" t="s">
        <v>953</v>
      </c>
      <c r="G2776" s="24">
        <v>174924</v>
      </c>
    </row>
    <row r="2777" spans="1:7" x14ac:dyDescent="0.25">
      <c r="A2777" s="24" t="s">
        <v>343</v>
      </c>
      <c r="B2777" s="24" t="s">
        <v>34</v>
      </c>
      <c r="C2777" s="24" t="s">
        <v>31</v>
      </c>
      <c r="D2777" s="24">
        <v>0</v>
      </c>
      <c r="E2777" s="24" t="s">
        <v>796</v>
      </c>
      <c r="F2777" s="24" t="s">
        <v>953</v>
      </c>
      <c r="G2777" s="24">
        <v>174924</v>
      </c>
    </row>
    <row r="2778" spans="1:7" x14ac:dyDescent="0.25">
      <c r="A2778" s="24" t="s">
        <v>343</v>
      </c>
      <c r="B2778" s="24" t="s">
        <v>35</v>
      </c>
      <c r="C2778" s="24" t="s">
        <v>36</v>
      </c>
      <c r="D2778" s="24">
        <v>0</v>
      </c>
      <c r="E2778" s="24" t="s">
        <v>796</v>
      </c>
      <c r="F2778" s="24" t="s">
        <v>953</v>
      </c>
      <c r="G2778" s="24">
        <v>174924</v>
      </c>
    </row>
    <row r="2779" spans="1:7" x14ac:dyDescent="0.25">
      <c r="A2779" s="24" t="s">
        <v>343</v>
      </c>
      <c r="B2779" s="24" t="s">
        <v>37</v>
      </c>
      <c r="C2779" s="24" t="s">
        <v>38</v>
      </c>
      <c r="D2779" s="24">
        <v>0.3</v>
      </c>
      <c r="E2779" s="24" t="s">
        <v>796</v>
      </c>
      <c r="F2779" s="24" t="s">
        <v>953</v>
      </c>
      <c r="G2779" s="24">
        <v>174924</v>
      </c>
    </row>
    <row r="2780" spans="1:7" x14ac:dyDescent="0.25">
      <c r="A2780" s="24" t="s">
        <v>343</v>
      </c>
      <c r="B2780" s="24" t="s">
        <v>39</v>
      </c>
      <c r="C2780" s="24" t="s">
        <v>36</v>
      </c>
      <c r="D2780" s="24">
        <v>0.2</v>
      </c>
      <c r="E2780" s="24" t="s">
        <v>796</v>
      </c>
      <c r="F2780" s="24" t="s">
        <v>953</v>
      </c>
      <c r="G2780" s="24">
        <v>174924</v>
      </c>
    </row>
    <row r="2781" spans="1:7" x14ac:dyDescent="0.25">
      <c r="A2781" s="24" t="s">
        <v>343</v>
      </c>
      <c r="B2781" s="24" t="s">
        <v>40</v>
      </c>
      <c r="C2781" s="24" t="s">
        <v>31</v>
      </c>
      <c r="D2781" s="24">
        <v>0.6</v>
      </c>
      <c r="E2781" s="24" t="s">
        <v>796</v>
      </c>
      <c r="F2781" s="24" t="s">
        <v>953</v>
      </c>
      <c r="G2781" s="24">
        <v>174924</v>
      </c>
    </row>
    <row r="2782" spans="1:7" x14ac:dyDescent="0.25">
      <c r="A2782" s="24" t="s">
        <v>343</v>
      </c>
      <c r="B2782" s="24" t="s">
        <v>41</v>
      </c>
      <c r="C2782" s="24" t="s">
        <v>31</v>
      </c>
      <c r="D2782" s="24">
        <v>0.3</v>
      </c>
      <c r="E2782" s="24" t="s">
        <v>796</v>
      </c>
      <c r="F2782" s="24" t="s">
        <v>953</v>
      </c>
      <c r="G2782" s="24">
        <v>174924</v>
      </c>
    </row>
    <row r="2783" spans="1:7" x14ac:dyDescent="0.25">
      <c r="A2783" s="24" t="s">
        <v>343</v>
      </c>
      <c r="B2783" s="24" t="s">
        <v>42</v>
      </c>
      <c r="C2783" s="24" t="s">
        <v>43</v>
      </c>
      <c r="D2783" s="24">
        <v>5.8</v>
      </c>
      <c r="E2783" s="24" t="s">
        <v>796</v>
      </c>
      <c r="F2783" s="24" t="s">
        <v>953</v>
      </c>
      <c r="G2783" s="24">
        <v>174924</v>
      </c>
    </row>
    <row r="2784" spans="1:7" x14ac:dyDescent="0.25">
      <c r="A2784" s="24" t="s">
        <v>343</v>
      </c>
      <c r="B2784" s="24" t="s">
        <v>44</v>
      </c>
      <c r="C2784" s="24" t="s">
        <v>31</v>
      </c>
      <c r="D2784" s="24">
        <v>0.1</v>
      </c>
      <c r="E2784" s="24" t="s">
        <v>796</v>
      </c>
      <c r="F2784" s="24" t="s">
        <v>953</v>
      </c>
      <c r="G2784" s="24">
        <v>174924</v>
      </c>
    </row>
    <row r="2785" spans="1:7" x14ac:dyDescent="0.25">
      <c r="A2785" s="24" t="s">
        <v>343</v>
      </c>
      <c r="B2785" s="24" t="s">
        <v>45</v>
      </c>
      <c r="C2785" s="24" t="s">
        <v>31</v>
      </c>
      <c r="D2785" s="24">
        <v>0.7</v>
      </c>
      <c r="E2785" s="24" t="s">
        <v>796</v>
      </c>
      <c r="F2785" s="24" t="s">
        <v>953</v>
      </c>
      <c r="G2785" s="24">
        <v>174924</v>
      </c>
    </row>
    <row r="2786" spans="1:7" x14ac:dyDescent="0.25">
      <c r="A2786" s="24" t="s">
        <v>343</v>
      </c>
      <c r="B2786" s="24" t="s">
        <v>46</v>
      </c>
      <c r="C2786" s="24" t="s">
        <v>36</v>
      </c>
      <c r="D2786" s="24">
        <v>0</v>
      </c>
      <c r="E2786" s="24" t="s">
        <v>796</v>
      </c>
      <c r="F2786" s="24" t="s">
        <v>953</v>
      </c>
      <c r="G2786" s="24">
        <v>174924</v>
      </c>
    </row>
    <row r="2787" spans="1:7" x14ac:dyDescent="0.25">
      <c r="A2787" s="24" t="s">
        <v>343</v>
      </c>
      <c r="B2787" s="24" t="s">
        <v>47</v>
      </c>
      <c r="C2787" s="24" t="s">
        <v>48</v>
      </c>
      <c r="D2787" s="24">
        <v>207.6</v>
      </c>
      <c r="E2787" s="24" t="s">
        <v>796</v>
      </c>
      <c r="F2787" s="24" t="s">
        <v>953</v>
      </c>
      <c r="G2787" s="24">
        <v>174924</v>
      </c>
    </row>
    <row r="2788" spans="1:7" x14ac:dyDescent="0.25">
      <c r="A2788" s="24" t="s">
        <v>343</v>
      </c>
      <c r="B2788" s="24" t="s">
        <v>50</v>
      </c>
      <c r="C2788" s="24" t="s">
        <v>31</v>
      </c>
      <c r="D2788" s="24">
        <v>153</v>
      </c>
      <c r="E2788" s="24" t="s">
        <v>796</v>
      </c>
      <c r="F2788" s="24" t="s">
        <v>953</v>
      </c>
      <c r="G2788" s="24">
        <v>174924</v>
      </c>
    </row>
    <row r="2789" spans="1:7" x14ac:dyDescent="0.25">
      <c r="A2789" s="24" t="s">
        <v>343</v>
      </c>
      <c r="B2789" s="24" t="s">
        <v>51</v>
      </c>
      <c r="C2789" s="24" t="s">
        <v>31</v>
      </c>
      <c r="D2789" s="24">
        <v>174.8</v>
      </c>
      <c r="E2789" s="24" t="s">
        <v>796</v>
      </c>
      <c r="F2789" s="24" t="s">
        <v>953</v>
      </c>
      <c r="G2789" s="24">
        <v>174924</v>
      </c>
    </row>
    <row r="2790" spans="1:7" x14ac:dyDescent="0.25">
      <c r="A2790" s="24" t="s">
        <v>343</v>
      </c>
      <c r="B2790" s="24" t="s">
        <v>52</v>
      </c>
      <c r="C2790" s="24" t="s">
        <v>31</v>
      </c>
      <c r="D2790" s="24">
        <v>119</v>
      </c>
      <c r="E2790" s="24" t="s">
        <v>796</v>
      </c>
      <c r="F2790" s="24" t="s">
        <v>953</v>
      </c>
      <c r="G2790" s="24">
        <v>174924</v>
      </c>
    </row>
    <row r="2791" spans="1:7" x14ac:dyDescent="0.25">
      <c r="A2791" s="24" t="s">
        <v>343</v>
      </c>
      <c r="B2791" s="24" t="s">
        <v>53</v>
      </c>
      <c r="C2791" s="24" t="s">
        <v>31</v>
      </c>
      <c r="D2791" s="24">
        <v>27.9</v>
      </c>
      <c r="E2791" s="24" t="s">
        <v>796</v>
      </c>
      <c r="F2791" s="24" t="s">
        <v>953</v>
      </c>
      <c r="G2791" s="24">
        <v>174924</v>
      </c>
    </row>
    <row r="2792" spans="1:7" x14ac:dyDescent="0.25">
      <c r="A2792" s="24" t="s">
        <v>343</v>
      </c>
      <c r="B2792" s="24" t="s">
        <v>54</v>
      </c>
      <c r="C2792" s="24" t="s">
        <v>31</v>
      </c>
      <c r="D2792" s="24">
        <v>4.4000000000000004</v>
      </c>
      <c r="E2792" s="24" t="s">
        <v>796</v>
      </c>
      <c r="F2792" s="24" t="s">
        <v>953</v>
      </c>
      <c r="G2792" s="24">
        <v>174924</v>
      </c>
    </row>
    <row r="2793" spans="1:7" x14ac:dyDescent="0.25">
      <c r="A2793" s="24" t="s">
        <v>343</v>
      </c>
      <c r="B2793" s="24" t="s">
        <v>55</v>
      </c>
      <c r="C2793" s="24" t="s">
        <v>31</v>
      </c>
      <c r="D2793" s="24">
        <v>0.9</v>
      </c>
      <c r="E2793" s="24" t="s">
        <v>796</v>
      </c>
      <c r="F2793" s="24" t="s">
        <v>953</v>
      </c>
      <c r="G2793" s="24">
        <v>174924</v>
      </c>
    </row>
    <row r="2794" spans="1:7" x14ac:dyDescent="0.25">
      <c r="A2794" s="24" t="s">
        <v>343</v>
      </c>
      <c r="B2794" s="24" t="s">
        <v>56</v>
      </c>
      <c r="C2794" s="24" t="s">
        <v>31</v>
      </c>
      <c r="D2794" s="24">
        <v>0.1</v>
      </c>
      <c r="E2794" s="24" t="s">
        <v>796</v>
      </c>
      <c r="F2794" s="24" t="s">
        <v>953</v>
      </c>
      <c r="G2794" s="24">
        <v>174924</v>
      </c>
    </row>
    <row r="2795" spans="1:7" x14ac:dyDescent="0.25">
      <c r="A2795" s="24" t="s">
        <v>343</v>
      </c>
      <c r="B2795" s="24" t="s">
        <v>57</v>
      </c>
      <c r="C2795" s="24" t="s">
        <v>36</v>
      </c>
      <c r="D2795" s="24">
        <v>26.7</v>
      </c>
      <c r="E2795" s="24" t="s">
        <v>796</v>
      </c>
      <c r="F2795" s="24" t="s">
        <v>953</v>
      </c>
      <c r="G2795" s="24">
        <v>174924</v>
      </c>
    </row>
    <row r="2796" spans="1:7" x14ac:dyDescent="0.25">
      <c r="A2796" s="24" t="s">
        <v>343</v>
      </c>
      <c r="B2796" s="24" t="s">
        <v>58</v>
      </c>
      <c r="C2796" s="24" t="s">
        <v>5</v>
      </c>
      <c r="D2796" s="24">
        <v>0</v>
      </c>
      <c r="E2796" s="24" t="s">
        <v>795</v>
      </c>
      <c r="F2796" s="24"/>
      <c r="G2796" s="24"/>
    </row>
    <row r="2797" spans="1:7" x14ac:dyDescent="0.25">
      <c r="A2797" s="24" t="s">
        <v>344</v>
      </c>
      <c r="B2797" s="24" t="s">
        <v>29</v>
      </c>
      <c r="C2797" s="24" t="s">
        <v>5</v>
      </c>
      <c r="D2797" s="24">
        <v>0.02</v>
      </c>
      <c r="E2797" s="24" t="s">
        <v>799</v>
      </c>
      <c r="F2797" s="24" t="s">
        <v>954</v>
      </c>
      <c r="G2797" s="24">
        <v>172688</v>
      </c>
    </row>
    <row r="2798" spans="1:7" x14ac:dyDescent="0.25">
      <c r="A2798" s="24" t="s">
        <v>344</v>
      </c>
      <c r="B2798" s="24" t="s">
        <v>58</v>
      </c>
      <c r="C2798" s="24" t="s">
        <v>5</v>
      </c>
      <c r="D2798" s="24">
        <v>0</v>
      </c>
      <c r="E2798" s="24" t="s">
        <v>795</v>
      </c>
      <c r="F2798" s="24"/>
      <c r="G2798" s="24"/>
    </row>
    <row r="2799" spans="1:7" x14ac:dyDescent="0.25">
      <c r="A2799" s="24" t="s">
        <v>345</v>
      </c>
      <c r="B2799" s="24" t="s">
        <v>29</v>
      </c>
      <c r="C2799" s="24" t="s">
        <v>5</v>
      </c>
      <c r="D2799" s="24">
        <v>0</v>
      </c>
      <c r="E2799" s="24" t="s">
        <v>799</v>
      </c>
      <c r="F2799" s="24" t="s">
        <v>955</v>
      </c>
      <c r="G2799" s="24">
        <v>172675</v>
      </c>
    </row>
    <row r="2800" spans="1:7" x14ac:dyDescent="0.25">
      <c r="A2800" s="24" t="s">
        <v>345</v>
      </c>
      <c r="B2800" s="24" t="s">
        <v>58</v>
      </c>
      <c r="C2800" s="24" t="s">
        <v>5</v>
      </c>
      <c r="D2800" s="24">
        <v>0</v>
      </c>
      <c r="E2800" s="24" t="s">
        <v>795</v>
      </c>
      <c r="F2800" s="24"/>
      <c r="G2800" s="24"/>
    </row>
    <row r="2801" spans="1:7" x14ac:dyDescent="0.25">
      <c r="A2801" s="24" t="s">
        <v>346</v>
      </c>
      <c r="B2801" s="24" t="s">
        <v>20</v>
      </c>
      <c r="C2801" s="24" t="s">
        <v>5</v>
      </c>
      <c r="D2801" s="24">
        <v>1.8</v>
      </c>
      <c r="E2801" s="24" t="s">
        <v>809</v>
      </c>
      <c r="F2801" s="24"/>
      <c r="G2801" s="24"/>
    </row>
    <row r="2802" spans="1:7" x14ac:dyDescent="0.25">
      <c r="A2802" s="24" t="s">
        <v>346</v>
      </c>
      <c r="B2802" s="24" t="s">
        <v>23</v>
      </c>
      <c r="C2802" s="24" t="s">
        <v>5</v>
      </c>
      <c r="D2802" s="24">
        <v>5.7</v>
      </c>
      <c r="E2802" s="24" t="s">
        <v>796</v>
      </c>
      <c r="F2802" s="24" t="s">
        <v>953</v>
      </c>
      <c r="G2802" s="24">
        <v>174924</v>
      </c>
    </row>
    <row r="2803" spans="1:7" x14ac:dyDescent="0.25">
      <c r="A2803" s="24" t="s">
        <v>346</v>
      </c>
      <c r="B2803" s="24" t="s">
        <v>29</v>
      </c>
      <c r="C2803" s="24" t="s">
        <v>5</v>
      </c>
      <c r="D2803" s="24">
        <v>0.03</v>
      </c>
      <c r="E2803" s="24" t="s">
        <v>799</v>
      </c>
      <c r="F2803" s="24" t="s">
        <v>953</v>
      </c>
      <c r="G2803" s="24">
        <v>174924</v>
      </c>
    </row>
    <row r="2804" spans="1:7" x14ac:dyDescent="0.25">
      <c r="A2804" s="24" t="s">
        <v>346</v>
      </c>
      <c r="B2804" s="24" t="s">
        <v>35</v>
      </c>
      <c r="C2804" s="24" t="s">
        <v>36</v>
      </c>
      <c r="D2804" s="24">
        <v>0</v>
      </c>
      <c r="E2804" s="24" t="s">
        <v>796</v>
      </c>
      <c r="F2804" s="24" t="s">
        <v>953</v>
      </c>
      <c r="G2804" s="24">
        <v>174924</v>
      </c>
    </row>
    <row r="2805" spans="1:7" x14ac:dyDescent="0.25">
      <c r="A2805" s="24" t="s">
        <v>346</v>
      </c>
      <c r="B2805" s="24" t="s">
        <v>39</v>
      </c>
      <c r="C2805" s="24" t="s">
        <v>36</v>
      </c>
      <c r="D2805" s="24">
        <v>0.2</v>
      </c>
      <c r="E2805" s="24" t="s">
        <v>796</v>
      </c>
      <c r="F2805" s="24" t="s">
        <v>953</v>
      </c>
      <c r="G2805" s="24">
        <v>174924</v>
      </c>
    </row>
    <row r="2806" spans="1:7" x14ac:dyDescent="0.25">
      <c r="A2806" s="24" t="s">
        <v>346</v>
      </c>
      <c r="B2806" s="24" t="s">
        <v>58</v>
      </c>
      <c r="C2806" s="24" t="s">
        <v>5</v>
      </c>
      <c r="D2806" s="24">
        <v>0</v>
      </c>
      <c r="E2806" s="24" t="s">
        <v>795</v>
      </c>
      <c r="F2806" s="24"/>
      <c r="G2806" s="24"/>
    </row>
    <row r="2807" spans="1:7" x14ac:dyDescent="0.25">
      <c r="A2807" s="24" t="s">
        <v>347</v>
      </c>
      <c r="B2807" s="24" t="s">
        <v>23</v>
      </c>
      <c r="C2807" s="24" t="s">
        <v>5</v>
      </c>
      <c r="D2807" s="24">
        <v>5.8</v>
      </c>
      <c r="E2807" s="24" t="s">
        <v>796</v>
      </c>
      <c r="F2807" s="24" t="s">
        <v>953</v>
      </c>
      <c r="G2807" s="24">
        <v>174924</v>
      </c>
    </row>
    <row r="2808" spans="1:7" x14ac:dyDescent="0.25">
      <c r="A2808" s="24" t="s">
        <v>347</v>
      </c>
      <c r="B2808" s="24" t="s">
        <v>30</v>
      </c>
      <c r="C2808" s="24" t="s">
        <v>31</v>
      </c>
      <c r="D2808" s="24">
        <v>0</v>
      </c>
      <c r="E2808" s="24" t="s">
        <v>801</v>
      </c>
      <c r="F2808" s="24" t="s">
        <v>953</v>
      </c>
      <c r="G2808" s="24">
        <v>174924</v>
      </c>
    </row>
    <row r="2809" spans="1:7" x14ac:dyDescent="0.25">
      <c r="A2809" s="24" t="s">
        <v>347</v>
      </c>
      <c r="B2809" s="24" t="s">
        <v>32</v>
      </c>
      <c r="C2809" s="24" t="s">
        <v>33</v>
      </c>
      <c r="D2809" s="24">
        <v>0</v>
      </c>
      <c r="E2809" s="24" t="s">
        <v>796</v>
      </c>
      <c r="F2809" s="24" t="s">
        <v>953</v>
      </c>
      <c r="G2809" s="24">
        <v>174924</v>
      </c>
    </row>
    <row r="2810" spans="1:7" x14ac:dyDescent="0.25">
      <c r="A2810" s="24" t="s">
        <v>347</v>
      </c>
      <c r="B2810" s="24" t="s">
        <v>34</v>
      </c>
      <c r="C2810" s="24" t="s">
        <v>31</v>
      </c>
      <c r="D2810" s="24">
        <v>0</v>
      </c>
      <c r="E2810" s="24" t="s">
        <v>796</v>
      </c>
      <c r="F2810" s="24" t="s">
        <v>953</v>
      </c>
      <c r="G2810" s="24">
        <v>174924</v>
      </c>
    </row>
    <row r="2811" spans="1:7" x14ac:dyDescent="0.25">
      <c r="A2811" s="24" t="s">
        <v>347</v>
      </c>
      <c r="B2811" s="24" t="s">
        <v>35</v>
      </c>
      <c r="C2811" s="24" t="s">
        <v>36</v>
      </c>
      <c r="D2811" s="24">
        <v>0</v>
      </c>
      <c r="E2811" s="24" t="s">
        <v>796</v>
      </c>
      <c r="F2811" s="24" t="s">
        <v>953</v>
      </c>
      <c r="G2811" s="24">
        <v>174924</v>
      </c>
    </row>
    <row r="2812" spans="1:7" x14ac:dyDescent="0.25">
      <c r="A2812" s="24" t="s">
        <v>347</v>
      </c>
      <c r="B2812" s="24" t="s">
        <v>37</v>
      </c>
      <c r="C2812" s="24" t="s">
        <v>38</v>
      </c>
      <c r="D2812" s="24">
        <v>0.2</v>
      </c>
      <c r="E2812" s="24" t="s">
        <v>796</v>
      </c>
      <c r="F2812" s="24" t="s">
        <v>953</v>
      </c>
      <c r="G2812" s="24">
        <v>174924</v>
      </c>
    </row>
    <row r="2813" spans="1:7" x14ac:dyDescent="0.25">
      <c r="A2813" s="24" t="s">
        <v>347</v>
      </c>
      <c r="B2813" s="24" t="s">
        <v>39</v>
      </c>
      <c r="C2813" s="24" t="s">
        <v>36</v>
      </c>
      <c r="D2813" s="24">
        <v>0.2</v>
      </c>
      <c r="E2813" s="24" t="s">
        <v>796</v>
      </c>
      <c r="F2813" s="24" t="s">
        <v>953</v>
      </c>
      <c r="G2813" s="24">
        <v>174924</v>
      </c>
    </row>
    <row r="2814" spans="1:7" x14ac:dyDescent="0.25">
      <c r="A2814" s="24" t="s">
        <v>347</v>
      </c>
      <c r="B2814" s="24" t="s">
        <v>40</v>
      </c>
      <c r="C2814" s="24" t="s">
        <v>31</v>
      </c>
      <c r="D2814" s="24">
        <v>0.5</v>
      </c>
      <c r="E2814" s="24" t="s">
        <v>796</v>
      </c>
      <c r="F2814" s="24" t="s">
        <v>953</v>
      </c>
      <c r="G2814" s="24">
        <v>174924</v>
      </c>
    </row>
    <row r="2815" spans="1:7" x14ac:dyDescent="0.25">
      <c r="A2815" s="24" t="s">
        <v>347</v>
      </c>
      <c r="B2815" s="24" t="s">
        <v>41</v>
      </c>
      <c r="C2815" s="24" t="s">
        <v>31</v>
      </c>
      <c r="D2815" s="24">
        <v>0.2</v>
      </c>
      <c r="E2815" s="24" t="s">
        <v>796</v>
      </c>
      <c r="F2815" s="24" t="s">
        <v>953</v>
      </c>
      <c r="G2815" s="24">
        <v>174924</v>
      </c>
    </row>
    <row r="2816" spans="1:7" x14ac:dyDescent="0.25">
      <c r="A2816" s="24" t="s">
        <v>347</v>
      </c>
      <c r="B2816" s="24" t="s">
        <v>42</v>
      </c>
      <c r="C2816" s="24" t="s">
        <v>43</v>
      </c>
      <c r="D2816" s="24">
        <v>4.8</v>
      </c>
      <c r="E2816" s="24" t="s">
        <v>796</v>
      </c>
      <c r="F2816" s="24" t="s">
        <v>953</v>
      </c>
      <c r="G2816" s="24">
        <v>174924</v>
      </c>
    </row>
    <row r="2817" spans="1:7" x14ac:dyDescent="0.25">
      <c r="A2817" s="24" t="s">
        <v>347</v>
      </c>
      <c r="B2817" s="24" t="s">
        <v>44</v>
      </c>
      <c r="C2817" s="24" t="s">
        <v>31</v>
      </c>
      <c r="D2817" s="24">
        <v>0.1</v>
      </c>
      <c r="E2817" s="24" t="s">
        <v>796</v>
      </c>
      <c r="F2817" s="24" t="s">
        <v>953</v>
      </c>
      <c r="G2817" s="24">
        <v>174924</v>
      </c>
    </row>
    <row r="2818" spans="1:7" x14ac:dyDescent="0.25">
      <c r="A2818" s="24" t="s">
        <v>347</v>
      </c>
      <c r="B2818" s="24" t="s">
        <v>45</v>
      </c>
      <c r="C2818" s="24" t="s">
        <v>31</v>
      </c>
      <c r="D2818" s="24">
        <v>0.5</v>
      </c>
      <c r="E2818" s="24" t="s">
        <v>796</v>
      </c>
      <c r="F2818" s="24" t="s">
        <v>953</v>
      </c>
      <c r="G2818" s="24">
        <v>174924</v>
      </c>
    </row>
    <row r="2819" spans="1:7" x14ac:dyDescent="0.25">
      <c r="A2819" s="24" t="s">
        <v>347</v>
      </c>
      <c r="B2819" s="24" t="s">
        <v>46</v>
      </c>
      <c r="C2819" s="24" t="s">
        <v>36</v>
      </c>
      <c r="D2819" s="24">
        <v>0</v>
      </c>
      <c r="E2819" s="24" t="s">
        <v>796</v>
      </c>
      <c r="F2819" s="24" t="s">
        <v>953</v>
      </c>
      <c r="G2819" s="24">
        <v>174924</v>
      </c>
    </row>
    <row r="2820" spans="1:7" x14ac:dyDescent="0.25">
      <c r="A2820" s="24" t="s">
        <v>347</v>
      </c>
      <c r="B2820" s="24" t="s">
        <v>47</v>
      </c>
      <c r="C2820" s="24" t="s">
        <v>48</v>
      </c>
      <c r="D2820" s="24">
        <v>173.5</v>
      </c>
      <c r="E2820" s="24" t="s">
        <v>796</v>
      </c>
      <c r="F2820" s="24" t="s">
        <v>953</v>
      </c>
      <c r="G2820" s="24">
        <v>174924</v>
      </c>
    </row>
    <row r="2821" spans="1:7" x14ac:dyDescent="0.25">
      <c r="A2821" s="24" t="s">
        <v>347</v>
      </c>
      <c r="B2821" s="24" t="s">
        <v>50</v>
      </c>
      <c r="C2821" s="24" t="s">
        <v>31</v>
      </c>
      <c r="D2821" s="24">
        <v>127.8</v>
      </c>
      <c r="E2821" s="24" t="s">
        <v>796</v>
      </c>
      <c r="F2821" s="24" t="s">
        <v>953</v>
      </c>
      <c r="G2821" s="24">
        <v>174924</v>
      </c>
    </row>
    <row r="2822" spans="1:7" x14ac:dyDescent="0.25">
      <c r="A2822" s="24" t="s">
        <v>347</v>
      </c>
      <c r="B2822" s="24" t="s">
        <v>51</v>
      </c>
      <c r="C2822" s="24" t="s">
        <v>31</v>
      </c>
      <c r="D2822" s="24">
        <v>146.1</v>
      </c>
      <c r="E2822" s="24" t="s">
        <v>796</v>
      </c>
      <c r="F2822" s="24" t="s">
        <v>953</v>
      </c>
      <c r="G2822" s="24">
        <v>174924</v>
      </c>
    </row>
    <row r="2823" spans="1:7" x14ac:dyDescent="0.25">
      <c r="A2823" s="24" t="s">
        <v>347</v>
      </c>
      <c r="B2823" s="24" t="s">
        <v>52</v>
      </c>
      <c r="C2823" s="24" t="s">
        <v>31</v>
      </c>
      <c r="D2823" s="24">
        <v>99.4</v>
      </c>
      <c r="E2823" s="24" t="s">
        <v>796</v>
      </c>
      <c r="F2823" s="24" t="s">
        <v>953</v>
      </c>
      <c r="G2823" s="24">
        <v>174924</v>
      </c>
    </row>
    <row r="2824" spans="1:7" x14ac:dyDescent="0.25">
      <c r="A2824" s="24" t="s">
        <v>347</v>
      </c>
      <c r="B2824" s="24" t="s">
        <v>53</v>
      </c>
      <c r="C2824" s="24" t="s">
        <v>31</v>
      </c>
      <c r="D2824" s="24">
        <v>23.3</v>
      </c>
      <c r="E2824" s="24" t="s">
        <v>796</v>
      </c>
      <c r="F2824" s="24" t="s">
        <v>953</v>
      </c>
      <c r="G2824" s="24">
        <v>174924</v>
      </c>
    </row>
    <row r="2825" spans="1:7" x14ac:dyDescent="0.25">
      <c r="A2825" s="24" t="s">
        <v>347</v>
      </c>
      <c r="B2825" s="24" t="s">
        <v>54</v>
      </c>
      <c r="C2825" s="24" t="s">
        <v>31</v>
      </c>
      <c r="D2825" s="24">
        <v>3.7</v>
      </c>
      <c r="E2825" s="24" t="s">
        <v>796</v>
      </c>
      <c r="F2825" s="24" t="s">
        <v>953</v>
      </c>
      <c r="G2825" s="24">
        <v>174924</v>
      </c>
    </row>
    <row r="2826" spans="1:7" x14ac:dyDescent="0.25">
      <c r="A2826" s="24" t="s">
        <v>347</v>
      </c>
      <c r="B2826" s="24" t="s">
        <v>55</v>
      </c>
      <c r="C2826" s="24" t="s">
        <v>31</v>
      </c>
      <c r="D2826" s="24">
        <v>0.8</v>
      </c>
      <c r="E2826" s="24" t="s">
        <v>796</v>
      </c>
      <c r="F2826" s="24" t="s">
        <v>953</v>
      </c>
      <c r="G2826" s="24">
        <v>174924</v>
      </c>
    </row>
    <row r="2827" spans="1:7" x14ac:dyDescent="0.25">
      <c r="A2827" s="24" t="s">
        <v>347</v>
      </c>
      <c r="B2827" s="24" t="s">
        <v>56</v>
      </c>
      <c r="C2827" s="24" t="s">
        <v>31</v>
      </c>
      <c r="D2827" s="24">
        <v>0.1</v>
      </c>
      <c r="E2827" s="24" t="s">
        <v>796</v>
      </c>
      <c r="F2827" s="24" t="s">
        <v>953</v>
      </c>
      <c r="G2827" s="24">
        <v>174924</v>
      </c>
    </row>
    <row r="2828" spans="1:7" x14ac:dyDescent="0.25">
      <c r="A2828" s="24" t="s">
        <v>347</v>
      </c>
      <c r="B2828" s="24" t="s">
        <v>57</v>
      </c>
      <c r="C2828" s="24" t="s">
        <v>36</v>
      </c>
      <c r="D2828" s="24">
        <v>22.3</v>
      </c>
      <c r="E2828" s="24" t="s">
        <v>796</v>
      </c>
      <c r="F2828" s="24" t="s">
        <v>953</v>
      </c>
      <c r="G2828" s="24">
        <v>174924</v>
      </c>
    </row>
    <row r="2829" spans="1:7" x14ac:dyDescent="0.25">
      <c r="A2829" s="24" t="s">
        <v>347</v>
      </c>
      <c r="B2829" s="24" t="s">
        <v>58</v>
      </c>
      <c r="C2829" s="24" t="s">
        <v>5</v>
      </c>
      <c r="D2829" s="24">
        <v>0</v>
      </c>
      <c r="E2829" s="24" t="s">
        <v>795</v>
      </c>
      <c r="F2829" s="24"/>
      <c r="G2829" s="24"/>
    </row>
    <row r="2830" spans="1:7" x14ac:dyDescent="0.25">
      <c r="A2830" s="24" t="s">
        <v>348</v>
      </c>
      <c r="B2830" s="24" t="s">
        <v>23</v>
      </c>
      <c r="C2830" s="24" t="s">
        <v>5</v>
      </c>
      <c r="D2830" s="24">
        <v>1.3</v>
      </c>
      <c r="E2830" s="24" t="s">
        <v>801</v>
      </c>
      <c r="F2830" s="24" t="s">
        <v>956</v>
      </c>
      <c r="G2830" s="24">
        <v>174915</v>
      </c>
    </row>
    <row r="2831" spans="1:7" x14ac:dyDescent="0.25">
      <c r="A2831" s="24" t="s">
        <v>348</v>
      </c>
      <c r="B2831" s="24" t="s">
        <v>35</v>
      </c>
      <c r="C2831" s="24" t="s">
        <v>36</v>
      </c>
      <c r="D2831" s="24">
        <v>0</v>
      </c>
      <c r="E2831" s="24" t="s">
        <v>801</v>
      </c>
      <c r="F2831" s="24" t="s">
        <v>956</v>
      </c>
      <c r="G2831" s="24">
        <v>174915</v>
      </c>
    </row>
    <row r="2832" spans="1:7" x14ac:dyDescent="0.25">
      <c r="A2832" s="24" t="s">
        <v>348</v>
      </c>
      <c r="B2832" s="24" t="s">
        <v>37</v>
      </c>
      <c r="C2832" s="24" t="s">
        <v>38</v>
      </c>
      <c r="D2832" s="24">
        <v>0.3</v>
      </c>
      <c r="E2832" s="24" t="s">
        <v>801</v>
      </c>
      <c r="F2832" s="24" t="s">
        <v>956</v>
      </c>
      <c r="G2832" s="24">
        <v>174915</v>
      </c>
    </row>
    <row r="2833" spans="1:7" x14ac:dyDescent="0.25">
      <c r="A2833" s="24" t="s">
        <v>348</v>
      </c>
      <c r="B2833" s="24" t="s">
        <v>39</v>
      </c>
      <c r="C2833" s="24" t="s">
        <v>36</v>
      </c>
      <c r="D2833" s="24">
        <v>0.2</v>
      </c>
      <c r="E2833" s="24" t="s">
        <v>801</v>
      </c>
      <c r="F2833" s="24" t="s">
        <v>956</v>
      </c>
      <c r="G2833" s="24">
        <v>174915</v>
      </c>
    </row>
    <row r="2834" spans="1:7" x14ac:dyDescent="0.25">
      <c r="A2834" s="24" t="s">
        <v>348</v>
      </c>
      <c r="B2834" s="24" t="s">
        <v>57</v>
      </c>
      <c r="C2834" s="24" t="s">
        <v>36</v>
      </c>
      <c r="D2834" s="24">
        <v>27.1</v>
      </c>
      <c r="E2834" s="24" t="s">
        <v>801</v>
      </c>
      <c r="F2834" s="24" t="s">
        <v>956</v>
      </c>
      <c r="G2834" s="24">
        <v>174915</v>
      </c>
    </row>
    <row r="2835" spans="1:7" x14ac:dyDescent="0.25">
      <c r="A2835" s="24" t="s">
        <v>348</v>
      </c>
      <c r="B2835" s="24" t="s">
        <v>58</v>
      </c>
      <c r="C2835" s="24" t="s">
        <v>5</v>
      </c>
      <c r="D2835" s="24">
        <v>0</v>
      </c>
      <c r="E2835" s="24" t="s">
        <v>795</v>
      </c>
      <c r="F2835" s="24"/>
      <c r="G2835" s="24"/>
    </row>
    <row r="2836" spans="1:7" x14ac:dyDescent="0.25">
      <c r="A2836" s="24" t="s">
        <v>349</v>
      </c>
      <c r="B2836" s="24" t="s">
        <v>58</v>
      </c>
      <c r="C2836" s="24" t="s">
        <v>5</v>
      </c>
      <c r="D2836" s="24">
        <v>0</v>
      </c>
      <c r="E2836" s="24" t="s">
        <v>795</v>
      </c>
      <c r="F2836" s="24"/>
      <c r="G2836" s="24"/>
    </row>
    <row r="2837" spans="1:7" x14ac:dyDescent="0.25">
      <c r="A2837" s="24" t="s">
        <v>350</v>
      </c>
      <c r="B2837" s="24" t="s">
        <v>58</v>
      </c>
      <c r="C2837" s="24" t="s">
        <v>5</v>
      </c>
      <c r="D2837" s="24">
        <v>0</v>
      </c>
      <c r="E2837" s="24" t="s">
        <v>795</v>
      </c>
      <c r="F2837" s="24"/>
      <c r="G2837" s="24"/>
    </row>
    <row r="2838" spans="1:7" x14ac:dyDescent="0.25">
      <c r="A2838" s="24" t="s">
        <v>351</v>
      </c>
      <c r="B2838" s="24" t="s">
        <v>23</v>
      </c>
      <c r="C2838" s="24" t="s">
        <v>5</v>
      </c>
      <c r="D2838" s="24">
        <v>5.7</v>
      </c>
      <c r="E2838" s="24" t="s">
        <v>796</v>
      </c>
      <c r="F2838" s="24" t="s">
        <v>951</v>
      </c>
      <c r="G2838" s="24">
        <v>172686</v>
      </c>
    </row>
    <row r="2839" spans="1:7" x14ac:dyDescent="0.25">
      <c r="A2839" s="24" t="s">
        <v>351</v>
      </c>
      <c r="B2839" s="24" t="s">
        <v>29</v>
      </c>
      <c r="C2839" s="24" t="s">
        <v>5</v>
      </c>
      <c r="D2839" s="24">
        <v>0.03</v>
      </c>
      <c r="E2839" s="24" t="s">
        <v>799</v>
      </c>
      <c r="F2839" s="24" t="s">
        <v>951</v>
      </c>
      <c r="G2839" s="24">
        <v>172686</v>
      </c>
    </row>
    <row r="2840" spans="1:7" x14ac:dyDescent="0.25">
      <c r="A2840" s="24" t="s">
        <v>351</v>
      </c>
      <c r="B2840" s="24" t="s">
        <v>35</v>
      </c>
      <c r="C2840" s="24" t="s">
        <v>36</v>
      </c>
      <c r="D2840" s="24">
        <v>0</v>
      </c>
      <c r="E2840" s="24" t="s">
        <v>796</v>
      </c>
      <c r="F2840" s="24" t="s">
        <v>951</v>
      </c>
      <c r="G2840" s="24">
        <v>172686</v>
      </c>
    </row>
    <row r="2841" spans="1:7" x14ac:dyDescent="0.25">
      <c r="A2841" s="24" t="s">
        <v>351</v>
      </c>
      <c r="B2841" s="24" t="s">
        <v>37</v>
      </c>
      <c r="C2841" s="24" t="s">
        <v>38</v>
      </c>
      <c r="D2841" s="24">
        <v>0.2</v>
      </c>
      <c r="E2841" s="24" t="s">
        <v>796</v>
      </c>
      <c r="F2841" s="24" t="s">
        <v>951</v>
      </c>
      <c r="G2841" s="24">
        <v>172686</v>
      </c>
    </row>
    <row r="2842" spans="1:7" x14ac:dyDescent="0.25">
      <c r="A2842" s="24" t="s">
        <v>351</v>
      </c>
      <c r="B2842" s="24" t="s">
        <v>39</v>
      </c>
      <c r="C2842" s="24" t="s">
        <v>36</v>
      </c>
      <c r="D2842" s="24">
        <v>4.9000000000000004</v>
      </c>
      <c r="E2842" s="24" t="s">
        <v>796</v>
      </c>
      <c r="F2842" s="24" t="s">
        <v>951</v>
      </c>
      <c r="G2842" s="24">
        <v>172686</v>
      </c>
    </row>
    <row r="2843" spans="1:7" x14ac:dyDescent="0.25">
      <c r="A2843" s="24" t="s">
        <v>351</v>
      </c>
      <c r="B2843" s="24" t="s">
        <v>58</v>
      </c>
      <c r="C2843" s="24" t="s">
        <v>5</v>
      </c>
      <c r="D2843" s="24">
        <v>0</v>
      </c>
      <c r="E2843" s="24" t="s">
        <v>795</v>
      </c>
      <c r="F2843" s="24"/>
      <c r="G2843" s="24"/>
    </row>
    <row r="2844" spans="1:7" x14ac:dyDescent="0.25">
      <c r="A2844" s="24" t="s">
        <v>352</v>
      </c>
      <c r="B2844" s="24" t="s">
        <v>20</v>
      </c>
      <c r="C2844" s="24" t="s">
        <v>5</v>
      </c>
      <c r="D2844" s="24">
        <v>2.5</v>
      </c>
      <c r="E2844" s="24" t="s">
        <v>796</v>
      </c>
      <c r="F2844" s="24" t="s">
        <v>957</v>
      </c>
      <c r="G2844" s="24">
        <v>175037</v>
      </c>
    </row>
    <row r="2845" spans="1:7" x14ac:dyDescent="0.25">
      <c r="A2845" s="24" t="s">
        <v>352</v>
      </c>
      <c r="B2845" s="24" t="s">
        <v>24</v>
      </c>
      <c r="C2845" s="24" t="s">
        <v>5</v>
      </c>
      <c r="D2845" s="24">
        <v>3.5</v>
      </c>
      <c r="E2845" s="24" t="s">
        <v>801</v>
      </c>
      <c r="F2845" s="24" t="s">
        <v>957</v>
      </c>
      <c r="G2845" s="24">
        <v>175037</v>
      </c>
    </row>
    <row r="2846" spans="1:7" x14ac:dyDescent="0.25">
      <c r="A2846" s="24" t="s">
        <v>352</v>
      </c>
      <c r="B2846" s="24" t="s">
        <v>32</v>
      </c>
      <c r="C2846" s="24" t="s">
        <v>33</v>
      </c>
      <c r="D2846" s="24">
        <v>0</v>
      </c>
      <c r="E2846" s="24" t="s">
        <v>801</v>
      </c>
      <c r="F2846" s="24" t="s">
        <v>957</v>
      </c>
      <c r="G2846" s="24">
        <v>175037</v>
      </c>
    </row>
    <row r="2847" spans="1:7" x14ac:dyDescent="0.25">
      <c r="A2847" s="24" t="s">
        <v>352</v>
      </c>
      <c r="B2847" s="24" t="s">
        <v>34</v>
      </c>
      <c r="C2847" s="24" t="s">
        <v>31</v>
      </c>
      <c r="D2847" s="24">
        <v>0</v>
      </c>
      <c r="E2847" s="24" t="s">
        <v>801</v>
      </c>
      <c r="F2847" s="24" t="s">
        <v>957</v>
      </c>
      <c r="G2847" s="24">
        <v>175037</v>
      </c>
    </row>
    <row r="2848" spans="1:7" x14ac:dyDescent="0.25">
      <c r="A2848" s="24" t="s">
        <v>352</v>
      </c>
      <c r="B2848" s="24" t="s">
        <v>35</v>
      </c>
      <c r="C2848" s="24" t="s">
        <v>36</v>
      </c>
      <c r="D2848" s="24">
        <v>0</v>
      </c>
      <c r="E2848" s="24" t="s">
        <v>801</v>
      </c>
      <c r="F2848" s="24" t="s">
        <v>957</v>
      </c>
      <c r="G2848" s="24">
        <v>175037</v>
      </c>
    </row>
    <row r="2849" spans="1:7" x14ac:dyDescent="0.25">
      <c r="A2849" s="24" t="s">
        <v>352</v>
      </c>
      <c r="B2849" s="24" t="s">
        <v>37</v>
      </c>
      <c r="C2849" s="24" t="s">
        <v>38</v>
      </c>
      <c r="D2849" s="24">
        <v>0</v>
      </c>
      <c r="E2849" s="24" t="s">
        <v>801</v>
      </c>
      <c r="F2849" s="24" t="s">
        <v>957</v>
      </c>
      <c r="G2849" s="24">
        <v>175037</v>
      </c>
    </row>
    <row r="2850" spans="1:7" x14ac:dyDescent="0.25">
      <c r="A2850" s="24" t="s">
        <v>352</v>
      </c>
      <c r="B2850" s="24" t="s">
        <v>39</v>
      </c>
      <c r="C2850" s="24" t="s">
        <v>36</v>
      </c>
      <c r="D2850" s="24">
        <v>7.2</v>
      </c>
      <c r="E2850" s="24" t="s">
        <v>801</v>
      </c>
      <c r="F2850" s="24" t="s">
        <v>957</v>
      </c>
      <c r="G2850" s="24">
        <v>175037</v>
      </c>
    </row>
    <row r="2851" spans="1:7" x14ac:dyDescent="0.25">
      <c r="A2851" s="24" t="s">
        <v>352</v>
      </c>
      <c r="B2851" s="24" t="s">
        <v>40</v>
      </c>
      <c r="C2851" s="24" t="s">
        <v>31</v>
      </c>
      <c r="D2851" s="24">
        <v>0.5</v>
      </c>
      <c r="E2851" s="24" t="s">
        <v>801</v>
      </c>
      <c r="F2851" s="24" t="s">
        <v>957</v>
      </c>
      <c r="G2851" s="24">
        <v>175037</v>
      </c>
    </row>
    <row r="2852" spans="1:7" x14ac:dyDescent="0.25">
      <c r="A2852" s="24" t="s">
        <v>352</v>
      </c>
      <c r="B2852" s="24" t="s">
        <v>41</v>
      </c>
      <c r="C2852" s="24" t="s">
        <v>31</v>
      </c>
      <c r="D2852" s="24">
        <v>0.3</v>
      </c>
      <c r="E2852" s="24" t="s">
        <v>801</v>
      </c>
      <c r="F2852" s="24" t="s">
        <v>957</v>
      </c>
      <c r="G2852" s="24">
        <v>175037</v>
      </c>
    </row>
    <row r="2853" spans="1:7" x14ac:dyDescent="0.25">
      <c r="A2853" s="24" t="s">
        <v>352</v>
      </c>
      <c r="B2853" s="24" t="s">
        <v>42</v>
      </c>
      <c r="C2853" s="24" t="s">
        <v>43</v>
      </c>
      <c r="D2853" s="24">
        <v>4.4000000000000004</v>
      </c>
      <c r="E2853" s="24" t="s">
        <v>801</v>
      </c>
      <c r="F2853" s="24" t="s">
        <v>957</v>
      </c>
      <c r="G2853" s="24">
        <v>175037</v>
      </c>
    </row>
    <row r="2854" spans="1:7" x14ac:dyDescent="0.25">
      <c r="A2854" s="24" t="s">
        <v>352</v>
      </c>
      <c r="B2854" s="24" t="s">
        <v>44</v>
      </c>
      <c r="C2854" s="24" t="s">
        <v>31</v>
      </c>
      <c r="D2854" s="24">
        <v>0.1</v>
      </c>
      <c r="E2854" s="24" t="s">
        <v>801</v>
      </c>
      <c r="F2854" s="24" t="s">
        <v>957</v>
      </c>
      <c r="G2854" s="24">
        <v>175037</v>
      </c>
    </row>
    <row r="2855" spans="1:7" x14ac:dyDescent="0.25">
      <c r="A2855" s="24" t="s">
        <v>352</v>
      </c>
      <c r="B2855" s="24" t="s">
        <v>45</v>
      </c>
      <c r="C2855" s="24" t="s">
        <v>31</v>
      </c>
      <c r="D2855" s="24">
        <v>0.6</v>
      </c>
      <c r="E2855" s="24" t="s">
        <v>801</v>
      </c>
      <c r="F2855" s="24" t="s">
        <v>957</v>
      </c>
      <c r="G2855" s="24">
        <v>175037</v>
      </c>
    </row>
    <row r="2856" spans="1:7" x14ac:dyDescent="0.25">
      <c r="A2856" s="24" t="s">
        <v>352</v>
      </c>
      <c r="B2856" s="24" t="s">
        <v>46</v>
      </c>
      <c r="C2856" s="24" t="s">
        <v>36</v>
      </c>
      <c r="D2856" s="24">
        <v>0</v>
      </c>
      <c r="E2856" s="24" t="s">
        <v>801</v>
      </c>
      <c r="F2856" s="24" t="s">
        <v>957</v>
      </c>
      <c r="G2856" s="24">
        <v>175037</v>
      </c>
    </row>
    <row r="2857" spans="1:7" x14ac:dyDescent="0.25">
      <c r="A2857" s="24" t="s">
        <v>352</v>
      </c>
      <c r="B2857" s="24" t="s">
        <v>47</v>
      </c>
      <c r="C2857" s="24" t="s">
        <v>48</v>
      </c>
      <c r="D2857" s="24">
        <v>149</v>
      </c>
      <c r="E2857" s="24" t="s">
        <v>801</v>
      </c>
      <c r="F2857" s="24" t="s">
        <v>957</v>
      </c>
      <c r="G2857" s="24">
        <v>175037</v>
      </c>
    </row>
    <row r="2858" spans="1:7" x14ac:dyDescent="0.25">
      <c r="A2858" s="24" t="s">
        <v>352</v>
      </c>
      <c r="B2858" s="24" t="s">
        <v>50</v>
      </c>
      <c r="C2858" s="24" t="s">
        <v>31</v>
      </c>
      <c r="D2858" s="24">
        <v>125</v>
      </c>
      <c r="E2858" s="24" t="s">
        <v>801</v>
      </c>
      <c r="F2858" s="24" t="s">
        <v>957</v>
      </c>
      <c r="G2858" s="24">
        <v>175037</v>
      </c>
    </row>
    <row r="2859" spans="1:7" x14ac:dyDescent="0.25">
      <c r="A2859" s="24" t="s">
        <v>352</v>
      </c>
      <c r="B2859" s="24" t="s">
        <v>51</v>
      </c>
      <c r="C2859" s="24" t="s">
        <v>31</v>
      </c>
      <c r="D2859" s="24">
        <v>146</v>
      </c>
      <c r="E2859" s="24" t="s">
        <v>801</v>
      </c>
      <c r="F2859" s="24" t="s">
        <v>957</v>
      </c>
      <c r="G2859" s="24">
        <v>175037</v>
      </c>
    </row>
    <row r="2860" spans="1:7" x14ac:dyDescent="0.25">
      <c r="A2860" s="24" t="s">
        <v>352</v>
      </c>
      <c r="B2860" s="24" t="s">
        <v>52</v>
      </c>
      <c r="C2860" s="24" t="s">
        <v>31</v>
      </c>
      <c r="D2860" s="24">
        <v>206</v>
      </c>
      <c r="E2860" s="24" t="s">
        <v>801</v>
      </c>
      <c r="F2860" s="24" t="s">
        <v>957</v>
      </c>
      <c r="G2860" s="24">
        <v>175037</v>
      </c>
    </row>
    <row r="2861" spans="1:7" x14ac:dyDescent="0.25">
      <c r="A2861" s="24" t="s">
        <v>352</v>
      </c>
      <c r="B2861" s="24" t="s">
        <v>53</v>
      </c>
      <c r="C2861" s="24" t="s">
        <v>31</v>
      </c>
      <c r="D2861" s="24">
        <v>22</v>
      </c>
      <c r="E2861" s="24" t="s">
        <v>801</v>
      </c>
      <c r="F2861" s="24" t="s">
        <v>957</v>
      </c>
      <c r="G2861" s="24">
        <v>175037</v>
      </c>
    </row>
    <row r="2862" spans="1:7" x14ac:dyDescent="0.25">
      <c r="A2862" s="24" t="s">
        <v>352</v>
      </c>
      <c r="B2862" s="24" t="s">
        <v>54</v>
      </c>
      <c r="C2862" s="24" t="s">
        <v>31</v>
      </c>
      <c r="D2862" s="24">
        <v>3.6</v>
      </c>
      <c r="E2862" s="24" t="s">
        <v>801</v>
      </c>
      <c r="F2862" s="24" t="s">
        <v>957</v>
      </c>
      <c r="G2862" s="24">
        <v>175037</v>
      </c>
    </row>
    <row r="2863" spans="1:7" x14ac:dyDescent="0.25">
      <c r="A2863" s="24" t="s">
        <v>352</v>
      </c>
      <c r="B2863" s="24" t="s">
        <v>55</v>
      </c>
      <c r="C2863" s="24" t="s">
        <v>31</v>
      </c>
      <c r="D2863" s="24">
        <v>0.5</v>
      </c>
      <c r="E2863" s="24" t="s">
        <v>801</v>
      </c>
      <c r="F2863" s="24" t="s">
        <v>957</v>
      </c>
      <c r="G2863" s="24">
        <v>175037</v>
      </c>
    </row>
    <row r="2864" spans="1:7" x14ac:dyDescent="0.25">
      <c r="A2864" s="24" t="s">
        <v>352</v>
      </c>
      <c r="B2864" s="24" t="s">
        <v>56</v>
      </c>
      <c r="C2864" s="24" t="s">
        <v>31</v>
      </c>
      <c r="D2864" s="24">
        <v>0.1</v>
      </c>
      <c r="E2864" s="24" t="s">
        <v>801</v>
      </c>
      <c r="F2864" s="24" t="s">
        <v>957</v>
      </c>
      <c r="G2864" s="24">
        <v>175037</v>
      </c>
    </row>
    <row r="2865" spans="1:7" x14ac:dyDescent="0.25">
      <c r="A2865" s="24" t="s">
        <v>352</v>
      </c>
      <c r="B2865" s="24" t="s">
        <v>57</v>
      </c>
      <c r="C2865" s="24" t="s">
        <v>36</v>
      </c>
      <c r="D2865" s="24">
        <v>22.3</v>
      </c>
      <c r="E2865" s="24" t="s">
        <v>801</v>
      </c>
      <c r="F2865" s="24" t="s">
        <v>957</v>
      </c>
      <c r="G2865" s="24">
        <v>175037</v>
      </c>
    </row>
    <row r="2866" spans="1:7" x14ac:dyDescent="0.25">
      <c r="A2866" s="24" t="s">
        <v>352</v>
      </c>
      <c r="B2866" s="24" t="s">
        <v>58</v>
      </c>
      <c r="C2866" s="24" t="s">
        <v>5</v>
      </c>
      <c r="D2866" s="24">
        <v>0</v>
      </c>
      <c r="E2866" s="24" t="s">
        <v>795</v>
      </c>
      <c r="F2866" s="24"/>
      <c r="G2866" s="24"/>
    </row>
    <row r="2867" spans="1:7" x14ac:dyDescent="0.25">
      <c r="A2867" s="24" t="s">
        <v>352</v>
      </c>
      <c r="B2867" s="24" t="s">
        <v>18</v>
      </c>
      <c r="C2867" s="24" t="s">
        <v>5</v>
      </c>
      <c r="D2867" s="24">
        <v>34.200000000000003</v>
      </c>
      <c r="E2867" s="24" t="s">
        <v>803</v>
      </c>
      <c r="F2867" s="24"/>
      <c r="G2867" s="24"/>
    </row>
    <row r="2868" spans="1:7" x14ac:dyDescent="0.25">
      <c r="A2868" s="24" t="s">
        <v>353</v>
      </c>
      <c r="B2868" s="24" t="s">
        <v>23</v>
      </c>
      <c r="C2868" s="24" t="s">
        <v>5</v>
      </c>
      <c r="D2868" s="24">
        <v>0.1</v>
      </c>
      <c r="E2868" s="24" t="s">
        <v>796</v>
      </c>
      <c r="F2868" s="24" t="s">
        <v>958</v>
      </c>
      <c r="G2868" s="24">
        <v>168877</v>
      </c>
    </row>
    <row r="2869" spans="1:7" x14ac:dyDescent="0.25">
      <c r="A2869" s="24" t="s">
        <v>353</v>
      </c>
      <c r="B2869" s="24" t="s">
        <v>37</v>
      </c>
      <c r="C2869" s="24" t="s">
        <v>38</v>
      </c>
      <c r="D2869" s="24">
        <v>0.1</v>
      </c>
      <c r="E2869" s="24" t="s">
        <v>796</v>
      </c>
      <c r="F2869" s="24" t="s">
        <v>958</v>
      </c>
      <c r="G2869" s="24">
        <v>168877</v>
      </c>
    </row>
    <row r="2870" spans="1:7" x14ac:dyDescent="0.25">
      <c r="A2870" s="24" t="s">
        <v>353</v>
      </c>
      <c r="B2870" s="24" t="s">
        <v>39</v>
      </c>
      <c r="C2870" s="24" t="s">
        <v>36</v>
      </c>
      <c r="D2870" s="24">
        <v>0.1</v>
      </c>
      <c r="E2870" s="24" t="s">
        <v>796</v>
      </c>
      <c r="F2870" s="24" t="s">
        <v>958</v>
      </c>
      <c r="G2870" s="24">
        <v>168877</v>
      </c>
    </row>
    <row r="2871" spans="1:7" x14ac:dyDescent="0.25">
      <c r="A2871" s="24" t="s">
        <v>353</v>
      </c>
      <c r="B2871" s="24" t="s">
        <v>58</v>
      </c>
      <c r="C2871" s="24" t="s">
        <v>5</v>
      </c>
      <c r="D2871" s="24">
        <v>0</v>
      </c>
      <c r="E2871" s="24" t="s">
        <v>795</v>
      </c>
      <c r="F2871" s="24"/>
      <c r="G2871" s="24"/>
    </row>
    <row r="2872" spans="1:7" x14ac:dyDescent="0.25">
      <c r="A2872" s="24" t="s">
        <v>354</v>
      </c>
      <c r="B2872" s="24" t="s">
        <v>58</v>
      </c>
      <c r="C2872" s="24" t="s">
        <v>5</v>
      </c>
      <c r="D2872" s="24">
        <v>0</v>
      </c>
      <c r="E2872" s="24" t="s">
        <v>795</v>
      </c>
      <c r="F2872" s="24"/>
      <c r="G2872" s="24"/>
    </row>
    <row r="2873" spans="1:7" x14ac:dyDescent="0.25">
      <c r="A2873" s="24" t="s">
        <v>355</v>
      </c>
      <c r="B2873" s="24" t="s">
        <v>29</v>
      </c>
      <c r="C2873" s="24" t="s">
        <v>5</v>
      </c>
      <c r="D2873" s="24">
        <v>0</v>
      </c>
      <c r="E2873" s="24" t="s">
        <v>799</v>
      </c>
      <c r="F2873" s="24" t="s">
        <v>959</v>
      </c>
      <c r="G2873" s="24">
        <v>169703</v>
      </c>
    </row>
    <row r="2874" spans="1:7" x14ac:dyDescent="0.25">
      <c r="A2874" s="24" t="s">
        <v>355</v>
      </c>
      <c r="B2874" s="24" t="s">
        <v>58</v>
      </c>
      <c r="C2874" s="24" t="s">
        <v>5</v>
      </c>
      <c r="D2874" s="24">
        <v>0</v>
      </c>
      <c r="E2874" s="24" t="s">
        <v>795</v>
      </c>
      <c r="F2874" s="24"/>
      <c r="G2874" s="24"/>
    </row>
    <row r="2875" spans="1:7" x14ac:dyDescent="0.25">
      <c r="A2875" s="24" t="s">
        <v>356</v>
      </c>
      <c r="B2875" s="24" t="s">
        <v>23</v>
      </c>
      <c r="C2875" s="24" t="s">
        <v>5</v>
      </c>
      <c r="D2875" s="24">
        <v>0.2</v>
      </c>
      <c r="E2875" s="24" t="s">
        <v>796</v>
      </c>
      <c r="F2875" s="24" t="s">
        <v>960</v>
      </c>
      <c r="G2875" s="24">
        <v>169704</v>
      </c>
    </row>
    <row r="2876" spans="1:7" x14ac:dyDescent="0.25">
      <c r="A2876" s="24" t="s">
        <v>356</v>
      </c>
      <c r="B2876" s="24" t="s">
        <v>29</v>
      </c>
      <c r="C2876" s="24" t="s">
        <v>5</v>
      </c>
      <c r="D2876" s="24">
        <v>0</v>
      </c>
      <c r="E2876" s="24" t="s">
        <v>799</v>
      </c>
      <c r="F2876" s="24" t="s">
        <v>960</v>
      </c>
      <c r="G2876" s="24">
        <v>169704</v>
      </c>
    </row>
    <row r="2877" spans="1:7" x14ac:dyDescent="0.25">
      <c r="A2877" s="24" t="s">
        <v>356</v>
      </c>
      <c r="B2877" s="24" t="s">
        <v>37</v>
      </c>
      <c r="C2877" s="24" t="s">
        <v>38</v>
      </c>
      <c r="D2877" s="24">
        <v>0.2</v>
      </c>
      <c r="E2877" s="24" t="s">
        <v>796</v>
      </c>
      <c r="F2877" s="24" t="s">
        <v>960</v>
      </c>
      <c r="G2877" s="24">
        <v>169704</v>
      </c>
    </row>
    <row r="2878" spans="1:7" x14ac:dyDescent="0.25">
      <c r="A2878" s="24" t="s">
        <v>356</v>
      </c>
      <c r="B2878" s="24" t="s">
        <v>39</v>
      </c>
      <c r="C2878" s="24" t="s">
        <v>36</v>
      </c>
      <c r="D2878" s="24">
        <v>0.2</v>
      </c>
      <c r="E2878" s="24" t="s">
        <v>796</v>
      </c>
      <c r="F2878" s="24" t="s">
        <v>960</v>
      </c>
      <c r="G2878" s="24">
        <v>169704</v>
      </c>
    </row>
    <row r="2879" spans="1:7" x14ac:dyDescent="0.25">
      <c r="A2879" s="24" t="s">
        <v>356</v>
      </c>
      <c r="B2879" s="24" t="s">
        <v>57</v>
      </c>
      <c r="C2879" s="24" t="s">
        <v>36</v>
      </c>
      <c r="D2879" s="24">
        <v>5.3</v>
      </c>
      <c r="E2879" s="24" t="s">
        <v>796</v>
      </c>
      <c r="F2879" s="24" t="s">
        <v>960</v>
      </c>
      <c r="G2879" s="24">
        <v>169704</v>
      </c>
    </row>
    <row r="2880" spans="1:7" x14ac:dyDescent="0.25">
      <c r="A2880" s="24" t="s">
        <v>356</v>
      </c>
      <c r="B2880" s="24" t="s">
        <v>58</v>
      </c>
      <c r="C2880" s="24" t="s">
        <v>5</v>
      </c>
      <c r="D2880" s="24">
        <v>0</v>
      </c>
      <c r="E2880" s="24" t="s">
        <v>795</v>
      </c>
      <c r="F2880" s="24"/>
      <c r="G2880" s="24"/>
    </row>
    <row r="2881" spans="1:7" x14ac:dyDescent="0.25">
      <c r="A2881" s="24" t="s">
        <v>357</v>
      </c>
      <c r="B2881" s="24" t="s">
        <v>58</v>
      </c>
      <c r="C2881" s="24" t="s">
        <v>5</v>
      </c>
      <c r="D2881" s="24">
        <v>0</v>
      </c>
      <c r="E2881" s="24" t="s">
        <v>795</v>
      </c>
      <c r="F2881" s="24"/>
      <c r="G2881" s="24"/>
    </row>
    <row r="2882" spans="1:7" x14ac:dyDescent="0.25">
      <c r="A2882" s="24" t="s">
        <v>358</v>
      </c>
      <c r="B2882" s="24" t="s">
        <v>29</v>
      </c>
      <c r="C2882" s="24" t="s">
        <v>5</v>
      </c>
      <c r="D2882" s="24">
        <v>0</v>
      </c>
      <c r="E2882" s="24" t="s">
        <v>799</v>
      </c>
      <c r="F2882" s="24" t="s">
        <v>961</v>
      </c>
      <c r="G2882" s="24">
        <v>169999</v>
      </c>
    </row>
    <row r="2883" spans="1:7" x14ac:dyDescent="0.25">
      <c r="A2883" s="24" t="s">
        <v>358</v>
      </c>
      <c r="B2883" s="24" t="s">
        <v>58</v>
      </c>
      <c r="C2883" s="24" t="s">
        <v>5</v>
      </c>
      <c r="D2883" s="24">
        <v>0</v>
      </c>
      <c r="E2883" s="24" t="s">
        <v>795</v>
      </c>
      <c r="F2883" s="24"/>
      <c r="G2883" s="24"/>
    </row>
    <row r="2884" spans="1:7" x14ac:dyDescent="0.25">
      <c r="A2884" s="24" t="s">
        <v>359</v>
      </c>
      <c r="B2884" s="24" t="s">
        <v>29</v>
      </c>
      <c r="C2884" s="24" t="s">
        <v>5</v>
      </c>
      <c r="D2884" s="24">
        <v>0</v>
      </c>
      <c r="E2884" s="24" t="s">
        <v>799</v>
      </c>
      <c r="F2884" s="24" t="s">
        <v>962</v>
      </c>
      <c r="G2884" s="24">
        <v>168398</v>
      </c>
    </row>
    <row r="2885" spans="1:7" x14ac:dyDescent="0.25">
      <c r="A2885" s="24" t="s">
        <v>359</v>
      </c>
      <c r="B2885" s="24" t="s">
        <v>58</v>
      </c>
      <c r="C2885" s="24" t="s">
        <v>5</v>
      </c>
      <c r="D2885" s="24">
        <v>0</v>
      </c>
      <c r="E2885" s="24" t="s">
        <v>795</v>
      </c>
      <c r="F2885" s="24"/>
      <c r="G2885" s="24"/>
    </row>
    <row r="2886" spans="1:7" x14ac:dyDescent="0.25">
      <c r="A2886" s="24" t="s">
        <v>360</v>
      </c>
      <c r="B2886" s="24" t="s">
        <v>29</v>
      </c>
      <c r="C2886" s="24" t="s">
        <v>5</v>
      </c>
      <c r="D2886" s="24">
        <v>0</v>
      </c>
      <c r="E2886" s="24" t="s">
        <v>799</v>
      </c>
      <c r="F2886" s="24" t="s">
        <v>963</v>
      </c>
      <c r="G2886" s="24">
        <v>169998</v>
      </c>
    </row>
    <row r="2887" spans="1:7" x14ac:dyDescent="0.25">
      <c r="A2887" s="24" t="s">
        <v>360</v>
      </c>
      <c r="B2887" s="24" t="s">
        <v>58</v>
      </c>
      <c r="C2887" s="24" t="s">
        <v>5</v>
      </c>
      <c r="D2887" s="24">
        <v>0</v>
      </c>
      <c r="E2887" s="24" t="s">
        <v>795</v>
      </c>
      <c r="F2887" s="24"/>
      <c r="G2887" s="24"/>
    </row>
    <row r="2888" spans="1:7" x14ac:dyDescent="0.25">
      <c r="A2888" s="24" t="s">
        <v>361</v>
      </c>
      <c r="B2888" s="24" t="s">
        <v>20</v>
      </c>
      <c r="C2888" s="24" t="s">
        <v>5</v>
      </c>
      <c r="D2888" s="24">
        <v>0.5</v>
      </c>
      <c r="E2888" s="24" t="s">
        <v>796</v>
      </c>
      <c r="F2888" s="24" t="s">
        <v>964</v>
      </c>
      <c r="G2888" s="24">
        <v>170287</v>
      </c>
    </row>
    <row r="2889" spans="1:7" x14ac:dyDescent="0.25">
      <c r="A2889" s="24" t="s">
        <v>361</v>
      </c>
      <c r="B2889" s="24" t="s">
        <v>22</v>
      </c>
      <c r="C2889" s="24" t="s">
        <v>5</v>
      </c>
      <c r="D2889" s="24">
        <v>29.2</v>
      </c>
      <c r="E2889" s="24" t="s">
        <v>796</v>
      </c>
      <c r="F2889" s="24" t="s">
        <v>964</v>
      </c>
      <c r="G2889" s="24">
        <v>170287</v>
      </c>
    </row>
    <row r="2890" spans="1:7" x14ac:dyDescent="0.25">
      <c r="A2890" s="24" t="s">
        <v>361</v>
      </c>
      <c r="B2890" s="24" t="s">
        <v>23</v>
      </c>
      <c r="C2890" s="24" t="s">
        <v>5</v>
      </c>
      <c r="D2890" s="24">
        <v>0.2</v>
      </c>
      <c r="E2890" s="24" t="s">
        <v>796</v>
      </c>
      <c r="F2890" s="24" t="s">
        <v>964</v>
      </c>
      <c r="G2890" s="24">
        <v>170287</v>
      </c>
    </row>
    <row r="2891" spans="1:7" x14ac:dyDescent="0.25">
      <c r="A2891" s="24" t="s">
        <v>361</v>
      </c>
      <c r="B2891" s="24" t="s">
        <v>35</v>
      </c>
      <c r="C2891" s="24" t="s">
        <v>36</v>
      </c>
      <c r="D2891" s="24">
        <v>0</v>
      </c>
      <c r="E2891" s="24" t="s">
        <v>796</v>
      </c>
      <c r="F2891" s="24" t="s">
        <v>964</v>
      </c>
      <c r="G2891" s="24">
        <v>170287</v>
      </c>
    </row>
    <row r="2892" spans="1:7" x14ac:dyDescent="0.25">
      <c r="A2892" s="24" t="s">
        <v>361</v>
      </c>
      <c r="B2892" s="24" t="s">
        <v>39</v>
      </c>
      <c r="C2892" s="24" t="s">
        <v>36</v>
      </c>
      <c r="D2892" s="24">
        <v>0.8</v>
      </c>
      <c r="E2892" s="24" t="s">
        <v>796</v>
      </c>
      <c r="F2892" s="24" t="s">
        <v>964</v>
      </c>
      <c r="G2892" s="24">
        <v>170287</v>
      </c>
    </row>
    <row r="2893" spans="1:7" x14ac:dyDescent="0.25">
      <c r="A2893" s="24" t="s">
        <v>361</v>
      </c>
      <c r="B2893" s="24" t="s">
        <v>58</v>
      </c>
      <c r="C2893" s="24" t="s">
        <v>5</v>
      </c>
      <c r="D2893" s="24">
        <v>0</v>
      </c>
      <c r="E2893" s="24" t="s">
        <v>795</v>
      </c>
      <c r="F2893" s="24"/>
      <c r="G2893" s="24"/>
    </row>
    <row r="2894" spans="1:7" x14ac:dyDescent="0.25">
      <c r="A2894" s="24" t="s">
        <v>362</v>
      </c>
      <c r="B2894" s="24" t="s">
        <v>20</v>
      </c>
      <c r="C2894" s="24" t="s">
        <v>5</v>
      </c>
      <c r="D2894" s="24">
        <v>1.6</v>
      </c>
      <c r="E2894" s="24" t="s">
        <v>796</v>
      </c>
      <c r="F2894" s="24" t="s">
        <v>965</v>
      </c>
      <c r="G2894" s="24">
        <v>168890</v>
      </c>
    </row>
    <row r="2895" spans="1:7" x14ac:dyDescent="0.25">
      <c r="A2895" s="24" t="s">
        <v>362</v>
      </c>
      <c r="B2895" s="24" t="s">
        <v>24</v>
      </c>
      <c r="C2895" s="24" t="s">
        <v>5</v>
      </c>
      <c r="D2895" s="24">
        <v>12.2</v>
      </c>
      <c r="E2895" s="24" t="s">
        <v>801</v>
      </c>
      <c r="F2895" s="24" t="s">
        <v>965</v>
      </c>
      <c r="G2895" s="24">
        <v>168890</v>
      </c>
    </row>
    <row r="2896" spans="1:7" x14ac:dyDescent="0.25">
      <c r="A2896" s="24" t="s">
        <v>362</v>
      </c>
      <c r="B2896" s="24" t="s">
        <v>26</v>
      </c>
      <c r="C2896" s="24" t="s">
        <v>5</v>
      </c>
      <c r="D2896" s="24">
        <v>0.35</v>
      </c>
      <c r="E2896" s="24" t="s">
        <v>799</v>
      </c>
      <c r="F2896" s="24" t="s">
        <v>965</v>
      </c>
      <c r="G2896" s="24">
        <v>168890</v>
      </c>
    </row>
    <row r="2897" spans="1:7" x14ac:dyDescent="0.25">
      <c r="A2897" s="24" t="s">
        <v>362</v>
      </c>
      <c r="B2897" s="24" t="s">
        <v>27</v>
      </c>
      <c r="C2897" s="24" t="s">
        <v>5</v>
      </c>
      <c r="D2897" s="24">
        <v>0.26</v>
      </c>
      <c r="E2897" s="24" t="s">
        <v>799</v>
      </c>
      <c r="F2897" s="24" t="s">
        <v>965</v>
      </c>
      <c r="G2897" s="24">
        <v>168890</v>
      </c>
    </row>
    <row r="2898" spans="1:7" x14ac:dyDescent="0.25">
      <c r="A2898" s="24" t="s">
        <v>362</v>
      </c>
      <c r="B2898" s="24" t="s">
        <v>28</v>
      </c>
      <c r="C2898" s="24" t="s">
        <v>5</v>
      </c>
      <c r="D2898" s="24">
        <v>0.81</v>
      </c>
      <c r="E2898" s="24" t="s">
        <v>799</v>
      </c>
      <c r="F2898" s="24" t="s">
        <v>965</v>
      </c>
      <c r="G2898" s="24">
        <v>168890</v>
      </c>
    </row>
    <row r="2899" spans="1:7" x14ac:dyDescent="0.25">
      <c r="A2899" s="24" t="s">
        <v>362</v>
      </c>
      <c r="B2899" s="24" t="s">
        <v>30</v>
      </c>
      <c r="C2899" s="24" t="s">
        <v>31</v>
      </c>
      <c r="D2899" s="24">
        <v>0</v>
      </c>
      <c r="E2899" s="24" t="s">
        <v>801</v>
      </c>
      <c r="F2899" s="24" t="s">
        <v>965</v>
      </c>
      <c r="G2899" s="24">
        <v>168890</v>
      </c>
    </row>
    <row r="2900" spans="1:7" x14ac:dyDescent="0.25">
      <c r="A2900" s="24" t="s">
        <v>362</v>
      </c>
      <c r="B2900" s="24" t="s">
        <v>32</v>
      </c>
      <c r="C2900" s="24" t="s">
        <v>33</v>
      </c>
      <c r="D2900" s="24">
        <v>0</v>
      </c>
      <c r="E2900" s="24" t="s">
        <v>801</v>
      </c>
      <c r="F2900" s="24" t="s">
        <v>965</v>
      </c>
      <c r="G2900" s="24">
        <v>168890</v>
      </c>
    </row>
    <row r="2901" spans="1:7" x14ac:dyDescent="0.25">
      <c r="A2901" s="24" t="s">
        <v>362</v>
      </c>
      <c r="B2901" s="24" t="s">
        <v>34</v>
      </c>
      <c r="C2901" s="24" t="s">
        <v>31</v>
      </c>
      <c r="D2901" s="24">
        <v>0</v>
      </c>
      <c r="E2901" s="24" t="s">
        <v>801</v>
      </c>
      <c r="F2901" s="24" t="s">
        <v>965</v>
      </c>
      <c r="G2901" s="24">
        <v>168890</v>
      </c>
    </row>
    <row r="2902" spans="1:7" x14ac:dyDescent="0.25">
      <c r="A2902" s="24" t="s">
        <v>362</v>
      </c>
      <c r="B2902" s="24" t="s">
        <v>35</v>
      </c>
      <c r="C2902" s="24" t="s">
        <v>36</v>
      </c>
      <c r="D2902" s="24">
        <v>0</v>
      </c>
      <c r="E2902" s="24" t="s">
        <v>801</v>
      </c>
      <c r="F2902" s="24" t="s">
        <v>965</v>
      </c>
      <c r="G2902" s="24">
        <v>168890</v>
      </c>
    </row>
    <row r="2903" spans="1:7" x14ac:dyDescent="0.25">
      <c r="A2903" s="24" t="s">
        <v>362</v>
      </c>
      <c r="B2903" s="24" t="s">
        <v>37</v>
      </c>
      <c r="C2903" s="24" t="s">
        <v>38</v>
      </c>
      <c r="D2903" s="24">
        <v>1</v>
      </c>
      <c r="E2903" s="24" t="s">
        <v>801</v>
      </c>
      <c r="F2903" s="24" t="s">
        <v>965</v>
      </c>
      <c r="G2903" s="24">
        <v>168890</v>
      </c>
    </row>
    <row r="2904" spans="1:7" x14ac:dyDescent="0.25">
      <c r="A2904" s="24" t="s">
        <v>362</v>
      </c>
      <c r="B2904" s="24" t="s">
        <v>39</v>
      </c>
      <c r="C2904" s="24" t="s">
        <v>36</v>
      </c>
      <c r="D2904" s="24">
        <v>1.9</v>
      </c>
      <c r="E2904" s="24" t="s">
        <v>801</v>
      </c>
      <c r="F2904" s="24" t="s">
        <v>965</v>
      </c>
      <c r="G2904" s="24">
        <v>168890</v>
      </c>
    </row>
    <row r="2905" spans="1:7" x14ac:dyDescent="0.25">
      <c r="A2905" s="24" t="s">
        <v>362</v>
      </c>
      <c r="B2905" s="24" t="s">
        <v>40</v>
      </c>
      <c r="C2905" s="24" t="s">
        <v>31</v>
      </c>
      <c r="D2905" s="24">
        <v>0.4</v>
      </c>
      <c r="E2905" s="24" t="s">
        <v>801</v>
      </c>
      <c r="F2905" s="24" t="s">
        <v>965</v>
      </c>
      <c r="G2905" s="24">
        <v>168890</v>
      </c>
    </row>
    <row r="2906" spans="1:7" x14ac:dyDescent="0.25">
      <c r="A2906" s="24" t="s">
        <v>362</v>
      </c>
      <c r="B2906" s="24" t="s">
        <v>41</v>
      </c>
      <c r="C2906" s="24" t="s">
        <v>31</v>
      </c>
      <c r="D2906" s="24">
        <v>0.1</v>
      </c>
      <c r="E2906" s="24" t="s">
        <v>801</v>
      </c>
      <c r="F2906" s="24" t="s">
        <v>965</v>
      </c>
      <c r="G2906" s="24">
        <v>168890</v>
      </c>
    </row>
    <row r="2907" spans="1:7" x14ac:dyDescent="0.25">
      <c r="A2907" s="24" t="s">
        <v>362</v>
      </c>
      <c r="B2907" s="24" t="s">
        <v>42</v>
      </c>
      <c r="C2907" s="24" t="s">
        <v>43</v>
      </c>
      <c r="D2907" s="24">
        <v>5.5</v>
      </c>
      <c r="E2907" s="24" t="s">
        <v>801</v>
      </c>
      <c r="F2907" s="24" t="s">
        <v>965</v>
      </c>
      <c r="G2907" s="24">
        <v>168890</v>
      </c>
    </row>
    <row r="2908" spans="1:7" x14ac:dyDescent="0.25">
      <c r="A2908" s="24" t="s">
        <v>362</v>
      </c>
      <c r="B2908" s="24" t="s">
        <v>44</v>
      </c>
      <c r="C2908" s="24" t="s">
        <v>31</v>
      </c>
      <c r="D2908" s="24">
        <v>0.3</v>
      </c>
      <c r="E2908" s="24" t="s">
        <v>801</v>
      </c>
      <c r="F2908" s="24" t="s">
        <v>965</v>
      </c>
      <c r="G2908" s="24">
        <v>168890</v>
      </c>
    </row>
    <row r="2909" spans="1:7" x14ac:dyDescent="0.25">
      <c r="A2909" s="24" t="s">
        <v>362</v>
      </c>
      <c r="B2909" s="24" t="s">
        <v>45</v>
      </c>
      <c r="C2909" s="24" t="s">
        <v>31</v>
      </c>
      <c r="D2909" s="24">
        <v>1</v>
      </c>
      <c r="E2909" s="24" t="s">
        <v>801</v>
      </c>
      <c r="F2909" s="24" t="s">
        <v>965</v>
      </c>
      <c r="G2909" s="24">
        <v>168890</v>
      </c>
    </row>
    <row r="2910" spans="1:7" x14ac:dyDescent="0.25">
      <c r="A2910" s="24" t="s">
        <v>362</v>
      </c>
      <c r="B2910" s="24" t="s">
        <v>46</v>
      </c>
      <c r="C2910" s="24" t="s">
        <v>36</v>
      </c>
      <c r="D2910" s="24">
        <v>0</v>
      </c>
      <c r="E2910" s="24" t="s">
        <v>801</v>
      </c>
      <c r="F2910" s="24" t="s">
        <v>965</v>
      </c>
      <c r="G2910" s="24">
        <v>168890</v>
      </c>
    </row>
    <row r="2911" spans="1:7" x14ac:dyDescent="0.25">
      <c r="A2911" s="24" t="s">
        <v>362</v>
      </c>
      <c r="B2911" s="24" t="s">
        <v>47</v>
      </c>
      <c r="C2911" s="24" t="s">
        <v>48</v>
      </c>
      <c r="D2911" s="24">
        <v>38</v>
      </c>
      <c r="E2911" s="24" t="s">
        <v>801</v>
      </c>
      <c r="F2911" s="24" t="s">
        <v>965</v>
      </c>
      <c r="G2911" s="24">
        <v>168890</v>
      </c>
    </row>
    <row r="2912" spans="1:7" x14ac:dyDescent="0.25">
      <c r="A2912" s="24" t="s">
        <v>362</v>
      </c>
      <c r="B2912" s="24" t="s">
        <v>50</v>
      </c>
      <c r="C2912" s="24" t="s">
        <v>31</v>
      </c>
      <c r="D2912" s="24">
        <v>363</v>
      </c>
      <c r="E2912" s="24" t="s">
        <v>801</v>
      </c>
      <c r="F2912" s="24" t="s">
        <v>965</v>
      </c>
      <c r="G2912" s="24">
        <v>168890</v>
      </c>
    </row>
    <row r="2913" spans="1:7" x14ac:dyDescent="0.25">
      <c r="A2913" s="24" t="s">
        <v>362</v>
      </c>
      <c r="B2913" s="24" t="s">
        <v>51</v>
      </c>
      <c r="C2913" s="24" t="s">
        <v>31</v>
      </c>
      <c r="D2913" s="24">
        <v>29</v>
      </c>
      <c r="E2913" s="24" t="s">
        <v>801</v>
      </c>
      <c r="F2913" s="24" t="s">
        <v>965</v>
      </c>
      <c r="G2913" s="24">
        <v>168890</v>
      </c>
    </row>
    <row r="2914" spans="1:7" x14ac:dyDescent="0.25">
      <c r="A2914" s="24" t="s">
        <v>362</v>
      </c>
      <c r="B2914" s="24" t="s">
        <v>52</v>
      </c>
      <c r="C2914" s="24" t="s">
        <v>31</v>
      </c>
      <c r="D2914" s="24">
        <v>288</v>
      </c>
      <c r="E2914" s="24" t="s">
        <v>801</v>
      </c>
      <c r="F2914" s="24" t="s">
        <v>965</v>
      </c>
      <c r="G2914" s="24">
        <v>168890</v>
      </c>
    </row>
    <row r="2915" spans="1:7" x14ac:dyDescent="0.25">
      <c r="A2915" s="24" t="s">
        <v>362</v>
      </c>
      <c r="B2915" s="24" t="s">
        <v>53</v>
      </c>
      <c r="C2915" s="24" t="s">
        <v>31</v>
      </c>
      <c r="D2915" s="24">
        <v>126</v>
      </c>
      <c r="E2915" s="24" t="s">
        <v>801</v>
      </c>
      <c r="F2915" s="24" t="s">
        <v>965</v>
      </c>
      <c r="G2915" s="24">
        <v>168890</v>
      </c>
    </row>
    <row r="2916" spans="1:7" x14ac:dyDescent="0.25">
      <c r="A2916" s="24" t="s">
        <v>362</v>
      </c>
      <c r="B2916" s="24" t="s">
        <v>54</v>
      </c>
      <c r="C2916" s="24" t="s">
        <v>31</v>
      </c>
      <c r="D2916" s="24">
        <v>3.2</v>
      </c>
      <c r="E2916" s="24" t="s">
        <v>801</v>
      </c>
      <c r="F2916" s="24" t="s">
        <v>965</v>
      </c>
      <c r="G2916" s="24">
        <v>168890</v>
      </c>
    </row>
    <row r="2917" spans="1:7" x14ac:dyDescent="0.25">
      <c r="A2917" s="24" t="s">
        <v>362</v>
      </c>
      <c r="B2917" s="24" t="s">
        <v>55</v>
      </c>
      <c r="C2917" s="24" t="s">
        <v>31</v>
      </c>
      <c r="D2917" s="24">
        <v>2.6</v>
      </c>
      <c r="E2917" s="24" t="s">
        <v>801</v>
      </c>
      <c r="F2917" s="24" t="s">
        <v>965</v>
      </c>
      <c r="G2917" s="24">
        <v>168890</v>
      </c>
    </row>
    <row r="2918" spans="1:7" x14ac:dyDescent="0.25">
      <c r="A2918" s="24" t="s">
        <v>362</v>
      </c>
      <c r="B2918" s="24" t="s">
        <v>56</v>
      </c>
      <c r="C2918" s="24" t="s">
        <v>31</v>
      </c>
      <c r="D2918" s="24">
        <v>0.4</v>
      </c>
      <c r="E2918" s="24" t="s">
        <v>801</v>
      </c>
      <c r="F2918" s="24" t="s">
        <v>965</v>
      </c>
      <c r="G2918" s="24">
        <v>168890</v>
      </c>
    </row>
    <row r="2919" spans="1:7" x14ac:dyDescent="0.25">
      <c r="A2919" s="24" t="s">
        <v>362</v>
      </c>
      <c r="B2919" s="24" t="s">
        <v>57</v>
      </c>
      <c r="C2919" s="24" t="s">
        <v>36</v>
      </c>
      <c r="D2919" s="24">
        <v>70.7</v>
      </c>
      <c r="E2919" s="24" t="s">
        <v>801</v>
      </c>
      <c r="F2919" s="24" t="s">
        <v>965</v>
      </c>
      <c r="G2919" s="24">
        <v>168890</v>
      </c>
    </row>
    <row r="2920" spans="1:7" x14ac:dyDescent="0.25">
      <c r="A2920" s="24" t="s">
        <v>362</v>
      </c>
      <c r="B2920" s="24" t="s">
        <v>58</v>
      </c>
      <c r="C2920" s="24" t="s">
        <v>5</v>
      </c>
      <c r="D2920" s="24">
        <v>0</v>
      </c>
      <c r="E2920" s="24" t="s">
        <v>795</v>
      </c>
      <c r="F2920" s="24"/>
      <c r="G2920" s="24"/>
    </row>
    <row r="2921" spans="1:7" x14ac:dyDescent="0.25">
      <c r="A2921" s="24" t="s">
        <v>362</v>
      </c>
      <c r="B2921" s="24" t="s">
        <v>18</v>
      </c>
      <c r="C2921" s="24" t="s">
        <v>5</v>
      </c>
      <c r="D2921" s="24">
        <v>0.1</v>
      </c>
      <c r="E2921" s="24" t="s">
        <v>803</v>
      </c>
      <c r="F2921" s="24"/>
      <c r="G2921" s="24"/>
    </row>
    <row r="2922" spans="1:7" x14ac:dyDescent="0.25">
      <c r="A2922" s="24" t="s">
        <v>363</v>
      </c>
      <c r="B2922" s="24" t="s">
        <v>58</v>
      </c>
      <c r="C2922" s="24" t="s">
        <v>5</v>
      </c>
      <c r="D2922" s="24">
        <v>0</v>
      </c>
      <c r="E2922" s="24" t="s">
        <v>795</v>
      </c>
      <c r="F2922" s="24"/>
      <c r="G2922" s="24"/>
    </row>
    <row r="2923" spans="1:7" x14ac:dyDescent="0.25">
      <c r="A2923" s="24" t="s">
        <v>364</v>
      </c>
      <c r="B2923" s="24" t="s">
        <v>30</v>
      </c>
      <c r="C2923" s="24" t="s">
        <v>31</v>
      </c>
      <c r="D2923" s="24">
        <v>0</v>
      </c>
      <c r="E2923" s="24" t="s">
        <v>801</v>
      </c>
      <c r="F2923" s="24" t="s">
        <v>966</v>
      </c>
      <c r="G2923" s="24">
        <v>168874</v>
      </c>
    </row>
    <row r="2924" spans="1:7" x14ac:dyDescent="0.25">
      <c r="A2924" s="24" t="s">
        <v>364</v>
      </c>
      <c r="B2924" s="24" t="s">
        <v>32</v>
      </c>
      <c r="C2924" s="24" t="s">
        <v>33</v>
      </c>
      <c r="D2924" s="24">
        <v>1</v>
      </c>
      <c r="E2924" s="24" t="s">
        <v>796</v>
      </c>
      <c r="F2924" s="24" t="s">
        <v>966</v>
      </c>
      <c r="G2924" s="24">
        <v>168874</v>
      </c>
    </row>
    <row r="2925" spans="1:7" x14ac:dyDescent="0.25">
      <c r="A2925" s="24" t="s">
        <v>364</v>
      </c>
      <c r="B2925" s="24" t="s">
        <v>35</v>
      </c>
      <c r="C2925" s="24" t="s">
        <v>36</v>
      </c>
      <c r="D2925" s="24">
        <v>0</v>
      </c>
      <c r="E2925" s="24" t="s">
        <v>796</v>
      </c>
      <c r="F2925" s="24" t="s">
        <v>966</v>
      </c>
      <c r="G2925" s="24">
        <v>168874</v>
      </c>
    </row>
    <row r="2926" spans="1:7" x14ac:dyDescent="0.25">
      <c r="A2926" s="24" t="s">
        <v>364</v>
      </c>
      <c r="B2926" s="24" t="s">
        <v>37</v>
      </c>
      <c r="C2926" s="24" t="s">
        <v>38</v>
      </c>
      <c r="D2926" s="24">
        <v>2.5</v>
      </c>
      <c r="E2926" s="24" t="s">
        <v>796</v>
      </c>
      <c r="F2926" s="24" t="s">
        <v>966</v>
      </c>
      <c r="G2926" s="24">
        <v>168874</v>
      </c>
    </row>
    <row r="2927" spans="1:7" x14ac:dyDescent="0.25">
      <c r="A2927" s="24" t="s">
        <v>364</v>
      </c>
      <c r="B2927" s="24" t="s">
        <v>39</v>
      </c>
      <c r="C2927" s="24" t="s">
        <v>36</v>
      </c>
      <c r="D2927" s="24">
        <v>0</v>
      </c>
      <c r="E2927" s="24" t="s">
        <v>796</v>
      </c>
      <c r="F2927" s="24" t="s">
        <v>966</v>
      </c>
      <c r="G2927" s="24">
        <v>168874</v>
      </c>
    </row>
    <row r="2928" spans="1:7" x14ac:dyDescent="0.25">
      <c r="A2928" s="24" t="s">
        <v>364</v>
      </c>
      <c r="B2928" s="24" t="s">
        <v>40</v>
      </c>
      <c r="C2928" s="24" t="s">
        <v>31</v>
      </c>
      <c r="D2928" s="24">
        <v>0.4</v>
      </c>
      <c r="E2928" s="24" t="s">
        <v>796</v>
      </c>
      <c r="F2928" s="24" t="s">
        <v>966</v>
      </c>
      <c r="G2928" s="24">
        <v>168874</v>
      </c>
    </row>
    <row r="2929" spans="1:7" x14ac:dyDescent="0.25">
      <c r="A2929" s="24" t="s">
        <v>364</v>
      </c>
      <c r="B2929" s="24" t="s">
        <v>41</v>
      </c>
      <c r="C2929" s="24" t="s">
        <v>31</v>
      </c>
      <c r="D2929" s="24">
        <v>0.3</v>
      </c>
      <c r="E2929" s="24" t="s">
        <v>796</v>
      </c>
      <c r="F2929" s="24" t="s">
        <v>966</v>
      </c>
      <c r="G2929" s="24">
        <v>168874</v>
      </c>
    </row>
    <row r="2930" spans="1:7" x14ac:dyDescent="0.25">
      <c r="A2930" s="24" t="s">
        <v>364</v>
      </c>
      <c r="B2930" s="24" t="s">
        <v>42</v>
      </c>
      <c r="C2930" s="24" t="s">
        <v>43</v>
      </c>
      <c r="D2930" s="24">
        <v>1.6</v>
      </c>
      <c r="E2930" s="24" t="s">
        <v>796</v>
      </c>
      <c r="F2930" s="24" t="s">
        <v>966</v>
      </c>
      <c r="G2930" s="24">
        <v>168874</v>
      </c>
    </row>
    <row r="2931" spans="1:7" x14ac:dyDescent="0.25">
      <c r="A2931" s="24" t="s">
        <v>364</v>
      </c>
      <c r="B2931" s="24" t="s">
        <v>44</v>
      </c>
      <c r="C2931" s="24" t="s">
        <v>31</v>
      </c>
      <c r="D2931" s="24">
        <v>0.5</v>
      </c>
      <c r="E2931" s="24" t="s">
        <v>796</v>
      </c>
      <c r="F2931" s="24" t="s">
        <v>966</v>
      </c>
      <c r="G2931" s="24">
        <v>168874</v>
      </c>
    </row>
    <row r="2932" spans="1:7" x14ac:dyDescent="0.25">
      <c r="A2932" s="24" t="s">
        <v>364</v>
      </c>
      <c r="B2932" s="24" t="s">
        <v>45</v>
      </c>
      <c r="C2932" s="24" t="s">
        <v>31</v>
      </c>
      <c r="D2932" s="24">
        <v>0.8</v>
      </c>
      <c r="E2932" s="24" t="s">
        <v>796</v>
      </c>
      <c r="F2932" s="24" t="s">
        <v>966</v>
      </c>
      <c r="G2932" s="24">
        <v>168874</v>
      </c>
    </row>
    <row r="2933" spans="1:7" x14ac:dyDescent="0.25">
      <c r="A2933" s="24" t="s">
        <v>364</v>
      </c>
      <c r="B2933" s="24" t="s">
        <v>46</v>
      </c>
      <c r="C2933" s="24" t="s">
        <v>36</v>
      </c>
      <c r="D2933" s="24">
        <v>0</v>
      </c>
      <c r="E2933" s="24" t="s">
        <v>796</v>
      </c>
      <c r="F2933" s="24" t="s">
        <v>966</v>
      </c>
      <c r="G2933" s="24">
        <v>168874</v>
      </c>
    </row>
    <row r="2934" spans="1:7" x14ac:dyDescent="0.25">
      <c r="A2934" s="24" t="s">
        <v>364</v>
      </c>
      <c r="B2934" s="24" t="s">
        <v>47</v>
      </c>
      <c r="C2934" s="24" t="s">
        <v>48</v>
      </c>
      <c r="D2934" s="24">
        <v>190.1</v>
      </c>
      <c r="E2934" s="24" t="s">
        <v>796</v>
      </c>
      <c r="F2934" s="24" t="s">
        <v>966</v>
      </c>
      <c r="G2934" s="24">
        <v>168874</v>
      </c>
    </row>
    <row r="2935" spans="1:7" x14ac:dyDescent="0.25">
      <c r="A2935" s="24" t="s">
        <v>364</v>
      </c>
      <c r="B2935" s="24" t="s">
        <v>52</v>
      </c>
      <c r="C2935" s="24" t="s">
        <v>31</v>
      </c>
      <c r="D2935" s="24">
        <v>472.2</v>
      </c>
      <c r="E2935" s="24" t="s">
        <v>796</v>
      </c>
      <c r="F2935" s="24" t="s">
        <v>966</v>
      </c>
      <c r="G2935" s="24">
        <v>168874</v>
      </c>
    </row>
    <row r="2936" spans="1:7" x14ac:dyDescent="0.25">
      <c r="A2936" s="24" t="s">
        <v>364</v>
      </c>
      <c r="B2936" s="24" t="s">
        <v>56</v>
      </c>
      <c r="C2936" s="24" t="s">
        <v>31</v>
      </c>
      <c r="D2936" s="24">
        <v>0.6</v>
      </c>
      <c r="E2936" s="24" t="s">
        <v>796</v>
      </c>
      <c r="F2936" s="24" t="s">
        <v>966</v>
      </c>
      <c r="G2936" s="24">
        <v>168874</v>
      </c>
    </row>
    <row r="2937" spans="1:7" x14ac:dyDescent="0.25">
      <c r="A2937" s="24" t="s">
        <v>364</v>
      </c>
      <c r="B2937" s="24" t="s">
        <v>57</v>
      </c>
      <c r="C2937" s="24" t="s">
        <v>36</v>
      </c>
      <c r="D2937" s="24">
        <v>8.8000000000000007</v>
      </c>
      <c r="E2937" s="24" t="s">
        <v>796</v>
      </c>
      <c r="F2937" s="24" t="s">
        <v>966</v>
      </c>
      <c r="G2937" s="24">
        <v>168874</v>
      </c>
    </row>
    <row r="2938" spans="1:7" x14ac:dyDescent="0.25">
      <c r="A2938" s="24" t="s">
        <v>364</v>
      </c>
      <c r="B2938" s="24" t="s">
        <v>58</v>
      </c>
      <c r="C2938" s="24" t="s">
        <v>5</v>
      </c>
      <c r="D2938" s="24">
        <v>0</v>
      </c>
      <c r="E2938" s="24" t="s">
        <v>795</v>
      </c>
      <c r="F2938" s="24"/>
      <c r="G2938" s="24"/>
    </row>
    <row r="2939" spans="1:7" x14ac:dyDescent="0.25">
      <c r="A2939" s="24" t="s">
        <v>365</v>
      </c>
      <c r="B2939" s="24" t="s">
        <v>58</v>
      </c>
      <c r="C2939" s="24" t="s">
        <v>5</v>
      </c>
      <c r="D2939" s="24">
        <v>0</v>
      </c>
      <c r="E2939" s="24" t="s">
        <v>795</v>
      </c>
      <c r="F2939" s="24"/>
      <c r="G2939" s="24"/>
    </row>
    <row r="2940" spans="1:7" x14ac:dyDescent="0.25">
      <c r="A2940" s="24" t="s">
        <v>366</v>
      </c>
      <c r="B2940" s="24" t="s">
        <v>58</v>
      </c>
      <c r="C2940" s="24" t="s">
        <v>5</v>
      </c>
      <c r="D2940" s="24">
        <v>0</v>
      </c>
      <c r="E2940" s="24" t="s">
        <v>795</v>
      </c>
      <c r="F2940" s="24"/>
      <c r="G2940" s="24"/>
    </row>
    <row r="2941" spans="1:7" x14ac:dyDescent="0.25">
      <c r="A2941" s="24" t="s">
        <v>367</v>
      </c>
      <c r="B2941" s="24" t="s">
        <v>58</v>
      </c>
      <c r="C2941" s="24" t="s">
        <v>5</v>
      </c>
      <c r="D2941" s="24">
        <v>0</v>
      </c>
      <c r="E2941" s="24" t="s">
        <v>795</v>
      </c>
      <c r="F2941" s="24"/>
      <c r="G2941" s="24"/>
    </row>
    <row r="2942" spans="1:7" x14ac:dyDescent="0.25">
      <c r="A2942" s="24" t="s">
        <v>368</v>
      </c>
      <c r="B2942" s="24" t="s">
        <v>23</v>
      </c>
      <c r="C2942" s="24" t="s">
        <v>5</v>
      </c>
      <c r="D2942" s="24">
        <v>1</v>
      </c>
      <c r="E2942" s="24" t="s">
        <v>796</v>
      </c>
      <c r="F2942" s="24" t="s">
        <v>967</v>
      </c>
      <c r="G2942" s="24">
        <v>173904</v>
      </c>
    </row>
    <row r="2943" spans="1:7" x14ac:dyDescent="0.25">
      <c r="A2943" s="24" t="s">
        <v>368</v>
      </c>
      <c r="B2943" s="24" t="s">
        <v>37</v>
      </c>
      <c r="C2943" s="24" t="s">
        <v>38</v>
      </c>
      <c r="D2943" s="24">
        <v>0.4</v>
      </c>
      <c r="E2943" s="24" t="s">
        <v>796</v>
      </c>
      <c r="F2943" s="24" t="s">
        <v>967</v>
      </c>
      <c r="G2943" s="24">
        <v>173904</v>
      </c>
    </row>
    <row r="2944" spans="1:7" x14ac:dyDescent="0.25">
      <c r="A2944" s="24" t="s">
        <v>368</v>
      </c>
      <c r="B2944" s="24" t="s">
        <v>39</v>
      </c>
      <c r="C2944" s="24" t="s">
        <v>36</v>
      </c>
      <c r="D2944" s="24">
        <v>2.1</v>
      </c>
      <c r="E2944" s="24" t="s">
        <v>796</v>
      </c>
      <c r="F2944" s="24" t="s">
        <v>967</v>
      </c>
      <c r="G2944" s="24">
        <v>173904</v>
      </c>
    </row>
    <row r="2945" spans="1:7" x14ac:dyDescent="0.25">
      <c r="A2945" s="24" t="s">
        <v>368</v>
      </c>
      <c r="B2945" s="24" t="s">
        <v>57</v>
      </c>
      <c r="C2945" s="24" t="s">
        <v>36</v>
      </c>
      <c r="D2945" s="24">
        <v>29.8</v>
      </c>
      <c r="E2945" s="24" t="s">
        <v>796</v>
      </c>
      <c r="F2945" s="24" t="s">
        <v>967</v>
      </c>
      <c r="G2945" s="24">
        <v>173904</v>
      </c>
    </row>
    <row r="2946" spans="1:7" x14ac:dyDescent="0.25">
      <c r="A2946" s="24" t="s">
        <v>368</v>
      </c>
      <c r="B2946" s="24" t="s">
        <v>58</v>
      </c>
      <c r="C2946" s="24" t="s">
        <v>5</v>
      </c>
      <c r="D2946" s="24">
        <v>0</v>
      </c>
      <c r="E2946" s="24" t="s">
        <v>795</v>
      </c>
      <c r="F2946" s="24"/>
      <c r="G2946" s="24"/>
    </row>
    <row r="2947" spans="1:7" x14ac:dyDescent="0.25">
      <c r="A2947" s="24" t="s">
        <v>369</v>
      </c>
      <c r="B2947" s="24" t="s">
        <v>26</v>
      </c>
      <c r="C2947" s="24" t="s">
        <v>5</v>
      </c>
      <c r="D2947" s="24">
        <v>0.27</v>
      </c>
      <c r="E2947" s="24" t="s">
        <v>799</v>
      </c>
      <c r="F2947" s="24" t="s">
        <v>968</v>
      </c>
      <c r="G2947" s="24">
        <v>174648</v>
      </c>
    </row>
    <row r="2948" spans="1:7" x14ac:dyDescent="0.25">
      <c r="A2948" s="24" t="s">
        <v>369</v>
      </c>
      <c r="B2948" s="24" t="s">
        <v>27</v>
      </c>
      <c r="C2948" s="24" t="s">
        <v>5</v>
      </c>
      <c r="D2948" s="24">
        <v>0.13</v>
      </c>
      <c r="E2948" s="24" t="s">
        <v>799</v>
      </c>
      <c r="F2948" s="24" t="s">
        <v>968</v>
      </c>
      <c r="G2948" s="24">
        <v>174648</v>
      </c>
    </row>
    <row r="2949" spans="1:7" x14ac:dyDescent="0.25">
      <c r="A2949" s="24" t="s">
        <v>369</v>
      </c>
      <c r="B2949" s="24" t="s">
        <v>28</v>
      </c>
      <c r="C2949" s="24" t="s">
        <v>5</v>
      </c>
      <c r="D2949" s="24">
        <v>0.35</v>
      </c>
      <c r="E2949" s="24" t="s">
        <v>799</v>
      </c>
      <c r="F2949" s="24" t="s">
        <v>968</v>
      </c>
      <c r="G2949" s="24">
        <v>174648</v>
      </c>
    </row>
    <row r="2950" spans="1:7" x14ac:dyDescent="0.25">
      <c r="A2950" s="24" t="s">
        <v>369</v>
      </c>
      <c r="B2950" s="24" t="s">
        <v>29</v>
      </c>
      <c r="C2950" s="24" t="s">
        <v>5</v>
      </c>
      <c r="D2950" s="24">
        <v>0</v>
      </c>
      <c r="E2950" s="24" t="s">
        <v>799</v>
      </c>
      <c r="F2950" s="24" t="s">
        <v>968</v>
      </c>
      <c r="G2950" s="24">
        <v>174648</v>
      </c>
    </row>
    <row r="2951" spans="1:7" x14ac:dyDescent="0.25">
      <c r="A2951" s="24" t="s">
        <v>369</v>
      </c>
      <c r="B2951" s="24" t="s">
        <v>30</v>
      </c>
      <c r="C2951" s="24" t="s">
        <v>31</v>
      </c>
      <c r="D2951" s="24">
        <v>0</v>
      </c>
      <c r="E2951" s="24" t="s">
        <v>801</v>
      </c>
      <c r="F2951" s="24" t="s">
        <v>968</v>
      </c>
      <c r="G2951" s="24">
        <v>174648</v>
      </c>
    </row>
    <row r="2952" spans="1:7" x14ac:dyDescent="0.25">
      <c r="A2952" s="24" t="s">
        <v>369</v>
      </c>
      <c r="B2952" s="24" t="s">
        <v>32</v>
      </c>
      <c r="C2952" s="24" t="s">
        <v>33</v>
      </c>
      <c r="D2952" s="24">
        <v>936.5</v>
      </c>
      <c r="E2952" s="24" t="s">
        <v>796</v>
      </c>
      <c r="F2952" s="24" t="s">
        <v>968</v>
      </c>
      <c r="G2952" s="24">
        <v>174648</v>
      </c>
    </row>
    <row r="2953" spans="1:7" x14ac:dyDescent="0.25">
      <c r="A2953" s="24" t="s">
        <v>369</v>
      </c>
      <c r="B2953" s="24" t="s">
        <v>34</v>
      </c>
      <c r="C2953" s="24" t="s">
        <v>31</v>
      </c>
      <c r="D2953" s="24">
        <v>62</v>
      </c>
      <c r="E2953" s="24" t="s">
        <v>796</v>
      </c>
      <c r="F2953" s="24" t="s">
        <v>968</v>
      </c>
      <c r="G2953" s="24">
        <v>174648</v>
      </c>
    </row>
    <row r="2954" spans="1:7" x14ac:dyDescent="0.25">
      <c r="A2954" s="24" t="s">
        <v>369</v>
      </c>
      <c r="B2954" s="24" t="s">
        <v>35</v>
      </c>
      <c r="C2954" s="24" t="s">
        <v>36</v>
      </c>
      <c r="D2954" s="24">
        <v>6.8</v>
      </c>
      <c r="E2954" s="24" t="s">
        <v>796</v>
      </c>
      <c r="F2954" s="24" t="s">
        <v>968</v>
      </c>
      <c r="G2954" s="24">
        <v>174648</v>
      </c>
    </row>
    <row r="2955" spans="1:7" x14ac:dyDescent="0.25">
      <c r="A2955" s="24" t="s">
        <v>369</v>
      </c>
      <c r="B2955" s="24" t="s">
        <v>37</v>
      </c>
      <c r="C2955" s="24" t="s">
        <v>38</v>
      </c>
      <c r="D2955" s="24">
        <v>0</v>
      </c>
      <c r="E2955" s="24" t="s">
        <v>796</v>
      </c>
      <c r="F2955" s="24" t="s">
        <v>968</v>
      </c>
      <c r="G2955" s="24">
        <v>174648</v>
      </c>
    </row>
    <row r="2956" spans="1:7" x14ac:dyDescent="0.25">
      <c r="A2956" s="24" t="s">
        <v>369</v>
      </c>
      <c r="B2956" s="24" t="s">
        <v>39</v>
      </c>
      <c r="C2956" s="24" t="s">
        <v>36</v>
      </c>
      <c r="D2956" s="24">
        <v>0</v>
      </c>
      <c r="E2956" s="24" t="s">
        <v>796</v>
      </c>
      <c r="F2956" s="24" t="s">
        <v>968</v>
      </c>
      <c r="G2956" s="24">
        <v>174648</v>
      </c>
    </row>
    <row r="2957" spans="1:7" x14ac:dyDescent="0.25">
      <c r="A2957" s="24" t="s">
        <v>369</v>
      </c>
      <c r="B2957" s="24" t="s">
        <v>40</v>
      </c>
      <c r="C2957" s="24" t="s">
        <v>31</v>
      </c>
      <c r="D2957" s="24">
        <v>4.3</v>
      </c>
      <c r="E2957" s="24" t="s">
        <v>796</v>
      </c>
      <c r="F2957" s="24" t="s">
        <v>968</v>
      </c>
      <c r="G2957" s="24">
        <v>174648</v>
      </c>
    </row>
    <row r="2958" spans="1:7" x14ac:dyDescent="0.25">
      <c r="A2958" s="24" t="s">
        <v>369</v>
      </c>
      <c r="B2958" s="24" t="s">
        <v>41</v>
      </c>
      <c r="C2958" s="24" t="s">
        <v>31</v>
      </c>
      <c r="D2958" s="24">
        <v>1.7</v>
      </c>
      <c r="E2958" s="24" t="s">
        <v>796</v>
      </c>
      <c r="F2958" s="24" t="s">
        <v>968</v>
      </c>
      <c r="G2958" s="24">
        <v>174648</v>
      </c>
    </row>
    <row r="2959" spans="1:7" x14ac:dyDescent="0.25">
      <c r="A2959" s="24" t="s">
        <v>369</v>
      </c>
      <c r="B2959" s="24" t="s">
        <v>42</v>
      </c>
      <c r="C2959" s="24" t="s">
        <v>43</v>
      </c>
      <c r="D2959" s="24">
        <v>20.100000000000001</v>
      </c>
      <c r="E2959" s="24" t="s">
        <v>796</v>
      </c>
      <c r="F2959" s="24" t="s">
        <v>968</v>
      </c>
      <c r="G2959" s="24">
        <v>174648</v>
      </c>
    </row>
    <row r="2960" spans="1:7" x14ac:dyDescent="0.25">
      <c r="A2960" s="24" t="s">
        <v>369</v>
      </c>
      <c r="B2960" s="24" t="s">
        <v>44</v>
      </c>
      <c r="C2960" s="24" t="s">
        <v>31</v>
      </c>
      <c r="D2960" s="24">
        <v>1.8</v>
      </c>
      <c r="E2960" s="24" t="s">
        <v>796</v>
      </c>
      <c r="F2960" s="24" t="s">
        <v>968</v>
      </c>
      <c r="G2960" s="24">
        <v>174648</v>
      </c>
    </row>
    <row r="2961" spans="1:7" x14ac:dyDescent="0.25">
      <c r="A2961" s="24" t="s">
        <v>369</v>
      </c>
      <c r="B2961" s="24" t="s">
        <v>45</v>
      </c>
      <c r="C2961" s="24" t="s">
        <v>31</v>
      </c>
      <c r="D2961" s="24">
        <v>0.1</v>
      </c>
      <c r="E2961" s="24" t="s">
        <v>796</v>
      </c>
      <c r="F2961" s="24" t="s">
        <v>968</v>
      </c>
      <c r="G2961" s="24">
        <v>174648</v>
      </c>
    </row>
    <row r="2962" spans="1:7" x14ac:dyDescent="0.25">
      <c r="A2962" s="24" t="s">
        <v>369</v>
      </c>
      <c r="B2962" s="24" t="s">
        <v>46</v>
      </c>
      <c r="C2962" s="24" t="s">
        <v>36</v>
      </c>
      <c r="D2962" s="24">
        <v>5.0999999999999996</v>
      </c>
      <c r="E2962" s="24" t="s">
        <v>796</v>
      </c>
      <c r="F2962" s="24" t="s">
        <v>968</v>
      </c>
      <c r="G2962" s="24">
        <v>174648</v>
      </c>
    </row>
    <row r="2963" spans="1:7" x14ac:dyDescent="0.25">
      <c r="A2963" s="24" t="s">
        <v>369</v>
      </c>
      <c r="B2963" s="24" t="s">
        <v>50</v>
      </c>
      <c r="C2963" s="24" t="s">
        <v>31</v>
      </c>
      <c r="D2963" s="24">
        <v>102.1</v>
      </c>
      <c r="E2963" s="24" t="s">
        <v>796</v>
      </c>
      <c r="F2963" s="24" t="s">
        <v>968</v>
      </c>
      <c r="G2963" s="24">
        <v>174648</v>
      </c>
    </row>
    <row r="2964" spans="1:7" x14ac:dyDescent="0.25">
      <c r="A2964" s="24" t="s">
        <v>369</v>
      </c>
      <c r="B2964" s="24" t="s">
        <v>51</v>
      </c>
      <c r="C2964" s="24" t="s">
        <v>31</v>
      </c>
      <c r="D2964" s="24">
        <v>1.9</v>
      </c>
      <c r="E2964" s="24" t="s">
        <v>796</v>
      </c>
      <c r="F2964" s="24" t="s">
        <v>968</v>
      </c>
      <c r="G2964" s="24">
        <v>174648</v>
      </c>
    </row>
    <row r="2965" spans="1:7" x14ac:dyDescent="0.25">
      <c r="A2965" s="24" t="s">
        <v>369</v>
      </c>
      <c r="B2965" s="24" t="s">
        <v>52</v>
      </c>
      <c r="C2965" s="24" t="s">
        <v>31</v>
      </c>
      <c r="D2965" s="24">
        <v>31.5</v>
      </c>
      <c r="E2965" s="24" t="s">
        <v>796</v>
      </c>
      <c r="F2965" s="24" t="s">
        <v>968</v>
      </c>
      <c r="G2965" s="24">
        <v>174648</v>
      </c>
    </row>
    <row r="2966" spans="1:7" x14ac:dyDescent="0.25">
      <c r="A2966" s="24" t="s">
        <v>369</v>
      </c>
      <c r="B2966" s="24" t="s">
        <v>53</v>
      </c>
      <c r="C2966" s="24" t="s">
        <v>31</v>
      </c>
      <c r="D2966" s="24">
        <v>6.7</v>
      </c>
      <c r="E2966" s="24" t="s">
        <v>796</v>
      </c>
      <c r="F2966" s="24" t="s">
        <v>968</v>
      </c>
      <c r="G2966" s="24">
        <v>174648</v>
      </c>
    </row>
    <row r="2967" spans="1:7" x14ac:dyDescent="0.25">
      <c r="A2967" s="24" t="s">
        <v>369</v>
      </c>
      <c r="B2967" s="24" t="s">
        <v>54</v>
      </c>
      <c r="C2967" s="24" t="s">
        <v>31</v>
      </c>
      <c r="D2967" s="24">
        <v>18.5</v>
      </c>
      <c r="E2967" s="24" t="s">
        <v>796</v>
      </c>
      <c r="F2967" s="24" t="s">
        <v>968</v>
      </c>
      <c r="G2967" s="24">
        <v>174648</v>
      </c>
    </row>
    <row r="2968" spans="1:7" x14ac:dyDescent="0.25">
      <c r="A2968" s="24" t="s">
        <v>369</v>
      </c>
      <c r="B2968" s="24" t="s">
        <v>55</v>
      </c>
      <c r="C2968" s="24" t="s">
        <v>31</v>
      </c>
      <c r="D2968" s="24">
        <v>0.2</v>
      </c>
      <c r="E2968" s="24" t="s">
        <v>796</v>
      </c>
      <c r="F2968" s="24" t="s">
        <v>968</v>
      </c>
      <c r="G2968" s="24">
        <v>174648</v>
      </c>
    </row>
    <row r="2969" spans="1:7" x14ac:dyDescent="0.25">
      <c r="A2969" s="24" t="s">
        <v>369</v>
      </c>
      <c r="B2969" s="24" t="s">
        <v>56</v>
      </c>
      <c r="C2969" s="24" t="s">
        <v>31</v>
      </c>
      <c r="D2969" s="24">
        <v>0.1</v>
      </c>
      <c r="E2969" s="24" t="s">
        <v>796</v>
      </c>
      <c r="F2969" s="24" t="s">
        <v>968</v>
      </c>
      <c r="G2969" s="24">
        <v>174648</v>
      </c>
    </row>
    <row r="2970" spans="1:7" x14ac:dyDescent="0.25">
      <c r="A2970" s="24" t="s">
        <v>369</v>
      </c>
      <c r="B2970" s="24" t="s">
        <v>57</v>
      </c>
      <c r="C2970" s="24" t="s">
        <v>36</v>
      </c>
      <c r="D2970" s="24">
        <v>2.1</v>
      </c>
      <c r="E2970" s="24" t="s">
        <v>796</v>
      </c>
      <c r="F2970" s="24" t="s">
        <v>968</v>
      </c>
      <c r="G2970" s="24">
        <v>174648</v>
      </c>
    </row>
    <row r="2971" spans="1:7" x14ac:dyDescent="0.25">
      <c r="A2971" s="24" t="s">
        <v>369</v>
      </c>
      <c r="B2971" s="24" t="s">
        <v>58</v>
      </c>
      <c r="C2971" s="24" t="s">
        <v>5</v>
      </c>
      <c r="D2971" s="24">
        <v>0</v>
      </c>
      <c r="E2971" s="24" t="s">
        <v>795</v>
      </c>
      <c r="F2971" s="24"/>
      <c r="G2971" s="24"/>
    </row>
    <row r="2972" spans="1:7" x14ac:dyDescent="0.25">
      <c r="A2972" s="24" t="s">
        <v>370</v>
      </c>
      <c r="B2972" s="24" t="s">
        <v>29</v>
      </c>
      <c r="C2972" s="24" t="s">
        <v>5</v>
      </c>
      <c r="D2972" s="24">
        <v>0</v>
      </c>
      <c r="E2972" s="24" t="s">
        <v>799</v>
      </c>
      <c r="F2972" s="24" t="s">
        <v>968</v>
      </c>
      <c r="G2972" s="24">
        <v>174648</v>
      </c>
    </row>
    <row r="2973" spans="1:7" x14ac:dyDescent="0.25">
      <c r="A2973" s="24" t="s">
        <v>370</v>
      </c>
      <c r="B2973" s="24" t="s">
        <v>58</v>
      </c>
      <c r="C2973" s="24" t="s">
        <v>5</v>
      </c>
      <c r="D2973" s="24">
        <v>0</v>
      </c>
      <c r="E2973" s="24" t="s">
        <v>795</v>
      </c>
      <c r="F2973" s="24"/>
      <c r="G2973" s="24"/>
    </row>
    <row r="2974" spans="1:7" x14ac:dyDescent="0.25">
      <c r="A2974" s="24" t="s">
        <v>371</v>
      </c>
      <c r="B2974" s="24" t="s">
        <v>32</v>
      </c>
      <c r="C2974" s="24" t="s">
        <v>33</v>
      </c>
      <c r="D2974" s="24">
        <v>1</v>
      </c>
      <c r="E2974" s="24" t="s">
        <v>796</v>
      </c>
      <c r="F2974" s="24" t="s">
        <v>969</v>
      </c>
      <c r="G2974" s="24">
        <v>171646</v>
      </c>
    </row>
    <row r="2975" spans="1:7" x14ac:dyDescent="0.25">
      <c r="A2975" s="24" t="s">
        <v>371</v>
      </c>
      <c r="B2975" s="24" t="s">
        <v>34</v>
      </c>
      <c r="C2975" s="24" t="s">
        <v>31</v>
      </c>
      <c r="D2975" s="24">
        <v>1.2</v>
      </c>
      <c r="E2975" s="24" t="s">
        <v>796</v>
      </c>
      <c r="F2975" s="24" t="s">
        <v>969</v>
      </c>
      <c r="G2975" s="24">
        <v>171646</v>
      </c>
    </row>
    <row r="2976" spans="1:7" x14ac:dyDescent="0.25">
      <c r="A2976" s="24" t="s">
        <v>371</v>
      </c>
      <c r="B2976" s="24" t="s">
        <v>35</v>
      </c>
      <c r="C2976" s="24" t="s">
        <v>36</v>
      </c>
      <c r="D2976" s="24">
        <v>0</v>
      </c>
      <c r="E2976" s="24" t="s">
        <v>796</v>
      </c>
      <c r="F2976" s="24" t="s">
        <v>969</v>
      </c>
      <c r="G2976" s="24">
        <v>171646</v>
      </c>
    </row>
    <row r="2977" spans="1:7" x14ac:dyDescent="0.25">
      <c r="A2977" s="24" t="s">
        <v>371</v>
      </c>
      <c r="B2977" s="24" t="s">
        <v>37</v>
      </c>
      <c r="C2977" s="24" t="s">
        <v>38</v>
      </c>
      <c r="D2977" s="24">
        <v>11.4</v>
      </c>
      <c r="E2977" s="24" t="s">
        <v>796</v>
      </c>
      <c r="F2977" s="24" t="s">
        <v>969</v>
      </c>
      <c r="G2977" s="24">
        <v>171646</v>
      </c>
    </row>
    <row r="2978" spans="1:7" x14ac:dyDescent="0.25">
      <c r="A2978" s="24" t="s">
        <v>371</v>
      </c>
      <c r="B2978" s="24" t="s">
        <v>39</v>
      </c>
      <c r="C2978" s="24" t="s">
        <v>36</v>
      </c>
      <c r="D2978" s="24">
        <v>5.4</v>
      </c>
      <c r="E2978" s="24" t="s">
        <v>796</v>
      </c>
      <c r="F2978" s="24" t="s">
        <v>969</v>
      </c>
      <c r="G2978" s="24">
        <v>171646</v>
      </c>
    </row>
    <row r="2979" spans="1:7" x14ac:dyDescent="0.25">
      <c r="A2979" s="24" t="s">
        <v>371</v>
      </c>
      <c r="B2979" s="24" t="s">
        <v>40</v>
      </c>
      <c r="C2979" s="24" t="s">
        <v>31</v>
      </c>
      <c r="D2979" s="24">
        <v>0.6</v>
      </c>
      <c r="E2979" s="24" t="s">
        <v>796</v>
      </c>
      <c r="F2979" s="24" t="s">
        <v>969</v>
      </c>
      <c r="G2979" s="24">
        <v>171646</v>
      </c>
    </row>
    <row r="2980" spans="1:7" x14ac:dyDescent="0.25">
      <c r="A2980" s="24" t="s">
        <v>371</v>
      </c>
      <c r="B2980" s="24" t="s">
        <v>41</v>
      </c>
      <c r="C2980" s="24" t="s">
        <v>31</v>
      </c>
      <c r="D2980" s="24">
        <v>0.4</v>
      </c>
      <c r="E2980" s="24" t="s">
        <v>796</v>
      </c>
      <c r="F2980" s="24" t="s">
        <v>969</v>
      </c>
      <c r="G2980" s="24">
        <v>171646</v>
      </c>
    </row>
    <row r="2981" spans="1:7" x14ac:dyDescent="0.25">
      <c r="A2981" s="24" t="s">
        <v>371</v>
      </c>
      <c r="B2981" s="24" t="s">
        <v>42</v>
      </c>
      <c r="C2981" s="24" t="s">
        <v>43</v>
      </c>
      <c r="D2981" s="24">
        <v>2.8</v>
      </c>
      <c r="E2981" s="24" t="s">
        <v>796</v>
      </c>
      <c r="F2981" s="24" t="s">
        <v>969</v>
      </c>
      <c r="G2981" s="24">
        <v>171646</v>
      </c>
    </row>
    <row r="2982" spans="1:7" x14ac:dyDescent="0.25">
      <c r="A2982" s="24" t="s">
        <v>371</v>
      </c>
      <c r="B2982" s="24" t="s">
        <v>44</v>
      </c>
      <c r="C2982" s="24" t="s">
        <v>31</v>
      </c>
      <c r="D2982" s="24">
        <v>0.4</v>
      </c>
      <c r="E2982" s="24" t="s">
        <v>796</v>
      </c>
      <c r="F2982" s="24" t="s">
        <v>969</v>
      </c>
      <c r="G2982" s="24">
        <v>171646</v>
      </c>
    </row>
    <row r="2983" spans="1:7" x14ac:dyDescent="0.25">
      <c r="A2983" s="24" t="s">
        <v>371</v>
      </c>
      <c r="B2983" s="24" t="s">
        <v>45</v>
      </c>
      <c r="C2983" s="24" t="s">
        <v>31</v>
      </c>
      <c r="D2983" s="24">
        <v>0.8</v>
      </c>
      <c r="E2983" s="24" t="s">
        <v>796</v>
      </c>
      <c r="F2983" s="24" t="s">
        <v>969</v>
      </c>
      <c r="G2983" s="24">
        <v>171646</v>
      </c>
    </row>
    <row r="2984" spans="1:7" x14ac:dyDescent="0.25">
      <c r="A2984" s="24" t="s">
        <v>371</v>
      </c>
      <c r="B2984" s="24" t="s">
        <v>46</v>
      </c>
      <c r="C2984" s="24" t="s">
        <v>36</v>
      </c>
      <c r="D2984" s="24">
        <v>0</v>
      </c>
      <c r="E2984" s="24" t="s">
        <v>796</v>
      </c>
      <c r="F2984" s="24" t="s">
        <v>969</v>
      </c>
      <c r="G2984" s="24">
        <v>171646</v>
      </c>
    </row>
    <row r="2985" spans="1:7" x14ac:dyDescent="0.25">
      <c r="A2985" s="24" t="s">
        <v>371</v>
      </c>
      <c r="B2985" s="24" t="s">
        <v>47</v>
      </c>
      <c r="C2985" s="24" t="s">
        <v>48</v>
      </c>
      <c r="D2985" s="24">
        <v>86.4</v>
      </c>
      <c r="E2985" s="24" t="s">
        <v>796</v>
      </c>
      <c r="F2985" s="24" t="s">
        <v>969</v>
      </c>
      <c r="G2985" s="24">
        <v>171646</v>
      </c>
    </row>
    <row r="2986" spans="1:7" x14ac:dyDescent="0.25">
      <c r="A2986" s="24" t="s">
        <v>371</v>
      </c>
      <c r="B2986" s="24" t="s">
        <v>50</v>
      </c>
      <c r="C2986" s="24" t="s">
        <v>31</v>
      </c>
      <c r="D2986" s="24">
        <v>554.1</v>
      </c>
      <c r="E2986" s="24" t="s">
        <v>796</v>
      </c>
      <c r="F2986" s="24" t="s">
        <v>969</v>
      </c>
      <c r="G2986" s="24">
        <v>171646</v>
      </c>
    </row>
    <row r="2987" spans="1:7" x14ac:dyDescent="0.25">
      <c r="A2987" s="24" t="s">
        <v>371</v>
      </c>
      <c r="B2987" s="24" t="s">
        <v>51</v>
      </c>
      <c r="C2987" s="24" t="s">
        <v>31</v>
      </c>
      <c r="D2987" s="24">
        <v>78.099999999999994</v>
      </c>
      <c r="E2987" s="24" t="s">
        <v>796</v>
      </c>
      <c r="F2987" s="24" t="s">
        <v>969</v>
      </c>
      <c r="G2987" s="24">
        <v>171646</v>
      </c>
    </row>
    <row r="2988" spans="1:7" x14ac:dyDescent="0.25">
      <c r="A2988" s="24" t="s">
        <v>371</v>
      </c>
      <c r="B2988" s="24" t="s">
        <v>52</v>
      </c>
      <c r="C2988" s="24" t="s">
        <v>31</v>
      </c>
      <c r="D2988" s="24">
        <v>443.1</v>
      </c>
      <c r="E2988" s="24" t="s">
        <v>796</v>
      </c>
      <c r="F2988" s="24" t="s">
        <v>969</v>
      </c>
      <c r="G2988" s="24">
        <v>171646</v>
      </c>
    </row>
    <row r="2989" spans="1:7" x14ac:dyDescent="0.25">
      <c r="A2989" s="24" t="s">
        <v>371</v>
      </c>
      <c r="B2989" s="24" t="s">
        <v>53</v>
      </c>
      <c r="C2989" s="24" t="s">
        <v>31</v>
      </c>
      <c r="D2989" s="24">
        <v>172.7</v>
      </c>
      <c r="E2989" s="24" t="s">
        <v>796</v>
      </c>
      <c r="F2989" s="24" t="s">
        <v>969</v>
      </c>
      <c r="G2989" s="24">
        <v>171646</v>
      </c>
    </row>
    <row r="2990" spans="1:7" x14ac:dyDescent="0.25">
      <c r="A2990" s="24" t="s">
        <v>371</v>
      </c>
      <c r="B2990" s="24" t="s">
        <v>54</v>
      </c>
      <c r="C2990" s="24" t="s">
        <v>31</v>
      </c>
      <c r="D2990" s="24">
        <v>4.0999999999999996</v>
      </c>
      <c r="E2990" s="24" t="s">
        <v>796</v>
      </c>
      <c r="F2990" s="24" t="s">
        <v>969</v>
      </c>
      <c r="G2990" s="24">
        <v>171646</v>
      </c>
    </row>
    <row r="2991" spans="1:7" x14ac:dyDescent="0.25">
      <c r="A2991" s="24" t="s">
        <v>371</v>
      </c>
      <c r="B2991" s="24" t="s">
        <v>55</v>
      </c>
      <c r="C2991" s="24" t="s">
        <v>31</v>
      </c>
      <c r="D2991" s="24">
        <v>4.3</v>
      </c>
      <c r="E2991" s="24" t="s">
        <v>796</v>
      </c>
      <c r="F2991" s="24" t="s">
        <v>969</v>
      </c>
      <c r="G2991" s="24">
        <v>171646</v>
      </c>
    </row>
    <row r="2992" spans="1:7" x14ac:dyDescent="0.25">
      <c r="A2992" s="24" t="s">
        <v>371</v>
      </c>
      <c r="B2992" s="24" t="s">
        <v>56</v>
      </c>
      <c r="C2992" s="24" t="s">
        <v>31</v>
      </c>
      <c r="D2992" s="24">
        <v>0.7</v>
      </c>
      <c r="E2992" s="24" t="s">
        <v>796</v>
      </c>
      <c r="F2992" s="24" t="s">
        <v>969</v>
      </c>
      <c r="G2992" s="24">
        <v>171646</v>
      </c>
    </row>
    <row r="2993" spans="1:7" x14ac:dyDescent="0.25">
      <c r="A2993" s="24" t="s">
        <v>371</v>
      </c>
      <c r="B2993" s="24" t="s">
        <v>57</v>
      </c>
      <c r="C2993" s="24" t="s">
        <v>36</v>
      </c>
      <c r="D2993" s="24">
        <v>26.1</v>
      </c>
      <c r="E2993" s="24" t="s">
        <v>796</v>
      </c>
      <c r="F2993" s="24" t="s">
        <v>969</v>
      </c>
      <c r="G2993" s="24">
        <v>171646</v>
      </c>
    </row>
    <row r="2994" spans="1:7" x14ac:dyDescent="0.25">
      <c r="A2994" s="24" t="s">
        <v>371</v>
      </c>
      <c r="B2994" s="24" t="s">
        <v>58</v>
      </c>
      <c r="C2994" s="24" t="s">
        <v>5</v>
      </c>
      <c r="D2994" s="24">
        <v>0</v>
      </c>
      <c r="E2994" s="24" t="s">
        <v>795</v>
      </c>
      <c r="F2994" s="24"/>
      <c r="G2994" s="24"/>
    </row>
    <row r="2995" spans="1:7" x14ac:dyDescent="0.25">
      <c r="A2995" s="24" t="s">
        <v>372</v>
      </c>
      <c r="B2995" s="24" t="s">
        <v>26</v>
      </c>
      <c r="C2995" s="24" t="s">
        <v>5</v>
      </c>
      <c r="D2995" s="24">
        <v>0.19</v>
      </c>
      <c r="E2995" s="24" t="s">
        <v>799</v>
      </c>
      <c r="F2995" s="24" t="s">
        <v>970</v>
      </c>
      <c r="G2995" s="24">
        <v>170688</v>
      </c>
    </row>
    <row r="2996" spans="1:7" x14ac:dyDescent="0.25">
      <c r="A2996" s="24" t="s">
        <v>372</v>
      </c>
      <c r="B2996" s="24" t="s">
        <v>27</v>
      </c>
      <c r="C2996" s="24" t="s">
        <v>5</v>
      </c>
      <c r="D2996" s="24">
        <v>0.14000000000000001</v>
      </c>
      <c r="E2996" s="24" t="s">
        <v>799</v>
      </c>
      <c r="F2996" s="24" t="s">
        <v>970</v>
      </c>
      <c r="G2996" s="24">
        <v>170688</v>
      </c>
    </row>
    <row r="2997" spans="1:7" x14ac:dyDescent="0.25">
      <c r="A2997" s="24" t="s">
        <v>372</v>
      </c>
      <c r="B2997" s="24" t="s">
        <v>28</v>
      </c>
      <c r="C2997" s="24" t="s">
        <v>5</v>
      </c>
      <c r="D2997" s="24">
        <v>0.45</v>
      </c>
      <c r="E2997" s="24" t="s">
        <v>799</v>
      </c>
      <c r="F2997" s="24" t="s">
        <v>970</v>
      </c>
      <c r="G2997" s="24">
        <v>170688</v>
      </c>
    </row>
    <row r="2998" spans="1:7" x14ac:dyDescent="0.25">
      <c r="A2998" s="24" t="s">
        <v>372</v>
      </c>
      <c r="B2998" s="24" t="s">
        <v>30</v>
      </c>
      <c r="C2998" s="24" t="s">
        <v>31</v>
      </c>
      <c r="D2998" s="24">
        <v>0</v>
      </c>
      <c r="E2998" s="24" t="s">
        <v>801</v>
      </c>
      <c r="F2998" s="24" t="s">
        <v>970</v>
      </c>
      <c r="G2998" s="24">
        <v>170688</v>
      </c>
    </row>
    <row r="2999" spans="1:7" x14ac:dyDescent="0.25">
      <c r="A2999" s="24" t="s">
        <v>372</v>
      </c>
      <c r="B2999" s="24" t="s">
        <v>32</v>
      </c>
      <c r="C2999" s="24" t="s">
        <v>33</v>
      </c>
      <c r="D2999" s="24">
        <v>0</v>
      </c>
      <c r="E2999" s="24" t="s">
        <v>796</v>
      </c>
      <c r="F2999" s="24" t="s">
        <v>970</v>
      </c>
      <c r="G2999" s="24">
        <v>170688</v>
      </c>
    </row>
    <row r="3000" spans="1:7" x14ac:dyDescent="0.25">
      <c r="A3000" s="24" t="s">
        <v>372</v>
      </c>
      <c r="B3000" s="24" t="s">
        <v>34</v>
      </c>
      <c r="C3000" s="24" t="s">
        <v>31</v>
      </c>
      <c r="D3000" s="24">
        <v>0</v>
      </c>
      <c r="E3000" s="24" t="s">
        <v>796</v>
      </c>
      <c r="F3000" s="24" t="s">
        <v>970</v>
      </c>
      <c r="G3000" s="24">
        <v>170688</v>
      </c>
    </row>
    <row r="3001" spans="1:7" x14ac:dyDescent="0.25">
      <c r="A3001" s="24" t="s">
        <v>372</v>
      </c>
      <c r="B3001" s="24" t="s">
        <v>35</v>
      </c>
      <c r="C3001" s="24" t="s">
        <v>36</v>
      </c>
      <c r="D3001" s="24">
        <v>0</v>
      </c>
      <c r="E3001" s="24" t="s">
        <v>796</v>
      </c>
      <c r="F3001" s="24" t="s">
        <v>970</v>
      </c>
      <c r="G3001" s="24">
        <v>170688</v>
      </c>
    </row>
    <row r="3002" spans="1:7" x14ac:dyDescent="0.25">
      <c r="A3002" s="24" t="s">
        <v>372</v>
      </c>
      <c r="B3002" s="24" t="s">
        <v>37</v>
      </c>
      <c r="C3002" s="24" t="s">
        <v>38</v>
      </c>
      <c r="D3002" s="24">
        <v>0.1</v>
      </c>
      <c r="E3002" s="24" t="s">
        <v>796</v>
      </c>
      <c r="F3002" s="24" t="s">
        <v>970</v>
      </c>
      <c r="G3002" s="24">
        <v>170688</v>
      </c>
    </row>
    <row r="3003" spans="1:7" x14ac:dyDescent="0.25">
      <c r="A3003" s="24" t="s">
        <v>372</v>
      </c>
      <c r="B3003" s="24" t="s">
        <v>39</v>
      </c>
      <c r="C3003" s="24" t="s">
        <v>36</v>
      </c>
      <c r="D3003" s="24">
        <v>1.9</v>
      </c>
      <c r="E3003" s="24" t="s">
        <v>796</v>
      </c>
      <c r="F3003" s="24" t="s">
        <v>970</v>
      </c>
      <c r="G3003" s="24">
        <v>170688</v>
      </c>
    </row>
    <row r="3004" spans="1:7" x14ac:dyDescent="0.25">
      <c r="A3004" s="24" t="s">
        <v>372</v>
      </c>
      <c r="B3004" s="24" t="s">
        <v>40</v>
      </c>
      <c r="C3004" s="24" t="s">
        <v>31</v>
      </c>
      <c r="D3004" s="24">
        <v>0.2</v>
      </c>
      <c r="E3004" s="24" t="s">
        <v>796</v>
      </c>
      <c r="F3004" s="24" t="s">
        <v>970</v>
      </c>
      <c r="G3004" s="24">
        <v>170688</v>
      </c>
    </row>
    <row r="3005" spans="1:7" x14ac:dyDescent="0.25">
      <c r="A3005" s="24" t="s">
        <v>372</v>
      </c>
      <c r="B3005" s="24" t="s">
        <v>41</v>
      </c>
      <c r="C3005" s="24" t="s">
        <v>31</v>
      </c>
      <c r="D3005" s="24">
        <v>0.1</v>
      </c>
      <c r="E3005" s="24" t="s">
        <v>796</v>
      </c>
      <c r="F3005" s="24" t="s">
        <v>970</v>
      </c>
      <c r="G3005" s="24">
        <v>170688</v>
      </c>
    </row>
    <row r="3006" spans="1:7" x14ac:dyDescent="0.25">
      <c r="A3006" s="24" t="s">
        <v>372</v>
      </c>
      <c r="B3006" s="24" t="s">
        <v>42</v>
      </c>
      <c r="C3006" s="24" t="s">
        <v>43</v>
      </c>
      <c r="D3006" s="24">
        <v>5.0999999999999996</v>
      </c>
      <c r="E3006" s="24" t="s">
        <v>796</v>
      </c>
      <c r="F3006" s="24" t="s">
        <v>970</v>
      </c>
      <c r="G3006" s="24">
        <v>170688</v>
      </c>
    </row>
    <row r="3007" spans="1:7" x14ac:dyDescent="0.25">
      <c r="A3007" s="24" t="s">
        <v>372</v>
      </c>
      <c r="B3007" s="24" t="s">
        <v>44</v>
      </c>
      <c r="C3007" s="24" t="s">
        <v>31</v>
      </c>
      <c r="D3007" s="24">
        <v>0.3</v>
      </c>
      <c r="E3007" s="24" t="s">
        <v>796</v>
      </c>
      <c r="F3007" s="24" t="s">
        <v>970</v>
      </c>
      <c r="G3007" s="24">
        <v>170688</v>
      </c>
    </row>
    <row r="3008" spans="1:7" x14ac:dyDescent="0.25">
      <c r="A3008" s="24" t="s">
        <v>372</v>
      </c>
      <c r="B3008" s="24" t="s">
        <v>45</v>
      </c>
      <c r="C3008" s="24" t="s">
        <v>31</v>
      </c>
      <c r="D3008" s="24">
        <v>1</v>
      </c>
      <c r="E3008" s="24" t="s">
        <v>796</v>
      </c>
      <c r="F3008" s="24" t="s">
        <v>970</v>
      </c>
      <c r="G3008" s="24">
        <v>170688</v>
      </c>
    </row>
    <row r="3009" spans="1:7" x14ac:dyDescent="0.25">
      <c r="A3009" s="24" t="s">
        <v>372</v>
      </c>
      <c r="B3009" s="24" t="s">
        <v>46</v>
      </c>
      <c r="C3009" s="24" t="s">
        <v>36</v>
      </c>
      <c r="D3009" s="24">
        <v>0</v>
      </c>
      <c r="E3009" s="24" t="s">
        <v>796</v>
      </c>
      <c r="F3009" s="24" t="s">
        <v>970</v>
      </c>
      <c r="G3009" s="24">
        <v>170688</v>
      </c>
    </row>
    <row r="3010" spans="1:7" x14ac:dyDescent="0.25">
      <c r="A3010" s="24" t="s">
        <v>372</v>
      </c>
      <c r="B3010" s="24" t="s">
        <v>47</v>
      </c>
      <c r="C3010" s="24" t="s">
        <v>48</v>
      </c>
      <c r="D3010" s="24">
        <v>26.9</v>
      </c>
      <c r="E3010" s="24" t="s">
        <v>796</v>
      </c>
      <c r="F3010" s="24" t="s">
        <v>970</v>
      </c>
      <c r="G3010" s="24">
        <v>170688</v>
      </c>
    </row>
    <row r="3011" spans="1:7" x14ac:dyDescent="0.25">
      <c r="A3011" s="24" t="s">
        <v>372</v>
      </c>
      <c r="B3011" s="24" t="s">
        <v>50</v>
      </c>
      <c r="C3011" s="24" t="s">
        <v>31</v>
      </c>
      <c r="D3011" s="24">
        <v>408.6</v>
      </c>
      <c r="E3011" s="24" t="s">
        <v>796</v>
      </c>
      <c r="F3011" s="24" t="s">
        <v>970</v>
      </c>
      <c r="G3011" s="24">
        <v>170688</v>
      </c>
    </row>
    <row r="3012" spans="1:7" x14ac:dyDescent="0.25">
      <c r="A3012" s="24" t="s">
        <v>372</v>
      </c>
      <c r="B3012" s="24" t="s">
        <v>51</v>
      </c>
      <c r="C3012" s="24" t="s">
        <v>31</v>
      </c>
      <c r="D3012" s="24">
        <v>34.9</v>
      </c>
      <c r="E3012" s="24" t="s">
        <v>796</v>
      </c>
      <c r="F3012" s="24" t="s">
        <v>970</v>
      </c>
      <c r="G3012" s="24">
        <v>170688</v>
      </c>
    </row>
    <row r="3013" spans="1:7" x14ac:dyDescent="0.25">
      <c r="A3013" s="24" t="s">
        <v>372</v>
      </c>
      <c r="B3013" s="24" t="s">
        <v>52</v>
      </c>
      <c r="C3013" s="24" t="s">
        <v>31</v>
      </c>
      <c r="D3013" s="24">
        <v>299</v>
      </c>
      <c r="E3013" s="24" t="s">
        <v>796</v>
      </c>
      <c r="F3013" s="24" t="s">
        <v>970</v>
      </c>
      <c r="G3013" s="24">
        <v>170688</v>
      </c>
    </row>
    <row r="3014" spans="1:7" x14ac:dyDescent="0.25">
      <c r="A3014" s="24" t="s">
        <v>372</v>
      </c>
      <c r="B3014" s="24" t="s">
        <v>53</v>
      </c>
      <c r="C3014" s="24" t="s">
        <v>31</v>
      </c>
      <c r="D3014" s="24">
        <v>163.5</v>
      </c>
      <c r="E3014" s="24" t="s">
        <v>796</v>
      </c>
      <c r="F3014" s="24" t="s">
        <v>970</v>
      </c>
      <c r="G3014" s="24">
        <v>170688</v>
      </c>
    </row>
    <row r="3015" spans="1:7" x14ac:dyDescent="0.25">
      <c r="A3015" s="24" t="s">
        <v>372</v>
      </c>
      <c r="B3015" s="24" t="s">
        <v>54</v>
      </c>
      <c r="C3015" s="24" t="s">
        <v>31</v>
      </c>
      <c r="D3015" s="24">
        <v>2.5</v>
      </c>
      <c r="E3015" s="24" t="s">
        <v>796</v>
      </c>
      <c r="F3015" s="24" t="s">
        <v>970</v>
      </c>
      <c r="G3015" s="24">
        <v>170688</v>
      </c>
    </row>
    <row r="3016" spans="1:7" x14ac:dyDescent="0.25">
      <c r="A3016" s="24" t="s">
        <v>372</v>
      </c>
      <c r="B3016" s="24" t="s">
        <v>55</v>
      </c>
      <c r="C3016" s="24" t="s">
        <v>31</v>
      </c>
      <c r="D3016" s="24">
        <v>1.9</v>
      </c>
      <c r="E3016" s="24" t="s">
        <v>796</v>
      </c>
      <c r="F3016" s="24" t="s">
        <v>970</v>
      </c>
      <c r="G3016" s="24">
        <v>170688</v>
      </c>
    </row>
    <row r="3017" spans="1:7" x14ac:dyDescent="0.25">
      <c r="A3017" s="24" t="s">
        <v>372</v>
      </c>
      <c r="B3017" s="24" t="s">
        <v>56</v>
      </c>
      <c r="C3017" s="24" t="s">
        <v>31</v>
      </c>
      <c r="D3017" s="24">
        <v>0.3</v>
      </c>
      <c r="E3017" s="24" t="s">
        <v>796</v>
      </c>
      <c r="F3017" s="24" t="s">
        <v>970</v>
      </c>
      <c r="G3017" s="24">
        <v>170688</v>
      </c>
    </row>
    <row r="3018" spans="1:7" x14ac:dyDescent="0.25">
      <c r="A3018" s="24" t="s">
        <v>372</v>
      </c>
      <c r="B3018" s="24" t="s">
        <v>57</v>
      </c>
      <c r="C3018" s="24" t="s">
        <v>36</v>
      </c>
      <c r="D3018" s="24">
        <v>2.2999999999999998</v>
      </c>
      <c r="E3018" s="24" t="s">
        <v>796</v>
      </c>
      <c r="F3018" s="24" t="s">
        <v>970</v>
      </c>
      <c r="G3018" s="24">
        <v>170688</v>
      </c>
    </row>
    <row r="3019" spans="1:7" x14ac:dyDescent="0.25">
      <c r="A3019" s="24" t="s">
        <v>372</v>
      </c>
      <c r="B3019" s="24" t="s">
        <v>58</v>
      </c>
      <c r="C3019" s="24" t="s">
        <v>5</v>
      </c>
      <c r="D3019" s="24">
        <v>0</v>
      </c>
      <c r="E3019" s="24" t="s">
        <v>795</v>
      </c>
      <c r="F3019" s="24"/>
      <c r="G3019" s="24"/>
    </row>
    <row r="3020" spans="1:7" x14ac:dyDescent="0.25">
      <c r="A3020" s="24" t="s">
        <v>373</v>
      </c>
      <c r="B3020" s="24" t="s">
        <v>58</v>
      </c>
      <c r="C3020" s="24" t="s">
        <v>5</v>
      </c>
      <c r="D3020" s="24">
        <v>0</v>
      </c>
      <c r="E3020" s="24" t="s">
        <v>795</v>
      </c>
      <c r="F3020" s="24"/>
      <c r="G3020" s="24"/>
    </row>
    <row r="3021" spans="1:7" x14ac:dyDescent="0.25">
      <c r="A3021" s="24" t="s">
        <v>374</v>
      </c>
      <c r="B3021" s="24" t="s">
        <v>58</v>
      </c>
      <c r="C3021" s="24" t="s">
        <v>5</v>
      </c>
      <c r="D3021" s="24">
        <v>0</v>
      </c>
      <c r="E3021" s="24" t="s">
        <v>795</v>
      </c>
      <c r="F3021" s="24"/>
      <c r="G3021" s="24"/>
    </row>
    <row r="3022" spans="1:7" x14ac:dyDescent="0.25">
      <c r="A3022" s="24" t="s">
        <v>375</v>
      </c>
      <c r="B3022" s="24" t="s">
        <v>29</v>
      </c>
      <c r="C3022" s="24" t="s">
        <v>5</v>
      </c>
      <c r="D3022" s="24">
        <v>0</v>
      </c>
      <c r="E3022" s="24" t="s">
        <v>799</v>
      </c>
      <c r="F3022" s="24" t="s">
        <v>971</v>
      </c>
      <c r="G3022" s="24">
        <v>169736</v>
      </c>
    </row>
    <row r="3023" spans="1:7" x14ac:dyDescent="0.25">
      <c r="A3023" s="24" t="s">
        <v>375</v>
      </c>
      <c r="B3023" s="24" t="s">
        <v>32</v>
      </c>
      <c r="C3023" s="24" t="s">
        <v>33</v>
      </c>
      <c r="D3023" s="24">
        <v>0</v>
      </c>
      <c r="E3023" s="24" t="s">
        <v>796</v>
      </c>
      <c r="F3023" s="24" t="s">
        <v>971</v>
      </c>
      <c r="G3023" s="24">
        <v>169736</v>
      </c>
    </row>
    <row r="3024" spans="1:7" x14ac:dyDescent="0.25">
      <c r="A3024" s="24" t="s">
        <v>375</v>
      </c>
      <c r="B3024" s="24" t="s">
        <v>34</v>
      </c>
      <c r="C3024" s="24" t="s">
        <v>31</v>
      </c>
      <c r="D3024" s="24">
        <v>0</v>
      </c>
      <c r="E3024" s="24" t="s">
        <v>796</v>
      </c>
      <c r="F3024" s="24" t="s">
        <v>971</v>
      </c>
      <c r="G3024" s="24">
        <v>169736</v>
      </c>
    </row>
    <row r="3025" spans="1:7" x14ac:dyDescent="0.25">
      <c r="A3025" s="24" t="s">
        <v>375</v>
      </c>
      <c r="B3025" s="24" t="s">
        <v>58</v>
      </c>
      <c r="C3025" s="24" t="s">
        <v>5</v>
      </c>
      <c r="D3025" s="24">
        <v>0</v>
      </c>
      <c r="E3025" s="24" t="s">
        <v>795</v>
      </c>
      <c r="F3025" s="24"/>
      <c r="G3025" s="24"/>
    </row>
    <row r="3026" spans="1:7" x14ac:dyDescent="0.25">
      <c r="A3026" s="24" t="s">
        <v>376</v>
      </c>
      <c r="B3026" s="24" t="s">
        <v>29</v>
      </c>
      <c r="C3026" s="24" t="s">
        <v>5</v>
      </c>
      <c r="D3026" s="24">
        <v>0</v>
      </c>
      <c r="E3026" s="24" t="s">
        <v>799</v>
      </c>
      <c r="F3026" s="24" t="s">
        <v>972</v>
      </c>
      <c r="G3026" s="24">
        <v>169737</v>
      </c>
    </row>
    <row r="3027" spans="1:7" x14ac:dyDescent="0.25">
      <c r="A3027" s="24" t="s">
        <v>376</v>
      </c>
      <c r="B3027" s="24" t="s">
        <v>58</v>
      </c>
      <c r="C3027" s="24" t="s">
        <v>5</v>
      </c>
      <c r="D3027" s="24">
        <v>0</v>
      </c>
      <c r="E3027" s="24" t="s">
        <v>795</v>
      </c>
      <c r="F3027" s="24"/>
      <c r="G3027" s="24"/>
    </row>
    <row r="3028" spans="1:7" x14ac:dyDescent="0.25">
      <c r="A3028" s="24" t="s">
        <v>377</v>
      </c>
      <c r="B3028" s="24" t="s">
        <v>58</v>
      </c>
      <c r="C3028" s="24" t="s">
        <v>5</v>
      </c>
      <c r="D3028" s="24">
        <v>0</v>
      </c>
      <c r="E3028" s="24" t="s">
        <v>795</v>
      </c>
      <c r="F3028" s="24"/>
      <c r="G3028" s="24"/>
    </row>
    <row r="3029" spans="1:7" x14ac:dyDescent="0.25">
      <c r="A3029" s="24" t="s">
        <v>378</v>
      </c>
      <c r="B3029" s="24" t="s">
        <v>20</v>
      </c>
      <c r="C3029" s="24" t="s">
        <v>5</v>
      </c>
      <c r="D3029" s="24">
        <v>1.1000000000000001</v>
      </c>
      <c r="E3029" s="24" t="s">
        <v>796</v>
      </c>
      <c r="F3029" s="24" t="s">
        <v>973</v>
      </c>
      <c r="G3029" s="24">
        <v>174959</v>
      </c>
    </row>
    <row r="3030" spans="1:7" x14ac:dyDescent="0.25">
      <c r="A3030" s="24" t="s">
        <v>378</v>
      </c>
      <c r="B3030" s="24" t="s">
        <v>24</v>
      </c>
      <c r="C3030" s="24" t="s">
        <v>5</v>
      </c>
      <c r="D3030" s="24">
        <v>1</v>
      </c>
      <c r="E3030" s="24" t="s">
        <v>801</v>
      </c>
      <c r="F3030" s="24" t="s">
        <v>973</v>
      </c>
      <c r="G3030" s="24">
        <v>174959</v>
      </c>
    </row>
    <row r="3031" spans="1:7" x14ac:dyDescent="0.25">
      <c r="A3031" s="24" t="s">
        <v>378</v>
      </c>
      <c r="B3031" s="24" t="s">
        <v>32</v>
      </c>
      <c r="C3031" s="24" t="s">
        <v>33</v>
      </c>
      <c r="D3031" s="24">
        <v>3</v>
      </c>
      <c r="E3031" s="24" t="s">
        <v>801</v>
      </c>
      <c r="F3031" s="24" t="s">
        <v>973</v>
      </c>
      <c r="G3031" s="24">
        <v>174959</v>
      </c>
    </row>
    <row r="3032" spans="1:7" x14ac:dyDescent="0.25">
      <c r="A3032" s="24" t="s">
        <v>378</v>
      </c>
      <c r="B3032" s="24" t="s">
        <v>34</v>
      </c>
      <c r="C3032" s="24" t="s">
        <v>31</v>
      </c>
      <c r="D3032" s="24">
        <v>3.7</v>
      </c>
      <c r="E3032" s="24" t="s">
        <v>801</v>
      </c>
      <c r="F3032" s="24" t="s">
        <v>973</v>
      </c>
      <c r="G3032" s="24">
        <v>174959</v>
      </c>
    </row>
    <row r="3033" spans="1:7" x14ac:dyDescent="0.25">
      <c r="A3033" s="24" t="s">
        <v>378</v>
      </c>
      <c r="B3033" s="24" t="s">
        <v>35</v>
      </c>
      <c r="C3033" s="24" t="s">
        <v>36</v>
      </c>
      <c r="D3033" s="24">
        <v>0.6</v>
      </c>
      <c r="E3033" s="24" t="s">
        <v>801</v>
      </c>
      <c r="F3033" s="24" t="s">
        <v>973</v>
      </c>
      <c r="G3033" s="24">
        <v>174959</v>
      </c>
    </row>
    <row r="3034" spans="1:7" x14ac:dyDescent="0.25">
      <c r="A3034" s="24" t="s">
        <v>378</v>
      </c>
      <c r="B3034" s="24" t="s">
        <v>37</v>
      </c>
      <c r="C3034" s="24" t="s">
        <v>38</v>
      </c>
      <c r="D3034" s="24">
        <v>0.6</v>
      </c>
      <c r="E3034" s="24" t="s">
        <v>801</v>
      </c>
      <c r="F3034" s="24" t="s">
        <v>973</v>
      </c>
      <c r="G3034" s="24">
        <v>174959</v>
      </c>
    </row>
    <row r="3035" spans="1:7" x14ac:dyDescent="0.25">
      <c r="A3035" s="24" t="s">
        <v>378</v>
      </c>
      <c r="B3035" s="24" t="s">
        <v>39</v>
      </c>
      <c r="C3035" s="24" t="s">
        <v>36</v>
      </c>
      <c r="D3035" s="24">
        <v>0.2</v>
      </c>
      <c r="E3035" s="24" t="s">
        <v>801</v>
      </c>
      <c r="F3035" s="24" t="s">
        <v>973</v>
      </c>
      <c r="G3035" s="24">
        <v>174959</v>
      </c>
    </row>
    <row r="3036" spans="1:7" x14ac:dyDescent="0.25">
      <c r="A3036" s="24" t="s">
        <v>378</v>
      </c>
      <c r="B3036" s="24" t="s">
        <v>40</v>
      </c>
      <c r="C3036" s="24" t="s">
        <v>31</v>
      </c>
      <c r="D3036" s="24">
        <v>0.3</v>
      </c>
      <c r="E3036" s="24" t="s">
        <v>801</v>
      </c>
      <c r="F3036" s="24" t="s">
        <v>973</v>
      </c>
      <c r="G3036" s="24">
        <v>174959</v>
      </c>
    </row>
    <row r="3037" spans="1:7" x14ac:dyDescent="0.25">
      <c r="A3037" s="24" t="s">
        <v>378</v>
      </c>
      <c r="B3037" s="24" t="s">
        <v>41</v>
      </c>
      <c r="C3037" s="24" t="s">
        <v>31</v>
      </c>
      <c r="D3037" s="24">
        <v>0.4</v>
      </c>
      <c r="E3037" s="24" t="s">
        <v>801</v>
      </c>
      <c r="F3037" s="24" t="s">
        <v>973</v>
      </c>
      <c r="G3037" s="24">
        <v>174959</v>
      </c>
    </row>
    <row r="3038" spans="1:7" x14ac:dyDescent="0.25">
      <c r="A3038" s="24" t="s">
        <v>378</v>
      </c>
      <c r="B3038" s="24" t="s">
        <v>42</v>
      </c>
      <c r="C3038" s="24" t="s">
        <v>43</v>
      </c>
      <c r="D3038" s="24">
        <v>2.1</v>
      </c>
      <c r="E3038" s="24" t="s">
        <v>801</v>
      </c>
      <c r="F3038" s="24" t="s">
        <v>973</v>
      </c>
      <c r="G3038" s="24">
        <v>174959</v>
      </c>
    </row>
    <row r="3039" spans="1:7" x14ac:dyDescent="0.25">
      <c r="A3039" s="24" t="s">
        <v>378</v>
      </c>
      <c r="B3039" s="24" t="s">
        <v>44</v>
      </c>
      <c r="C3039" s="24" t="s">
        <v>31</v>
      </c>
      <c r="D3039" s="24">
        <v>0.1</v>
      </c>
      <c r="E3039" s="24" t="s">
        <v>801</v>
      </c>
      <c r="F3039" s="24" t="s">
        <v>973</v>
      </c>
      <c r="G3039" s="24">
        <v>174959</v>
      </c>
    </row>
    <row r="3040" spans="1:7" x14ac:dyDescent="0.25">
      <c r="A3040" s="24" t="s">
        <v>378</v>
      </c>
      <c r="B3040" s="24" t="s">
        <v>45</v>
      </c>
      <c r="C3040" s="24" t="s">
        <v>31</v>
      </c>
      <c r="D3040" s="24">
        <v>1.1000000000000001</v>
      </c>
      <c r="E3040" s="24" t="s">
        <v>801</v>
      </c>
      <c r="F3040" s="24" t="s">
        <v>973</v>
      </c>
      <c r="G3040" s="24">
        <v>174959</v>
      </c>
    </row>
    <row r="3041" spans="1:7" x14ac:dyDescent="0.25">
      <c r="A3041" s="24" t="s">
        <v>378</v>
      </c>
      <c r="B3041" s="24" t="s">
        <v>46</v>
      </c>
      <c r="C3041" s="24" t="s">
        <v>36</v>
      </c>
      <c r="D3041" s="24">
        <v>0.8</v>
      </c>
      <c r="E3041" s="24" t="s">
        <v>801</v>
      </c>
      <c r="F3041" s="24" t="s">
        <v>973</v>
      </c>
      <c r="G3041" s="24">
        <v>174959</v>
      </c>
    </row>
    <row r="3042" spans="1:7" x14ac:dyDescent="0.25">
      <c r="A3042" s="24" t="s">
        <v>378</v>
      </c>
      <c r="B3042" s="24" t="s">
        <v>47</v>
      </c>
      <c r="C3042" s="24" t="s">
        <v>48</v>
      </c>
      <c r="D3042" s="24">
        <v>76</v>
      </c>
      <c r="E3042" s="24" t="s">
        <v>801</v>
      </c>
      <c r="F3042" s="24" t="s">
        <v>973</v>
      </c>
      <c r="G3042" s="24">
        <v>174959</v>
      </c>
    </row>
    <row r="3043" spans="1:7" x14ac:dyDescent="0.25">
      <c r="A3043" s="24" t="s">
        <v>378</v>
      </c>
      <c r="B3043" s="24" t="s">
        <v>50</v>
      </c>
      <c r="C3043" s="24" t="s">
        <v>31</v>
      </c>
      <c r="D3043" s="24">
        <v>113</v>
      </c>
      <c r="E3043" s="24" t="s">
        <v>801</v>
      </c>
      <c r="F3043" s="24" t="s">
        <v>973</v>
      </c>
      <c r="G3043" s="24">
        <v>174959</v>
      </c>
    </row>
    <row r="3044" spans="1:7" x14ac:dyDescent="0.25">
      <c r="A3044" s="24" t="s">
        <v>378</v>
      </c>
      <c r="B3044" s="24" t="s">
        <v>51</v>
      </c>
      <c r="C3044" s="24" t="s">
        <v>31</v>
      </c>
      <c r="D3044" s="24">
        <v>47</v>
      </c>
      <c r="E3044" s="24" t="s">
        <v>801</v>
      </c>
      <c r="F3044" s="24" t="s">
        <v>973</v>
      </c>
      <c r="G3044" s="24">
        <v>174959</v>
      </c>
    </row>
    <row r="3045" spans="1:7" x14ac:dyDescent="0.25">
      <c r="A3045" s="24" t="s">
        <v>378</v>
      </c>
      <c r="B3045" s="24" t="s">
        <v>52</v>
      </c>
      <c r="C3045" s="24" t="s">
        <v>31</v>
      </c>
      <c r="D3045" s="24">
        <v>173</v>
      </c>
      <c r="E3045" s="24" t="s">
        <v>801</v>
      </c>
      <c r="F3045" s="24" t="s">
        <v>973</v>
      </c>
      <c r="G3045" s="24">
        <v>174959</v>
      </c>
    </row>
    <row r="3046" spans="1:7" x14ac:dyDescent="0.25">
      <c r="A3046" s="24" t="s">
        <v>378</v>
      </c>
      <c r="B3046" s="24" t="s">
        <v>53</v>
      </c>
      <c r="C3046" s="24" t="s">
        <v>31</v>
      </c>
      <c r="D3046" s="24">
        <v>12</v>
      </c>
      <c r="E3046" s="24" t="s">
        <v>801</v>
      </c>
      <c r="F3046" s="24" t="s">
        <v>973</v>
      </c>
      <c r="G3046" s="24">
        <v>174959</v>
      </c>
    </row>
    <row r="3047" spans="1:7" x14ac:dyDescent="0.25">
      <c r="A3047" s="24" t="s">
        <v>378</v>
      </c>
      <c r="B3047" s="24" t="s">
        <v>54</v>
      </c>
      <c r="C3047" s="24" t="s">
        <v>31</v>
      </c>
      <c r="D3047" s="24">
        <v>3.6</v>
      </c>
      <c r="E3047" s="24" t="s">
        <v>801</v>
      </c>
      <c r="F3047" s="24" t="s">
        <v>973</v>
      </c>
      <c r="G3047" s="24">
        <v>174959</v>
      </c>
    </row>
    <row r="3048" spans="1:7" x14ac:dyDescent="0.25">
      <c r="A3048" s="24" t="s">
        <v>378</v>
      </c>
      <c r="B3048" s="24" t="s">
        <v>55</v>
      </c>
      <c r="C3048" s="24" t="s">
        <v>31</v>
      </c>
      <c r="D3048" s="24">
        <v>1.1000000000000001</v>
      </c>
      <c r="E3048" s="24" t="s">
        <v>801</v>
      </c>
      <c r="F3048" s="24" t="s">
        <v>973</v>
      </c>
      <c r="G3048" s="24">
        <v>174959</v>
      </c>
    </row>
    <row r="3049" spans="1:7" x14ac:dyDescent="0.25">
      <c r="A3049" s="24" t="s">
        <v>378</v>
      </c>
      <c r="B3049" s="24" t="s">
        <v>56</v>
      </c>
      <c r="C3049" s="24" t="s">
        <v>31</v>
      </c>
      <c r="D3049" s="24">
        <v>0.1</v>
      </c>
      <c r="E3049" s="24" t="s">
        <v>801</v>
      </c>
      <c r="F3049" s="24" t="s">
        <v>973</v>
      </c>
      <c r="G3049" s="24">
        <v>174959</v>
      </c>
    </row>
    <row r="3050" spans="1:7" x14ac:dyDescent="0.25">
      <c r="A3050" s="24" t="s">
        <v>378</v>
      </c>
      <c r="B3050" s="24" t="s">
        <v>57</v>
      </c>
      <c r="C3050" s="24" t="s">
        <v>36</v>
      </c>
      <c r="D3050" s="24">
        <v>21.1</v>
      </c>
      <c r="E3050" s="24" t="s">
        <v>801</v>
      </c>
      <c r="F3050" s="24" t="s">
        <v>973</v>
      </c>
      <c r="G3050" s="24">
        <v>174959</v>
      </c>
    </row>
    <row r="3051" spans="1:7" x14ac:dyDescent="0.25">
      <c r="A3051" s="24" t="s">
        <v>378</v>
      </c>
      <c r="B3051" s="24" t="s">
        <v>58</v>
      </c>
      <c r="C3051" s="24" t="s">
        <v>5</v>
      </c>
      <c r="D3051" s="24">
        <v>0</v>
      </c>
      <c r="E3051" s="24" t="s">
        <v>795</v>
      </c>
      <c r="F3051" s="24"/>
      <c r="G3051" s="24"/>
    </row>
    <row r="3052" spans="1:7" x14ac:dyDescent="0.25">
      <c r="A3052" s="24" t="s">
        <v>378</v>
      </c>
      <c r="B3052" s="24" t="s">
        <v>18</v>
      </c>
      <c r="C3052" s="24" t="s">
        <v>5</v>
      </c>
      <c r="D3052" s="24">
        <v>4</v>
      </c>
      <c r="E3052" s="24" t="s">
        <v>803</v>
      </c>
      <c r="F3052" s="24"/>
      <c r="G3052" s="24"/>
    </row>
    <row r="3053" spans="1:7" x14ac:dyDescent="0.25">
      <c r="A3053" s="24" t="s">
        <v>379</v>
      </c>
      <c r="B3053" s="24" t="s">
        <v>23</v>
      </c>
      <c r="C3053" s="24" t="s">
        <v>5</v>
      </c>
      <c r="D3053" s="24">
        <v>25.2</v>
      </c>
      <c r="E3053" s="24" t="s">
        <v>796</v>
      </c>
      <c r="F3053" s="24" t="s">
        <v>974</v>
      </c>
      <c r="G3053" s="24">
        <v>172725</v>
      </c>
    </row>
    <row r="3054" spans="1:7" x14ac:dyDescent="0.25">
      <c r="A3054" s="24" t="s">
        <v>379</v>
      </c>
      <c r="B3054" s="24" t="s">
        <v>32</v>
      </c>
      <c r="C3054" s="24" t="s">
        <v>33</v>
      </c>
      <c r="D3054" s="24">
        <v>5.0999999999999996</v>
      </c>
      <c r="E3054" s="24" t="s">
        <v>796</v>
      </c>
      <c r="F3054" s="24" t="s">
        <v>974</v>
      </c>
      <c r="G3054" s="24">
        <v>172725</v>
      </c>
    </row>
    <row r="3055" spans="1:7" x14ac:dyDescent="0.25">
      <c r="A3055" s="24" t="s">
        <v>379</v>
      </c>
      <c r="B3055" s="24" t="s">
        <v>34</v>
      </c>
      <c r="C3055" s="24" t="s">
        <v>31</v>
      </c>
      <c r="D3055" s="24">
        <v>0.5</v>
      </c>
      <c r="E3055" s="24" t="s">
        <v>796</v>
      </c>
      <c r="F3055" s="24" t="s">
        <v>974</v>
      </c>
      <c r="G3055" s="24">
        <v>172725</v>
      </c>
    </row>
    <row r="3056" spans="1:7" x14ac:dyDescent="0.25">
      <c r="A3056" s="24" t="s">
        <v>379</v>
      </c>
      <c r="B3056" s="24" t="s">
        <v>35</v>
      </c>
      <c r="C3056" s="24" t="s">
        <v>36</v>
      </c>
      <c r="D3056" s="24">
        <v>0</v>
      </c>
      <c r="E3056" s="24" t="s">
        <v>796</v>
      </c>
      <c r="F3056" s="24" t="s">
        <v>974</v>
      </c>
      <c r="G3056" s="24">
        <v>172725</v>
      </c>
    </row>
    <row r="3057" spans="1:7" x14ac:dyDescent="0.25">
      <c r="A3057" s="24" t="s">
        <v>379</v>
      </c>
      <c r="B3057" s="24" t="s">
        <v>37</v>
      </c>
      <c r="C3057" s="24" t="s">
        <v>38</v>
      </c>
      <c r="D3057" s="24">
        <v>0.3</v>
      </c>
      <c r="E3057" s="24" t="s">
        <v>796</v>
      </c>
      <c r="F3057" s="24" t="s">
        <v>974</v>
      </c>
      <c r="G3057" s="24">
        <v>172725</v>
      </c>
    </row>
    <row r="3058" spans="1:7" x14ac:dyDescent="0.25">
      <c r="A3058" s="24" t="s">
        <v>379</v>
      </c>
      <c r="B3058" s="24" t="s">
        <v>39</v>
      </c>
      <c r="C3058" s="24" t="s">
        <v>36</v>
      </c>
      <c r="D3058" s="24">
        <v>8.1999999999999993</v>
      </c>
      <c r="E3058" s="24" t="s">
        <v>796</v>
      </c>
      <c r="F3058" s="24" t="s">
        <v>974</v>
      </c>
      <c r="G3058" s="24">
        <v>172725</v>
      </c>
    </row>
    <row r="3059" spans="1:7" x14ac:dyDescent="0.25">
      <c r="A3059" s="24" t="s">
        <v>379</v>
      </c>
      <c r="B3059" s="24" t="s">
        <v>40</v>
      </c>
      <c r="C3059" s="24" t="s">
        <v>31</v>
      </c>
      <c r="D3059" s="24">
        <v>0.3</v>
      </c>
      <c r="E3059" s="24" t="s">
        <v>796</v>
      </c>
      <c r="F3059" s="24" t="s">
        <v>974</v>
      </c>
      <c r="G3059" s="24">
        <v>172725</v>
      </c>
    </row>
    <row r="3060" spans="1:7" x14ac:dyDescent="0.25">
      <c r="A3060" s="24" t="s">
        <v>379</v>
      </c>
      <c r="B3060" s="24" t="s">
        <v>41</v>
      </c>
      <c r="C3060" s="24" t="s">
        <v>31</v>
      </c>
      <c r="D3060" s="24">
        <v>0.2</v>
      </c>
      <c r="E3060" s="24" t="s">
        <v>796</v>
      </c>
      <c r="F3060" s="24" t="s">
        <v>974</v>
      </c>
      <c r="G3060" s="24">
        <v>172725</v>
      </c>
    </row>
    <row r="3061" spans="1:7" x14ac:dyDescent="0.25">
      <c r="A3061" s="24" t="s">
        <v>379</v>
      </c>
      <c r="B3061" s="24" t="s">
        <v>42</v>
      </c>
      <c r="C3061" s="24" t="s">
        <v>43</v>
      </c>
      <c r="D3061" s="24">
        <v>2.2999999999999998</v>
      </c>
      <c r="E3061" s="24" t="s">
        <v>796</v>
      </c>
      <c r="F3061" s="24" t="s">
        <v>974</v>
      </c>
      <c r="G3061" s="24">
        <v>172725</v>
      </c>
    </row>
    <row r="3062" spans="1:7" x14ac:dyDescent="0.25">
      <c r="A3062" s="24" t="s">
        <v>379</v>
      </c>
      <c r="B3062" s="24" t="s">
        <v>44</v>
      </c>
      <c r="C3062" s="24" t="s">
        <v>31</v>
      </c>
      <c r="D3062" s="24">
        <v>0.1</v>
      </c>
      <c r="E3062" s="24" t="s">
        <v>796</v>
      </c>
      <c r="F3062" s="24" t="s">
        <v>974</v>
      </c>
      <c r="G3062" s="24">
        <v>172725</v>
      </c>
    </row>
    <row r="3063" spans="1:7" x14ac:dyDescent="0.25">
      <c r="A3063" s="24" t="s">
        <v>379</v>
      </c>
      <c r="B3063" s="24" t="s">
        <v>45</v>
      </c>
      <c r="C3063" s="24" t="s">
        <v>31</v>
      </c>
      <c r="D3063" s="24">
        <v>0.4</v>
      </c>
      <c r="E3063" s="24" t="s">
        <v>796</v>
      </c>
      <c r="F3063" s="24" t="s">
        <v>974</v>
      </c>
      <c r="G3063" s="24">
        <v>172725</v>
      </c>
    </row>
    <row r="3064" spans="1:7" x14ac:dyDescent="0.25">
      <c r="A3064" s="24" t="s">
        <v>379</v>
      </c>
      <c r="B3064" s="24" t="s">
        <v>46</v>
      </c>
      <c r="C3064" s="24" t="s">
        <v>36</v>
      </c>
      <c r="D3064" s="24">
        <v>0</v>
      </c>
      <c r="E3064" s="24" t="s">
        <v>796</v>
      </c>
      <c r="F3064" s="24" t="s">
        <v>974</v>
      </c>
      <c r="G3064" s="24">
        <v>172725</v>
      </c>
    </row>
    <row r="3065" spans="1:7" x14ac:dyDescent="0.25">
      <c r="A3065" s="24" t="s">
        <v>379</v>
      </c>
      <c r="B3065" s="24" t="s">
        <v>47</v>
      </c>
      <c r="C3065" s="24" t="s">
        <v>48</v>
      </c>
      <c r="D3065" s="24">
        <v>97.2</v>
      </c>
      <c r="E3065" s="24" t="s">
        <v>796</v>
      </c>
      <c r="F3065" s="24" t="s">
        <v>974</v>
      </c>
      <c r="G3065" s="24">
        <v>172725</v>
      </c>
    </row>
    <row r="3066" spans="1:7" x14ac:dyDescent="0.25">
      <c r="A3066" s="24" t="s">
        <v>379</v>
      </c>
      <c r="B3066" s="24" t="s">
        <v>50</v>
      </c>
      <c r="C3066" s="24" t="s">
        <v>31</v>
      </c>
      <c r="D3066" s="24">
        <v>145.30000000000001</v>
      </c>
      <c r="E3066" s="24" t="s">
        <v>796</v>
      </c>
      <c r="F3066" s="24" t="s">
        <v>974</v>
      </c>
      <c r="G3066" s="24">
        <v>172725</v>
      </c>
    </row>
    <row r="3067" spans="1:7" x14ac:dyDescent="0.25">
      <c r="A3067" s="24" t="s">
        <v>379</v>
      </c>
      <c r="B3067" s="24" t="s">
        <v>51</v>
      </c>
      <c r="C3067" s="24" t="s">
        <v>31</v>
      </c>
      <c r="D3067" s="24">
        <v>37.9</v>
      </c>
      <c r="E3067" s="24" t="s">
        <v>796</v>
      </c>
      <c r="F3067" s="24" t="s">
        <v>974</v>
      </c>
      <c r="G3067" s="24">
        <v>172725</v>
      </c>
    </row>
    <row r="3068" spans="1:7" x14ac:dyDescent="0.25">
      <c r="A3068" s="24" t="s">
        <v>379</v>
      </c>
      <c r="B3068" s="24" t="s">
        <v>52</v>
      </c>
      <c r="C3068" s="24" t="s">
        <v>31</v>
      </c>
      <c r="D3068" s="24">
        <v>141.19999999999999</v>
      </c>
      <c r="E3068" s="24" t="s">
        <v>796</v>
      </c>
      <c r="F3068" s="24" t="s">
        <v>974</v>
      </c>
      <c r="G3068" s="24">
        <v>172725</v>
      </c>
    </row>
    <row r="3069" spans="1:7" x14ac:dyDescent="0.25">
      <c r="A3069" s="24" t="s">
        <v>379</v>
      </c>
      <c r="B3069" s="24" t="s">
        <v>53</v>
      </c>
      <c r="C3069" s="24" t="s">
        <v>31</v>
      </c>
      <c r="D3069" s="24">
        <v>33.799999999999997</v>
      </c>
      <c r="E3069" s="24" t="s">
        <v>796</v>
      </c>
      <c r="F3069" s="24" t="s">
        <v>974</v>
      </c>
      <c r="G3069" s="24">
        <v>172725</v>
      </c>
    </row>
    <row r="3070" spans="1:7" x14ac:dyDescent="0.25">
      <c r="A3070" s="24" t="s">
        <v>379</v>
      </c>
      <c r="B3070" s="24" t="s">
        <v>54</v>
      </c>
      <c r="C3070" s="24" t="s">
        <v>31</v>
      </c>
      <c r="D3070" s="24">
        <v>2.6</v>
      </c>
      <c r="E3070" s="24" t="s">
        <v>796</v>
      </c>
      <c r="F3070" s="24" t="s">
        <v>974</v>
      </c>
      <c r="G3070" s="24">
        <v>172725</v>
      </c>
    </row>
    <row r="3071" spans="1:7" x14ac:dyDescent="0.25">
      <c r="A3071" s="24" t="s">
        <v>379</v>
      </c>
      <c r="B3071" s="24" t="s">
        <v>55</v>
      </c>
      <c r="C3071" s="24" t="s">
        <v>31</v>
      </c>
      <c r="D3071" s="24">
        <v>0.8</v>
      </c>
      <c r="E3071" s="24" t="s">
        <v>796</v>
      </c>
      <c r="F3071" s="24" t="s">
        <v>974</v>
      </c>
      <c r="G3071" s="24">
        <v>172725</v>
      </c>
    </row>
    <row r="3072" spans="1:7" x14ac:dyDescent="0.25">
      <c r="A3072" s="24" t="s">
        <v>379</v>
      </c>
      <c r="B3072" s="24" t="s">
        <v>56</v>
      </c>
      <c r="C3072" s="24" t="s">
        <v>31</v>
      </c>
      <c r="D3072" s="24">
        <v>0.1</v>
      </c>
      <c r="E3072" s="24" t="s">
        <v>796</v>
      </c>
      <c r="F3072" s="24" t="s">
        <v>974</v>
      </c>
      <c r="G3072" s="24">
        <v>172725</v>
      </c>
    </row>
    <row r="3073" spans="1:7" x14ac:dyDescent="0.25">
      <c r="A3073" s="24" t="s">
        <v>379</v>
      </c>
      <c r="B3073" s="24" t="s">
        <v>57</v>
      </c>
      <c r="C3073" s="24" t="s">
        <v>36</v>
      </c>
      <c r="D3073" s="24">
        <v>10</v>
      </c>
      <c r="E3073" s="24" t="s">
        <v>796</v>
      </c>
      <c r="F3073" s="24" t="s">
        <v>974</v>
      </c>
      <c r="G3073" s="24">
        <v>172725</v>
      </c>
    </row>
    <row r="3074" spans="1:7" x14ac:dyDescent="0.25">
      <c r="A3074" s="24" t="s">
        <v>379</v>
      </c>
      <c r="B3074" s="24" t="s">
        <v>58</v>
      </c>
      <c r="C3074" s="24" t="s">
        <v>5</v>
      </c>
      <c r="D3074" s="24">
        <v>0</v>
      </c>
      <c r="E3074" s="24" t="s">
        <v>795</v>
      </c>
      <c r="F3074" s="24"/>
      <c r="G3074" s="24"/>
    </row>
    <row r="3075" spans="1:7" x14ac:dyDescent="0.25">
      <c r="A3075" s="24" t="s">
        <v>380</v>
      </c>
      <c r="B3075" s="24" t="s">
        <v>23</v>
      </c>
      <c r="C3075" s="24" t="s">
        <v>5</v>
      </c>
      <c r="D3075" s="24">
        <v>25.2</v>
      </c>
      <c r="E3075" s="24" t="s">
        <v>796</v>
      </c>
      <c r="F3075" s="24" t="s">
        <v>974</v>
      </c>
      <c r="G3075" s="24">
        <v>172725</v>
      </c>
    </row>
    <row r="3076" spans="1:7" x14ac:dyDescent="0.25">
      <c r="A3076" s="24" t="s">
        <v>380</v>
      </c>
      <c r="B3076" s="24" t="s">
        <v>32</v>
      </c>
      <c r="C3076" s="24" t="s">
        <v>33</v>
      </c>
      <c r="D3076" s="24">
        <v>5.0999999999999996</v>
      </c>
      <c r="E3076" s="24" t="s">
        <v>796</v>
      </c>
      <c r="F3076" s="24" t="s">
        <v>974</v>
      </c>
      <c r="G3076" s="24">
        <v>172725</v>
      </c>
    </row>
    <row r="3077" spans="1:7" x14ac:dyDescent="0.25">
      <c r="A3077" s="24" t="s">
        <v>380</v>
      </c>
      <c r="B3077" s="24" t="s">
        <v>34</v>
      </c>
      <c r="C3077" s="24" t="s">
        <v>31</v>
      </c>
      <c r="D3077" s="24">
        <v>0.5</v>
      </c>
      <c r="E3077" s="24" t="s">
        <v>796</v>
      </c>
      <c r="F3077" s="24" t="s">
        <v>974</v>
      </c>
      <c r="G3077" s="24">
        <v>172725</v>
      </c>
    </row>
    <row r="3078" spans="1:7" x14ac:dyDescent="0.25">
      <c r="A3078" s="24" t="s">
        <v>380</v>
      </c>
      <c r="B3078" s="24" t="s">
        <v>35</v>
      </c>
      <c r="C3078" s="24" t="s">
        <v>36</v>
      </c>
      <c r="D3078" s="24">
        <v>0</v>
      </c>
      <c r="E3078" s="24" t="s">
        <v>796</v>
      </c>
      <c r="F3078" s="24" t="s">
        <v>974</v>
      </c>
      <c r="G3078" s="24">
        <v>172725</v>
      </c>
    </row>
    <row r="3079" spans="1:7" x14ac:dyDescent="0.25">
      <c r="A3079" s="24" t="s">
        <v>380</v>
      </c>
      <c r="B3079" s="24" t="s">
        <v>37</v>
      </c>
      <c r="C3079" s="24" t="s">
        <v>38</v>
      </c>
      <c r="D3079" s="24">
        <v>0.3</v>
      </c>
      <c r="E3079" s="24" t="s">
        <v>796</v>
      </c>
      <c r="F3079" s="24" t="s">
        <v>974</v>
      </c>
      <c r="G3079" s="24">
        <v>172725</v>
      </c>
    </row>
    <row r="3080" spans="1:7" x14ac:dyDescent="0.25">
      <c r="A3080" s="24" t="s">
        <v>380</v>
      </c>
      <c r="B3080" s="24" t="s">
        <v>39</v>
      </c>
      <c r="C3080" s="24" t="s">
        <v>36</v>
      </c>
      <c r="D3080" s="24">
        <v>8.1999999999999993</v>
      </c>
      <c r="E3080" s="24" t="s">
        <v>796</v>
      </c>
      <c r="F3080" s="24" t="s">
        <v>974</v>
      </c>
      <c r="G3080" s="24">
        <v>172725</v>
      </c>
    </row>
    <row r="3081" spans="1:7" x14ac:dyDescent="0.25">
      <c r="A3081" s="24" t="s">
        <v>380</v>
      </c>
      <c r="B3081" s="24" t="s">
        <v>40</v>
      </c>
      <c r="C3081" s="24" t="s">
        <v>31</v>
      </c>
      <c r="D3081" s="24">
        <v>0.3</v>
      </c>
      <c r="E3081" s="24" t="s">
        <v>796</v>
      </c>
      <c r="F3081" s="24" t="s">
        <v>974</v>
      </c>
      <c r="G3081" s="24">
        <v>172725</v>
      </c>
    </row>
    <row r="3082" spans="1:7" x14ac:dyDescent="0.25">
      <c r="A3082" s="24" t="s">
        <v>380</v>
      </c>
      <c r="B3082" s="24" t="s">
        <v>41</v>
      </c>
      <c r="C3082" s="24" t="s">
        <v>31</v>
      </c>
      <c r="D3082" s="24">
        <v>0.2</v>
      </c>
      <c r="E3082" s="24" t="s">
        <v>796</v>
      </c>
      <c r="F3082" s="24" t="s">
        <v>974</v>
      </c>
      <c r="G3082" s="24">
        <v>172725</v>
      </c>
    </row>
    <row r="3083" spans="1:7" x14ac:dyDescent="0.25">
      <c r="A3083" s="24" t="s">
        <v>380</v>
      </c>
      <c r="B3083" s="24" t="s">
        <v>42</v>
      </c>
      <c r="C3083" s="24" t="s">
        <v>43</v>
      </c>
      <c r="D3083" s="24">
        <v>2.2999999999999998</v>
      </c>
      <c r="E3083" s="24" t="s">
        <v>796</v>
      </c>
      <c r="F3083" s="24" t="s">
        <v>974</v>
      </c>
      <c r="G3083" s="24">
        <v>172725</v>
      </c>
    </row>
    <row r="3084" spans="1:7" x14ac:dyDescent="0.25">
      <c r="A3084" s="24" t="s">
        <v>380</v>
      </c>
      <c r="B3084" s="24" t="s">
        <v>44</v>
      </c>
      <c r="C3084" s="24" t="s">
        <v>31</v>
      </c>
      <c r="D3084" s="24">
        <v>0.1</v>
      </c>
      <c r="E3084" s="24" t="s">
        <v>796</v>
      </c>
      <c r="F3084" s="24" t="s">
        <v>974</v>
      </c>
      <c r="G3084" s="24">
        <v>172725</v>
      </c>
    </row>
    <row r="3085" spans="1:7" x14ac:dyDescent="0.25">
      <c r="A3085" s="24" t="s">
        <v>380</v>
      </c>
      <c r="B3085" s="24" t="s">
        <v>45</v>
      </c>
      <c r="C3085" s="24" t="s">
        <v>31</v>
      </c>
      <c r="D3085" s="24">
        <v>0.4</v>
      </c>
      <c r="E3085" s="24" t="s">
        <v>796</v>
      </c>
      <c r="F3085" s="24" t="s">
        <v>974</v>
      </c>
      <c r="G3085" s="24">
        <v>172725</v>
      </c>
    </row>
    <row r="3086" spans="1:7" x14ac:dyDescent="0.25">
      <c r="A3086" s="24" t="s">
        <v>380</v>
      </c>
      <c r="B3086" s="24" t="s">
        <v>46</v>
      </c>
      <c r="C3086" s="24" t="s">
        <v>36</v>
      </c>
      <c r="D3086" s="24">
        <v>0</v>
      </c>
      <c r="E3086" s="24" t="s">
        <v>796</v>
      </c>
      <c r="F3086" s="24" t="s">
        <v>974</v>
      </c>
      <c r="G3086" s="24">
        <v>172725</v>
      </c>
    </row>
    <row r="3087" spans="1:7" x14ac:dyDescent="0.25">
      <c r="A3087" s="24" t="s">
        <v>380</v>
      </c>
      <c r="B3087" s="24" t="s">
        <v>47</v>
      </c>
      <c r="C3087" s="24" t="s">
        <v>48</v>
      </c>
      <c r="D3087" s="24">
        <v>97</v>
      </c>
      <c r="E3087" s="24" t="s">
        <v>796</v>
      </c>
      <c r="F3087" s="24" t="s">
        <v>974</v>
      </c>
      <c r="G3087" s="24">
        <v>172725</v>
      </c>
    </row>
    <row r="3088" spans="1:7" x14ac:dyDescent="0.25">
      <c r="A3088" s="24" t="s">
        <v>380</v>
      </c>
      <c r="B3088" s="24" t="s">
        <v>50</v>
      </c>
      <c r="C3088" s="24" t="s">
        <v>31</v>
      </c>
      <c r="D3088" s="24">
        <v>145</v>
      </c>
      <c r="E3088" s="24" t="s">
        <v>796</v>
      </c>
      <c r="F3088" s="24" t="s">
        <v>974</v>
      </c>
      <c r="G3088" s="24">
        <v>172725</v>
      </c>
    </row>
    <row r="3089" spans="1:7" x14ac:dyDescent="0.25">
      <c r="A3089" s="24" t="s">
        <v>380</v>
      </c>
      <c r="B3089" s="24" t="s">
        <v>51</v>
      </c>
      <c r="C3089" s="24" t="s">
        <v>31</v>
      </c>
      <c r="D3089" s="24">
        <v>37.799999999999997</v>
      </c>
      <c r="E3089" s="24" t="s">
        <v>796</v>
      </c>
      <c r="F3089" s="24" t="s">
        <v>974</v>
      </c>
      <c r="G3089" s="24">
        <v>172725</v>
      </c>
    </row>
    <row r="3090" spans="1:7" x14ac:dyDescent="0.25">
      <c r="A3090" s="24" t="s">
        <v>380</v>
      </c>
      <c r="B3090" s="24" t="s">
        <v>52</v>
      </c>
      <c r="C3090" s="24" t="s">
        <v>31</v>
      </c>
      <c r="D3090" s="24">
        <v>140.9</v>
      </c>
      <c r="E3090" s="24" t="s">
        <v>796</v>
      </c>
      <c r="F3090" s="24" t="s">
        <v>974</v>
      </c>
      <c r="G3090" s="24">
        <v>172725</v>
      </c>
    </row>
    <row r="3091" spans="1:7" x14ac:dyDescent="0.25">
      <c r="A3091" s="24" t="s">
        <v>380</v>
      </c>
      <c r="B3091" s="24" t="s">
        <v>53</v>
      </c>
      <c r="C3091" s="24" t="s">
        <v>31</v>
      </c>
      <c r="D3091" s="24">
        <v>33.700000000000003</v>
      </c>
      <c r="E3091" s="24" t="s">
        <v>796</v>
      </c>
      <c r="F3091" s="24" t="s">
        <v>974</v>
      </c>
      <c r="G3091" s="24">
        <v>172725</v>
      </c>
    </row>
    <row r="3092" spans="1:7" x14ac:dyDescent="0.25">
      <c r="A3092" s="24" t="s">
        <v>380</v>
      </c>
      <c r="B3092" s="24" t="s">
        <v>54</v>
      </c>
      <c r="C3092" s="24" t="s">
        <v>31</v>
      </c>
      <c r="D3092" s="24">
        <v>2.6</v>
      </c>
      <c r="E3092" s="24" t="s">
        <v>796</v>
      </c>
      <c r="F3092" s="24" t="s">
        <v>974</v>
      </c>
      <c r="G3092" s="24">
        <v>172725</v>
      </c>
    </row>
    <row r="3093" spans="1:7" x14ac:dyDescent="0.25">
      <c r="A3093" s="24" t="s">
        <v>380</v>
      </c>
      <c r="B3093" s="24" t="s">
        <v>55</v>
      </c>
      <c r="C3093" s="24" t="s">
        <v>31</v>
      </c>
      <c r="D3093" s="24">
        <v>0.8</v>
      </c>
      <c r="E3093" s="24" t="s">
        <v>796</v>
      </c>
      <c r="F3093" s="24" t="s">
        <v>974</v>
      </c>
      <c r="G3093" s="24">
        <v>172725</v>
      </c>
    </row>
    <row r="3094" spans="1:7" x14ac:dyDescent="0.25">
      <c r="A3094" s="24" t="s">
        <v>380</v>
      </c>
      <c r="B3094" s="24" t="s">
        <v>56</v>
      </c>
      <c r="C3094" s="24" t="s">
        <v>31</v>
      </c>
      <c r="D3094" s="24">
        <v>0.1</v>
      </c>
      <c r="E3094" s="24" t="s">
        <v>796</v>
      </c>
      <c r="F3094" s="24" t="s">
        <v>974</v>
      </c>
      <c r="G3094" s="24">
        <v>172725</v>
      </c>
    </row>
    <row r="3095" spans="1:7" x14ac:dyDescent="0.25">
      <c r="A3095" s="24" t="s">
        <v>380</v>
      </c>
      <c r="B3095" s="24" t="s">
        <v>57</v>
      </c>
      <c r="C3095" s="24" t="s">
        <v>36</v>
      </c>
      <c r="D3095" s="24">
        <v>10</v>
      </c>
      <c r="E3095" s="24" t="s">
        <v>796</v>
      </c>
      <c r="F3095" s="24" t="s">
        <v>974</v>
      </c>
      <c r="G3095" s="24">
        <v>172725</v>
      </c>
    </row>
    <row r="3096" spans="1:7" x14ac:dyDescent="0.25">
      <c r="A3096" s="24" t="s">
        <v>380</v>
      </c>
      <c r="B3096" s="24" t="s">
        <v>58</v>
      </c>
      <c r="C3096" s="24" t="s">
        <v>5</v>
      </c>
      <c r="D3096" s="24">
        <v>0</v>
      </c>
      <c r="E3096" s="24" t="s">
        <v>795</v>
      </c>
      <c r="F3096" s="24"/>
      <c r="G3096" s="24"/>
    </row>
    <row r="3097" spans="1:7" x14ac:dyDescent="0.25">
      <c r="A3097" s="24" t="s">
        <v>381</v>
      </c>
      <c r="B3097" s="24" t="s">
        <v>23</v>
      </c>
      <c r="C3097" s="24" t="s">
        <v>5</v>
      </c>
      <c r="D3097" s="24">
        <v>40.799999999999997</v>
      </c>
      <c r="E3097" s="24" t="s">
        <v>796</v>
      </c>
      <c r="F3097" s="24" t="s">
        <v>975</v>
      </c>
      <c r="G3097" s="24">
        <v>172718</v>
      </c>
    </row>
    <row r="3098" spans="1:7" x14ac:dyDescent="0.25">
      <c r="A3098" s="24" t="s">
        <v>381</v>
      </c>
      <c r="B3098" s="24" t="s">
        <v>32</v>
      </c>
      <c r="C3098" s="24" t="s">
        <v>33</v>
      </c>
      <c r="D3098" s="24">
        <v>1</v>
      </c>
      <c r="E3098" s="24" t="s">
        <v>796</v>
      </c>
      <c r="F3098" s="24" t="s">
        <v>975</v>
      </c>
      <c r="G3098" s="24">
        <v>172718</v>
      </c>
    </row>
    <row r="3099" spans="1:7" x14ac:dyDescent="0.25">
      <c r="A3099" s="24" t="s">
        <v>381</v>
      </c>
      <c r="B3099" s="24" t="s">
        <v>34</v>
      </c>
      <c r="C3099" s="24" t="s">
        <v>31</v>
      </c>
      <c r="D3099" s="24">
        <v>0</v>
      </c>
      <c r="E3099" s="24" t="s">
        <v>796</v>
      </c>
      <c r="F3099" s="24" t="s">
        <v>975</v>
      </c>
      <c r="G3099" s="24">
        <v>172718</v>
      </c>
    </row>
    <row r="3100" spans="1:7" x14ac:dyDescent="0.25">
      <c r="A3100" s="24" t="s">
        <v>381</v>
      </c>
      <c r="B3100" s="24" t="s">
        <v>35</v>
      </c>
      <c r="C3100" s="24" t="s">
        <v>36</v>
      </c>
      <c r="D3100" s="24">
        <v>0</v>
      </c>
      <c r="E3100" s="24" t="s">
        <v>796</v>
      </c>
      <c r="F3100" s="24" t="s">
        <v>975</v>
      </c>
      <c r="G3100" s="24">
        <v>172718</v>
      </c>
    </row>
    <row r="3101" spans="1:7" x14ac:dyDescent="0.25">
      <c r="A3101" s="24" t="s">
        <v>381</v>
      </c>
      <c r="B3101" s="24" t="s">
        <v>37</v>
      </c>
      <c r="C3101" s="24" t="s">
        <v>38</v>
      </c>
      <c r="D3101" s="24">
        <v>2.5</v>
      </c>
      <c r="E3101" s="24" t="s">
        <v>796</v>
      </c>
      <c r="F3101" s="24" t="s">
        <v>975</v>
      </c>
      <c r="G3101" s="24">
        <v>172718</v>
      </c>
    </row>
    <row r="3102" spans="1:7" x14ac:dyDescent="0.25">
      <c r="A3102" s="24" t="s">
        <v>381</v>
      </c>
      <c r="B3102" s="24" t="s">
        <v>39</v>
      </c>
      <c r="C3102" s="24" t="s">
        <v>36</v>
      </c>
      <c r="D3102" s="24">
        <v>27.5</v>
      </c>
      <c r="E3102" s="24" t="s">
        <v>796</v>
      </c>
      <c r="F3102" s="24" t="s">
        <v>975</v>
      </c>
      <c r="G3102" s="24">
        <v>172718</v>
      </c>
    </row>
    <row r="3103" spans="1:7" x14ac:dyDescent="0.25">
      <c r="A3103" s="24" t="s">
        <v>381</v>
      </c>
      <c r="B3103" s="24" t="s">
        <v>40</v>
      </c>
      <c r="C3103" s="24" t="s">
        <v>31</v>
      </c>
      <c r="D3103" s="24">
        <v>0.2</v>
      </c>
      <c r="E3103" s="24" t="s">
        <v>796</v>
      </c>
      <c r="F3103" s="24" t="s">
        <v>975</v>
      </c>
      <c r="G3103" s="24">
        <v>172718</v>
      </c>
    </row>
    <row r="3104" spans="1:7" x14ac:dyDescent="0.25">
      <c r="A3104" s="24" t="s">
        <v>381</v>
      </c>
      <c r="B3104" s="24" t="s">
        <v>41</v>
      </c>
      <c r="C3104" s="24" t="s">
        <v>31</v>
      </c>
      <c r="D3104" s="24">
        <v>0.2</v>
      </c>
      <c r="E3104" s="24" t="s">
        <v>796</v>
      </c>
      <c r="F3104" s="24" t="s">
        <v>975</v>
      </c>
      <c r="G3104" s="24">
        <v>172718</v>
      </c>
    </row>
    <row r="3105" spans="1:7" x14ac:dyDescent="0.25">
      <c r="A3105" s="24" t="s">
        <v>381</v>
      </c>
      <c r="B3105" s="24" t="s">
        <v>42</v>
      </c>
      <c r="C3105" s="24" t="s">
        <v>43</v>
      </c>
      <c r="D3105" s="24">
        <v>2.6</v>
      </c>
      <c r="E3105" s="24" t="s">
        <v>796</v>
      </c>
      <c r="F3105" s="24" t="s">
        <v>975</v>
      </c>
      <c r="G3105" s="24">
        <v>172718</v>
      </c>
    </row>
    <row r="3106" spans="1:7" x14ac:dyDescent="0.25">
      <c r="A3106" s="24" t="s">
        <v>381</v>
      </c>
      <c r="B3106" s="24" t="s">
        <v>44</v>
      </c>
      <c r="C3106" s="24" t="s">
        <v>31</v>
      </c>
      <c r="D3106" s="24">
        <v>0</v>
      </c>
      <c r="E3106" s="24" t="s">
        <v>796</v>
      </c>
      <c r="F3106" s="24" t="s">
        <v>975</v>
      </c>
      <c r="G3106" s="24">
        <v>172718</v>
      </c>
    </row>
    <row r="3107" spans="1:7" x14ac:dyDescent="0.25">
      <c r="A3107" s="24" t="s">
        <v>381</v>
      </c>
      <c r="B3107" s="24" t="s">
        <v>45</v>
      </c>
      <c r="C3107" s="24" t="s">
        <v>31</v>
      </c>
      <c r="D3107" s="24">
        <v>0.3</v>
      </c>
      <c r="E3107" s="24" t="s">
        <v>796</v>
      </c>
      <c r="F3107" s="24" t="s">
        <v>975</v>
      </c>
      <c r="G3107" s="24">
        <v>172718</v>
      </c>
    </row>
    <row r="3108" spans="1:7" x14ac:dyDescent="0.25">
      <c r="A3108" s="24" t="s">
        <v>381</v>
      </c>
      <c r="B3108" s="24" t="s">
        <v>46</v>
      </c>
      <c r="C3108" s="24" t="s">
        <v>36</v>
      </c>
      <c r="D3108" s="24">
        <v>0</v>
      </c>
      <c r="E3108" s="24" t="s">
        <v>796</v>
      </c>
      <c r="F3108" s="24" t="s">
        <v>975</v>
      </c>
      <c r="G3108" s="24">
        <v>172718</v>
      </c>
    </row>
    <row r="3109" spans="1:7" x14ac:dyDescent="0.25">
      <c r="A3109" s="24" t="s">
        <v>381</v>
      </c>
      <c r="B3109" s="24" t="s">
        <v>47</v>
      </c>
      <c r="C3109" s="24" t="s">
        <v>48</v>
      </c>
      <c r="D3109" s="24">
        <v>102.3</v>
      </c>
      <c r="E3109" s="24" t="s">
        <v>796</v>
      </c>
      <c r="F3109" s="24" t="s">
        <v>975</v>
      </c>
      <c r="G3109" s="24">
        <v>172718</v>
      </c>
    </row>
    <row r="3110" spans="1:7" x14ac:dyDescent="0.25">
      <c r="A3110" s="24" t="s">
        <v>381</v>
      </c>
      <c r="B3110" s="24" t="s">
        <v>50</v>
      </c>
      <c r="C3110" s="24" t="s">
        <v>31</v>
      </c>
      <c r="D3110" s="24">
        <v>234.7</v>
      </c>
      <c r="E3110" s="24" t="s">
        <v>796</v>
      </c>
      <c r="F3110" s="24" t="s">
        <v>975</v>
      </c>
      <c r="G3110" s="24">
        <v>172718</v>
      </c>
    </row>
    <row r="3111" spans="1:7" x14ac:dyDescent="0.25">
      <c r="A3111" s="24" t="s">
        <v>381</v>
      </c>
      <c r="B3111" s="24" t="s">
        <v>51</v>
      </c>
      <c r="C3111" s="24" t="s">
        <v>31</v>
      </c>
      <c r="D3111" s="24">
        <v>21.1</v>
      </c>
      <c r="E3111" s="24" t="s">
        <v>796</v>
      </c>
      <c r="F3111" s="24" t="s">
        <v>975</v>
      </c>
      <c r="G3111" s="24">
        <v>172718</v>
      </c>
    </row>
    <row r="3112" spans="1:7" x14ac:dyDescent="0.25">
      <c r="A3112" s="24" t="s">
        <v>381</v>
      </c>
      <c r="B3112" s="24" t="s">
        <v>52</v>
      </c>
      <c r="C3112" s="24" t="s">
        <v>31</v>
      </c>
      <c r="D3112" s="24">
        <v>93.3</v>
      </c>
      <c r="E3112" s="24" t="s">
        <v>796</v>
      </c>
      <c r="F3112" s="24" t="s">
        <v>975</v>
      </c>
      <c r="G3112" s="24">
        <v>172718</v>
      </c>
    </row>
    <row r="3113" spans="1:7" x14ac:dyDescent="0.25">
      <c r="A3113" s="24" t="s">
        <v>381</v>
      </c>
      <c r="B3113" s="24" t="s">
        <v>53</v>
      </c>
      <c r="C3113" s="24" t="s">
        <v>31</v>
      </c>
      <c r="D3113" s="24">
        <v>47.2</v>
      </c>
      <c r="E3113" s="24" t="s">
        <v>796</v>
      </c>
      <c r="F3113" s="24" t="s">
        <v>975</v>
      </c>
      <c r="G3113" s="24">
        <v>172718</v>
      </c>
    </row>
    <row r="3114" spans="1:7" x14ac:dyDescent="0.25">
      <c r="A3114" s="24" t="s">
        <v>381</v>
      </c>
      <c r="B3114" s="24" t="s">
        <v>54</v>
      </c>
      <c r="C3114" s="24" t="s">
        <v>31</v>
      </c>
      <c r="D3114" s="24">
        <v>12.2</v>
      </c>
      <c r="E3114" s="24" t="s">
        <v>796</v>
      </c>
      <c r="F3114" s="24" t="s">
        <v>975</v>
      </c>
      <c r="G3114" s="24">
        <v>172718</v>
      </c>
    </row>
    <row r="3115" spans="1:7" x14ac:dyDescent="0.25">
      <c r="A3115" s="24" t="s">
        <v>381</v>
      </c>
      <c r="B3115" s="24" t="s">
        <v>55</v>
      </c>
      <c r="C3115" s="24" t="s">
        <v>31</v>
      </c>
      <c r="D3115" s="24">
        <v>0.7</v>
      </c>
      <c r="E3115" s="24" t="s">
        <v>796</v>
      </c>
      <c r="F3115" s="24" t="s">
        <v>975</v>
      </c>
      <c r="G3115" s="24">
        <v>172718</v>
      </c>
    </row>
    <row r="3116" spans="1:7" x14ac:dyDescent="0.25">
      <c r="A3116" s="24" t="s">
        <v>381</v>
      </c>
      <c r="B3116" s="24" t="s">
        <v>56</v>
      </c>
      <c r="C3116" s="24" t="s">
        <v>31</v>
      </c>
      <c r="D3116" s="24">
        <v>0.3</v>
      </c>
      <c r="E3116" s="24" t="s">
        <v>796</v>
      </c>
      <c r="F3116" s="24" t="s">
        <v>975</v>
      </c>
      <c r="G3116" s="24">
        <v>172718</v>
      </c>
    </row>
    <row r="3117" spans="1:7" x14ac:dyDescent="0.25">
      <c r="A3117" s="24" t="s">
        <v>381</v>
      </c>
      <c r="B3117" s="24" t="s">
        <v>57</v>
      </c>
      <c r="C3117" s="24" t="s">
        <v>36</v>
      </c>
      <c r="D3117" s="24">
        <v>5.2</v>
      </c>
      <c r="E3117" s="24" t="s">
        <v>796</v>
      </c>
      <c r="F3117" s="24" t="s">
        <v>975</v>
      </c>
      <c r="G3117" s="24">
        <v>172718</v>
      </c>
    </row>
    <row r="3118" spans="1:7" x14ac:dyDescent="0.25">
      <c r="A3118" s="24" t="s">
        <v>381</v>
      </c>
      <c r="B3118" s="24" t="s">
        <v>58</v>
      </c>
      <c r="C3118" s="24" t="s">
        <v>5</v>
      </c>
      <c r="D3118" s="24">
        <v>0</v>
      </c>
      <c r="E3118" s="24" t="s">
        <v>795</v>
      </c>
      <c r="F3118" s="24"/>
      <c r="G3118" s="24"/>
    </row>
    <row r="3119" spans="1:7" x14ac:dyDescent="0.25">
      <c r="A3119" s="24" t="s">
        <v>382</v>
      </c>
      <c r="B3119" s="24" t="s">
        <v>23</v>
      </c>
      <c r="C3119" s="24" t="s">
        <v>5</v>
      </c>
      <c r="D3119" s="24">
        <v>25</v>
      </c>
      <c r="E3119" s="24" t="s">
        <v>796</v>
      </c>
      <c r="F3119" s="24" t="s">
        <v>974</v>
      </c>
      <c r="G3119" s="24">
        <v>172725</v>
      </c>
    </row>
    <row r="3120" spans="1:7" x14ac:dyDescent="0.25">
      <c r="A3120" s="24" t="s">
        <v>382</v>
      </c>
      <c r="B3120" s="24" t="s">
        <v>32</v>
      </c>
      <c r="C3120" s="24" t="s">
        <v>33</v>
      </c>
      <c r="D3120" s="24">
        <v>5.0999999999999996</v>
      </c>
      <c r="E3120" s="24" t="s">
        <v>796</v>
      </c>
      <c r="F3120" s="24" t="s">
        <v>974</v>
      </c>
      <c r="G3120" s="24">
        <v>172725</v>
      </c>
    </row>
    <row r="3121" spans="1:7" x14ac:dyDescent="0.25">
      <c r="A3121" s="24" t="s">
        <v>382</v>
      </c>
      <c r="B3121" s="24" t="s">
        <v>34</v>
      </c>
      <c r="C3121" s="24" t="s">
        <v>31</v>
      </c>
      <c r="D3121" s="24">
        <v>0.5</v>
      </c>
      <c r="E3121" s="24" t="s">
        <v>796</v>
      </c>
      <c r="F3121" s="24" t="s">
        <v>974</v>
      </c>
      <c r="G3121" s="24">
        <v>172725</v>
      </c>
    </row>
    <row r="3122" spans="1:7" x14ac:dyDescent="0.25">
      <c r="A3122" s="24" t="s">
        <v>382</v>
      </c>
      <c r="B3122" s="24" t="s">
        <v>35</v>
      </c>
      <c r="C3122" s="24" t="s">
        <v>36</v>
      </c>
      <c r="D3122" s="24">
        <v>0</v>
      </c>
      <c r="E3122" s="24" t="s">
        <v>796</v>
      </c>
      <c r="F3122" s="24" t="s">
        <v>974</v>
      </c>
      <c r="G3122" s="24">
        <v>172725</v>
      </c>
    </row>
    <row r="3123" spans="1:7" x14ac:dyDescent="0.25">
      <c r="A3123" s="24" t="s">
        <v>382</v>
      </c>
      <c r="B3123" s="24" t="s">
        <v>37</v>
      </c>
      <c r="C3123" s="24" t="s">
        <v>38</v>
      </c>
      <c r="D3123" s="24">
        <v>0.3</v>
      </c>
      <c r="E3123" s="24" t="s">
        <v>796</v>
      </c>
      <c r="F3123" s="24" t="s">
        <v>974</v>
      </c>
      <c r="G3123" s="24">
        <v>172725</v>
      </c>
    </row>
    <row r="3124" spans="1:7" x14ac:dyDescent="0.25">
      <c r="A3124" s="24" t="s">
        <v>382</v>
      </c>
      <c r="B3124" s="24" t="s">
        <v>39</v>
      </c>
      <c r="C3124" s="24" t="s">
        <v>36</v>
      </c>
      <c r="D3124" s="24">
        <v>8.1</v>
      </c>
      <c r="E3124" s="24" t="s">
        <v>796</v>
      </c>
      <c r="F3124" s="24" t="s">
        <v>974</v>
      </c>
      <c r="G3124" s="24">
        <v>172725</v>
      </c>
    </row>
    <row r="3125" spans="1:7" x14ac:dyDescent="0.25">
      <c r="A3125" s="24" t="s">
        <v>382</v>
      </c>
      <c r="B3125" s="24" t="s">
        <v>40</v>
      </c>
      <c r="C3125" s="24" t="s">
        <v>31</v>
      </c>
      <c r="D3125" s="24">
        <v>0.3</v>
      </c>
      <c r="E3125" s="24" t="s">
        <v>796</v>
      </c>
      <c r="F3125" s="24" t="s">
        <v>974</v>
      </c>
      <c r="G3125" s="24">
        <v>172725</v>
      </c>
    </row>
    <row r="3126" spans="1:7" x14ac:dyDescent="0.25">
      <c r="A3126" s="24" t="s">
        <v>382</v>
      </c>
      <c r="B3126" s="24" t="s">
        <v>41</v>
      </c>
      <c r="C3126" s="24" t="s">
        <v>31</v>
      </c>
      <c r="D3126" s="24">
        <v>0.2</v>
      </c>
      <c r="E3126" s="24" t="s">
        <v>796</v>
      </c>
      <c r="F3126" s="24" t="s">
        <v>974</v>
      </c>
      <c r="G3126" s="24">
        <v>172725</v>
      </c>
    </row>
    <row r="3127" spans="1:7" x14ac:dyDescent="0.25">
      <c r="A3127" s="24" t="s">
        <v>382</v>
      </c>
      <c r="B3127" s="24" t="s">
        <v>42</v>
      </c>
      <c r="C3127" s="24" t="s">
        <v>43</v>
      </c>
      <c r="D3127" s="24">
        <v>2.2999999999999998</v>
      </c>
      <c r="E3127" s="24" t="s">
        <v>796</v>
      </c>
      <c r="F3127" s="24" t="s">
        <v>974</v>
      </c>
      <c r="G3127" s="24">
        <v>172725</v>
      </c>
    </row>
    <row r="3128" spans="1:7" x14ac:dyDescent="0.25">
      <c r="A3128" s="24" t="s">
        <v>382</v>
      </c>
      <c r="B3128" s="24" t="s">
        <v>44</v>
      </c>
      <c r="C3128" s="24" t="s">
        <v>31</v>
      </c>
      <c r="D3128" s="24">
        <v>0.1</v>
      </c>
      <c r="E3128" s="24" t="s">
        <v>796</v>
      </c>
      <c r="F3128" s="24" t="s">
        <v>974</v>
      </c>
      <c r="G3128" s="24">
        <v>172725</v>
      </c>
    </row>
    <row r="3129" spans="1:7" x14ac:dyDescent="0.25">
      <c r="A3129" s="24" t="s">
        <v>382</v>
      </c>
      <c r="B3129" s="24" t="s">
        <v>45</v>
      </c>
      <c r="C3129" s="24" t="s">
        <v>31</v>
      </c>
      <c r="D3129" s="24">
        <v>0.4</v>
      </c>
      <c r="E3129" s="24" t="s">
        <v>796</v>
      </c>
      <c r="F3129" s="24" t="s">
        <v>974</v>
      </c>
      <c r="G3129" s="24">
        <v>172725</v>
      </c>
    </row>
    <row r="3130" spans="1:7" x14ac:dyDescent="0.25">
      <c r="A3130" s="24" t="s">
        <v>382</v>
      </c>
      <c r="B3130" s="24" t="s">
        <v>46</v>
      </c>
      <c r="C3130" s="24" t="s">
        <v>36</v>
      </c>
      <c r="D3130" s="24">
        <v>0</v>
      </c>
      <c r="E3130" s="24" t="s">
        <v>796</v>
      </c>
      <c r="F3130" s="24" t="s">
        <v>974</v>
      </c>
      <c r="G3130" s="24">
        <v>172725</v>
      </c>
    </row>
    <row r="3131" spans="1:7" x14ac:dyDescent="0.25">
      <c r="A3131" s="24" t="s">
        <v>382</v>
      </c>
      <c r="B3131" s="24" t="s">
        <v>47</v>
      </c>
      <c r="C3131" s="24" t="s">
        <v>48</v>
      </c>
      <c r="D3131" s="24">
        <v>96.3</v>
      </c>
      <c r="E3131" s="24" t="s">
        <v>796</v>
      </c>
      <c r="F3131" s="24" t="s">
        <v>974</v>
      </c>
      <c r="G3131" s="24">
        <v>172725</v>
      </c>
    </row>
    <row r="3132" spans="1:7" x14ac:dyDescent="0.25">
      <c r="A3132" s="24" t="s">
        <v>382</v>
      </c>
      <c r="B3132" s="24" t="s">
        <v>50</v>
      </c>
      <c r="C3132" s="24" t="s">
        <v>31</v>
      </c>
      <c r="D3132" s="24">
        <v>144</v>
      </c>
      <c r="E3132" s="24" t="s">
        <v>796</v>
      </c>
      <c r="F3132" s="24" t="s">
        <v>974</v>
      </c>
      <c r="G3132" s="24">
        <v>172725</v>
      </c>
    </row>
    <row r="3133" spans="1:7" x14ac:dyDescent="0.25">
      <c r="A3133" s="24" t="s">
        <v>382</v>
      </c>
      <c r="B3133" s="24" t="s">
        <v>51</v>
      </c>
      <c r="C3133" s="24" t="s">
        <v>31</v>
      </c>
      <c r="D3133" s="24">
        <v>37.5</v>
      </c>
      <c r="E3133" s="24" t="s">
        <v>796</v>
      </c>
      <c r="F3133" s="24" t="s">
        <v>974</v>
      </c>
      <c r="G3133" s="24">
        <v>172725</v>
      </c>
    </row>
    <row r="3134" spans="1:7" x14ac:dyDescent="0.25">
      <c r="A3134" s="24" t="s">
        <v>382</v>
      </c>
      <c r="B3134" s="24" t="s">
        <v>52</v>
      </c>
      <c r="C3134" s="24" t="s">
        <v>31</v>
      </c>
      <c r="D3134" s="24">
        <v>139.9</v>
      </c>
      <c r="E3134" s="24" t="s">
        <v>796</v>
      </c>
      <c r="F3134" s="24" t="s">
        <v>974</v>
      </c>
      <c r="G3134" s="24">
        <v>172725</v>
      </c>
    </row>
    <row r="3135" spans="1:7" x14ac:dyDescent="0.25">
      <c r="A3135" s="24" t="s">
        <v>382</v>
      </c>
      <c r="B3135" s="24" t="s">
        <v>53</v>
      </c>
      <c r="C3135" s="24" t="s">
        <v>31</v>
      </c>
      <c r="D3135" s="24">
        <v>33.5</v>
      </c>
      <c r="E3135" s="24" t="s">
        <v>796</v>
      </c>
      <c r="F3135" s="24" t="s">
        <v>974</v>
      </c>
      <c r="G3135" s="24">
        <v>172725</v>
      </c>
    </row>
    <row r="3136" spans="1:7" x14ac:dyDescent="0.25">
      <c r="A3136" s="24" t="s">
        <v>382</v>
      </c>
      <c r="B3136" s="24" t="s">
        <v>54</v>
      </c>
      <c r="C3136" s="24" t="s">
        <v>31</v>
      </c>
      <c r="D3136" s="24">
        <v>2.6</v>
      </c>
      <c r="E3136" s="24" t="s">
        <v>796</v>
      </c>
      <c r="F3136" s="24" t="s">
        <v>974</v>
      </c>
      <c r="G3136" s="24">
        <v>172725</v>
      </c>
    </row>
    <row r="3137" spans="1:7" x14ac:dyDescent="0.25">
      <c r="A3137" s="24" t="s">
        <v>382</v>
      </c>
      <c r="B3137" s="24" t="s">
        <v>55</v>
      </c>
      <c r="C3137" s="24" t="s">
        <v>31</v>
      </c>
      <c r="D3137" s="24">
        <v>0.8</v>
      </c>
      <c r="E3137" s="24" t="s">
        <v>796</v>
      </c>
      <c r="F3137" s="24" t="s">
        <v>974</v>
      </c>
      <c r="G3137" s="24">
        <v>172725</v>
      </c>
    </row>
    <row r="3138" spans="1:7" x14ac:dyDescent="0.25">
      <c r="A3138" s="24" t="s">
        <v>382</v>
      </c>
      <c r="B3138" s="24" t="s">
        <v>56</v>
      </c>
      <c r="C3138" s="24" t="s">
        <v>31</v>
      </c>
      <c r="D3138" s="24">
        <v>0.1</v>
      </c>
      <c r="E3138" s="24" t="s">
        <v>796</v>
      </c>
      <c r="F3138" s="24" t="s">
        <v>974</v>
      </c>
      <c r="G3138" s="24">
        <v>172725</v>
      </c>
    </row>
    <row r="3139" spans="1:7" x14ac:dyDescent="0.25">
      <c r="A3139" s="24" t="s">
        <v>382</v>
      </c>
      <c r="B3139" s="24" t="s">
        <v>57</v>
      </c>
      <c r="C3139" s="24" t="s">
        <v>36</v>
      </c>
      <c r="D3139" s="24">
        <v>9.9</v>
      </c>
      <c r="E3139" s="24" t="s">
        <v>796</v>
      </c>
      <c r="F3139" s="24" t="s">
        <v>974</v>
      </c>
      <c r="G3139" s="24">
        <v>172725</v>
      </c>
    </row>
    <row r="3140" spans="1:7" x14ac:dyDescent="0.25">
      <c r="A3140" s="24" t="s">
        <v>382</v>
      </c>
      <c r="B3140" s="24" t="s">
        <v>58</v>
      </c>
      <c r="C3140" s="24" t="s">
        <v>5</v>
      </c>
      <c r="D3140" s="24">
        <v>0</v>
      </c>
      <c r="E3140" s="24" t="s">
        <v>795</v>
      </c>
      <c r="F3140" s="24"/>
      <c r="G3140" s="24"/>
    </row>
    <row r="3141" spans="1:7" x14ac:dyDescent="0.25">
      <c r="A3141" s="24" t="s">
        <v>383</v>
      </c>
      <c r="B3141" s="24" t="s">
        <v>23</v>
      </c>
      <c r="C3141" s="24" t="s">
        <v>5</v>
      </c>
      <c r="D3141" s="24">
        <v>25.2</v>
      </c>
      <c r="E3141" s="24" t="s">
        <v>796</v>
      </c>
      <c r="F3141" s="24" t="s">
        <v>974</v>
      </c>
      <c r="G3141" s="24">
        <v>172725</v>
      </c>
    </row>
    <row r="3142" spans="1:7" x14ac:dyDescent="0.25">
      <c r="A3142" s="24" t="s">
        <v>383</v>
      </c>
      <c r="B3142" s="24" t="s">
        <v>32</v>
      </c>
      <c r="C3142" s="24" t="s">
        <v>33</v>
      </c>
      <c r="D3142" s="24">
        <v>5.0999999999999996</v>
      </c>
      <c r="E3142" s="24" t="s">
        <v>796</v>
      </c>
      <c r="F3142" s="24" t="s">
        <v>974</v>
      </c>
      <c r="G3142" s="24">
        <v>172725</v>
      </c>
    </row>
    <row r="3143" spans="1:7" x14ac:dyDescent="0.25">
      <c r="A3143" s="24" t="s">
        <v>383</v>
      </c>
      <c r="B3143" s="24" t="s">
        <v>34</v>
      </c>
      <c r="C3143" s="24" t="s">
        <v>31</v>
      </c>
      <c r="D3143" s="24">
        <v>0.5</v>
      </c>
      <c r="E3143" s="24" t="s">
        <v>796</v>
      </c>
      <c r="F3143" s="24" t="s">
        <v>974</v>
      </c>
      <c r="G3143" s="24">
        <v>172725</v>
      </c>
    </row>
    <row r="3144" spans="1:7" x14ac:dyDescent="0.25">
      <c r="A3144" s="24" t="s">
        <v>383</v>
      </c>
      <c r="B3144" s="24" t="s">
        <v>35</v>
      </c>
      <c r="C3144" s="24" t="s">
        <v>36</v>
      </c>
      <c r="D3144" s="24">
        <v>0</v>
      </c>
      <c r="E3144" s="24" t="s">
        <v>796</v>
      </c>
      <c r="F3144" s="24" t="s">
        <v>974</v>
      </c>
      <c r="G3144" s="24">
        <v>172725</v>
      </c>
    </row>
    <row r="3145" spans="1:7" x14ac:dyDescent="0.25">
      <c r="A3145" s="24" t="s">
        <v>383</v>
      </c>
      <c r="B3145" s="24" t="s">
        <v>37</v>
      </c>
      <c r="C3145" s="24" t="s">
        <v>38</v>
      </c>
      <c r="D3145" s="24">
        <v>0.3</v>
      </c>
      <c r="E3145" s="24" t="s">
        <v>796</v>
      </c>
      <c r="F3145" s="24" t="s">
        <v>974</v>
      </c>
      <c r="G3145" s="24">
        <v>172725</v>
      </c>
    </row>
    <row r="3146" spans="1:7" x14ac:dyDescent="0.25">
      <c r="A3146" s="24" t="s">
        <v>383</v>
      </c>
      <c r="B3146" s="24" t="s">
        <v>39</v>
      </c>
      <c r="C3146" s="24" t="s">
        <v>36</v>
      </c>
      <c r="D3146" s="24">
        <v>8.1999999999999993</v>
      </c>
      <c r="E3146" s="24" t="s">
        <v>796</v>
      </c>
      <c r="F3146" s="24" t="s">
        <v>974</v>
      </c>
      <c r="G3146" s="24">
        <v>172725</v>
      </c>
    </row>
    <row r="3147" spans="1:7" x14ac:dyDescent="0.25">
      <c r="A3147" s="24" t="s">
        <v>383</v>
      </c>
      <c r="B3147" s="24" t="s">
        <v>40</v>
      </c>
      <c r="C3147" s="24" t="s">
        <v>31</v>
      </c>
      <c r="D3147" s="24">
        <v>0.3</v>
      </c>
      <c r="E3147" s="24" t="s">
        <v>796</v>
      </c>
      <c r="F3147" s="24" t="s">
        <v>974</v>
      </c>
      <c r="G3147" s="24">
        <v>172725</v>
      </c>
    </row>
    <row r="3148" spans="1:7" x14ac:dyDescent="0.25">
      <c r="A3148" s="24" t="s">
        <v>383</v>
      </c>
      <c r="B3148" s="24" t="s">
        <v>41</v>
      </c>
      <c r="C3148" s="24" t="s">
        <v>31</v>
      </c>
      <c r="D3148" s="24">
        <v>0.2</v>
      </c>
      <c r="E3148" s="24" t="s">
        <v>796</v>
      </c>
      <c r="F3148" s="24" t="s">
        <v>974</v>
      </c>
      <c r="G3148" s="24">
        <v>172725</v>
      </c>
    </row>
    <row r="3149" spans="1:7" x14ac:dyDescent="0.25">
      <c r="A3149" s="24" t="s">
        <v>383</v>
      </c>
      <c r="B3149" s="24" t="s">
        <v>42</v>
      </c>
      <c r="C3149" s="24" t="s">
        <v>43</v>
      </c>
      <c r="D3149" s="24">
        <v>2.2999999999999998</v>
      </c>
      <c r="E3149" s="24" t="s">
        <v>796</v>
      </c>
      <c r="F3149" s="24" t="s">
        <v>974</v>
      </c>
      <c r="G3149" s="24">
        <v>172725</v>
      </c>
    </row>
    <row r="3150" spans="1:7" x14ac:dyDescent="0.25">
      <c r="A3150" s="24" t="s">
        <v>383</v>
      </c>
      <c r="B3150" s="24" t="s">
        <v>44</v>
      </c>
      <c r="C3150" s="24" t="s">
        <v>31</v>
      </c>
      <c r="D3150" s="24">
        <v>0.1</v>
      </c>
      <c r="E3150" s="24" t="s">
        <v>796</v>
      </c>
      <c r="F3150" s="24" t="s">
        <v>974</v>
      </c>
      <c r="G3150" s="24">
        <v>172725</v>
      </c>
    </row>
    <row r="3151" spans="1:7" x14ac:dyDescent="0.25">
      <c r="A3151" s="24" t="s">
        <v>383</v>
      </c>
      <c r="B3151" s="24" t="s">
        <v>45</v>
      </c>
      <c r="C3151" s="24" t="s">
        <v>31</v>
      </c>
      <c r="D3151" s="24">
        <v>0.4</v>
      </c>
      <c r="E3151" s="24" t="s">
        <v>796</v>
      </c>
      <c r="F3151" s="24" t="s">
        <v>974</v>
      </c>
      <c r="G3151" s="24">
        <v>172725</v>
      </c>
    </row>
    <row r="3152" spans="1:7" x14ac:dyDescent="0.25">
      <c r="A3152" s="24" t="s">
        <v>383</v>
      </c>
      <c r="B3152" s="24" t="s">
        <v>46</v>
      </c>
      <c r="C3152" s="24" t="s">
        <v>36</v>
      </c>
      <c r="D3152" s="24">
        <v>0</v>
      </c>
      <c r="E3152" s="24" t="s">
        <v>796</v>
      </c>
      <c r="F3152" s="24" t="s">
        <v>974</v>
      </c>
      <c r="G3152" s="24">
        <v>172725</v>
      </c>
    </row>
    <row r="3153" spans="1:7" x14ac:dyDescent="0.25">
      <c r="A3153" s="24" t="s">
        <v>383</v>
      </c>
      <c r="B3153" s="24" t="s">
        <v>47</v>
      </c>
      <c r="C3153" s="24" t="s">
        <v>48</v>
      </c>
      <c r="D3153" s="24">
        <v>97</v>
      </c>
      <c r="E3153" s="24" t="s">
        <v>796</v>
      </c>
      <c r="F3153" s="24" t="s">
        <v>974</v>
      </c>
      <c r="G3153" s="24">
        <v>172725</v>
      </c>
    </row>
    <row r="3154" spans="1:7" x14ac:dyDescent="0.25">
      <c r="A3154" s="24" t="s">
        <v>383</v>
      </c>
      <c r="B3154" s="24" t="s">
        <v>50</v>
      </c>
      <c r="C3154" s="24" t="s">
        <v>31</v>
      </c>
      <c r="D3154" s="24">
        <v>145</v>
      </c>
      <c r="E3154" s="24" t="s">
        <v>796</v>
      </c>
      <c r="F3154" s="24" t="s">
        <v>974</v>
      </c>
      <c r="G3154" s="24">
        <v>172725</v>
      </c>
    </row>
    <row r="3155" spans="1:7" x14ac:dyDescent="0.25">
      <c r="A3155" s="24" t="s">
        <v>383</v>
      </c>
      <c r="B3155" s="24" t="s">
        <v>51</v>
      </c>
      <c r="C3155" s="24" t="s">
        <v>31</v>
      </c>
      <c r="D3155" s="24">
        <v>37.799999999999997</v>
      </c>
      <c r="E3155" s="24" t="s">
        <v>796</v>
      </c>
      <c r="F3155" s="24" t="s">
        <v>974</v>
      </c>
      <c r="G3155" s="24">
        <v>172725</v>
      </c>
    </row>
    <row r="3156" spans="1:7" x14ac:dyDescent="0.25">
      <c r="A3156" s="24" t="s">
        <v>383</v>
      </c>
      <c r="B3156" s="24" t="s">
        <v>52</v>
      </c>
      <c r="C3156" s="24" t="s">
        <v>31</v>
      </c>
      <c r="D3156" s="24">
        <v>140.9</v>
      </c>
      <c r="E3156" s="24" t="s">
        <v>796</v>
      </c>
      <c r="F3156" s="24" t="s">
        <v>974</v>
      </c>
      <c r="G3156" s="24">
        <v>172725</v>
      </c>
    </row>
    <row r="3157" spans="1:7" x14ac:dyDescent="0.25">
      <c r="A3157" s="24" t="s">
        <v>383</v>
      </c>
      <c r="B3157" s="24" t="s">
        <v>53</v>
      </c>
      <c r="C3157" s="24" t="s">
        <v>31</v>
      </c>
      <c r="D3157" s="24">
        <v>33.700000000000003</v>
      </c>
      <c r="E3157" s="24" t="s">
        <v>796</v>
      </c>
      <c r="F3157" s="24" t="s">
        <v>974</v>
      </c>
      <c r="G3157" s="24">
        <v>172725</v>
      </c>
    </row>
    <row r="3158" spans="1:7" x14ac:dyDescent="0.25">
      <c r="A3158" s="24" t="s">
        <v>383</v>
      </c>
      <c r="B3158" s="24" t="s">
        <v>54</v>
      </c>
      <c r="C3158" s="24" t="s">
        <v>31</v>
      </c>
      <c r="D3158" s="24">
        <v>2.6</v>
      </c>
      <c r="E3158" s="24" t="s">
        <v>796</v>
      </c>
      <c r="F3158" s="24" t="s">
        <v>974</v>
      </c>
      <c r="G3158" s="24">
        <v>172725</v>
      </c>
    </row>
    <row r="3159" spans="1:7" x14ac:dyDescent="0.25">
      <c r="A3159" s="24" t="s">
        <v>383</v>
      </c>
      <c r="B3159" s="24" t="s">
        <v>55</v>
      </c>
      <c r="C3159" s="24" t="s">
        <v>31</v>
      </c>
      <c r="D3159" s="24">
        <v>0.8</v>
      </c>
      <c r="E3159" s="24" t="s">
        <v>796</v>
      </c>
      <c r="F3159" s="24" t="s">
        <v>974</v>
      </c>
      <c r="G3159" s="24">
        <v>172725</v>
      </c>
    </row>
    <row r="3160" spans="1:7" x14ac:dyDescent="0.25">
      <c r="A3160" s="24" t="s">
        <v>383</v>
      </c>
      <c r="B3160" s="24" t="s">
        <v>56</v>
      </c>
      <c r="C3160" s="24" t="s">
        <v>31</v>
      </c>
      <c r="D3160" s="24">
        <v>0.1</v>
      </c>
      <c r="E3160" s="24" t="s">
        <v>796</v>
      </c>
      <c r="F3160" s="24" t="s">
        <v>974</v>
      </c>
      <c r="G3160" s="24">
        <v>172725</v>
      </c>
    </row>
    <row r="3161" spans="1:7" x14ac:dyDescent="0.25">
      <c r="A3161" s="24" t="s">
        <v>383</v>
      </c>
      <c r="B3161" s="24" t="s">
        <v>57</v>
      </c>
      <c r="C3161" s="24" t="s">
        <v>36</v>
      </c>
      <c r="D3161" s="24">
        <v>10</v>
      </c>
      <c r="E3161" s="24" t="s">
        <v>796</v>
      </c>
      <c r="F3161" s="24" t="s">
        <v>974</v>
      </c>
      <c r="G3161" s="24">
        <v>172725</v>
      </c>
    </row>
    <row r="3162" spans="1:7" x14ac:dyDescent="0.25">
      <c r="A3162" s="24" t="s">
        <v>383</v>
      </c>
      <c r="B3162" s="24" t="s">
        <v>58</v>
      </c>
      <c r="C3162" s="24" t="s">
        <v>5</v>
      </c>
      <c r="D3162" s="24">
        <v>0</v>
      </c>
      <c r="E3162" s="24" t="s">
        <v>795</v>
      </c>
      <c r="F3162" s="24"/>
      <c r="G3162" s="24"/>
    </row>
    <row r="3163" spans="1:7" x14ac:dyDescent="0.25">
      <c r="A3163" s="24" t="s">
        <v>384</v>
      </c>
      <c r="B3163" s="24" t="s">
        <v>23</v>
      </c>
      <c r="C3163" s="24" t="s">
        <v>5</v>
      </c>
      <c r="D3163" s="24">
        <v>32.700000000000003</v>
      </c>
      <c r="E3163" s="24" t="s">
        <v>796</v>
      </c>
      <c r="F3163" s="24" t="s">
        <v>976</v>
      </c>
      <c r="G3163" s="24">
        <v>172716</v>
      </c>
    </row>
    <row r="3164" spans="1:7" x14ac:dyDescent="0.25">
      <c r="A3164" s="24" t="s">
        <v>384</v>
      </c>
      <c r="B3164" s="24" t="s">
        <v>29</v>
      </c>
      <c r="C3164" s="24" t="s">
        <v>5</v>
      </c>
      <c r="D3164" s="24">
        <v>0.63</v>
      </c>
      <c r="E3164" s="24" t="s">
        <v>799</v>
      </c>
      <c r="F3164" s="24" t="s">
        <v>976</v>
      </c>
      <c r="G3164" s="24">
        <v>172716</v>
      </c>
    </row>
    <row r="3165" spans="1:7" x14ac:dyDescent="0.25">
      <c r="A3165" s="24" t="s">
        <v>384</v>
      </c>
      <c r="B3165" s="24" t="s">
        <v>35</v>
      </c>
      <c r="C3165" s="24" t="s">
        <v>36</v>
      </c>
      <c r="D3165" s="24">
        <v>0</v>
      </c>
      <c r="E3165" s="24" t="s">
        <v>796</v>
      </c>
      <c r="F3165" s="24" t="s">
        <v>976</v>
      </c>
      <c r="G3165" s="24">
        <v>172716</v>
      </c>
    </row>
    <row r="3166" spans="1:7" x14ac:dyDescent="0.25">
      <c r="A3166" s="24" t="s">
        <v>384</v>
      </c>
      <c r="B3166" s="24" t="s">
        <v>37</v>
      </c>
      <c r="C3166" s="24" t="s">
        <v>38</v>
      </c>
      <c r="D3166" s="24">
        <v>2</v>
      </c>
      <c r="E3166" s="24" t="s">
        <v>796</v>
      </c>
      <c r="F3166" s="24" t="s">
        <v>976</v>
      </c>
      <c r="G3166" s="24">
        <v>172716</v>
      </c>
    </row>
    <row r="3167" spans="1:7" x14ac:dyDescent="0.25">
      <c r="A3167" s="24" t="s">
        <v>384</v>
      </c>
      <c r="B3167" s="24" t="s">
        <v>39</v>
      </c>
      <c r="C3167" s="24" t="s">
        <v>36</v>
      </c>
      <c r="D3167" s="24">
        <v>33.5</v>
      </c>
      <c r="E3167" s="24" t="s">
        <v>796</v>
      </c>
      <c r="F3167" s="24" t="s">
        <v>976</v>
      </c>
      <c r="G3167" s="24">
        <v>172716</v>
      </c>
    </row>
    <row r="3168" spans="1:7" x14ac:dyDescent="0.25">
      <c r="A3168" s="24" t="s">
        <v>384</v>
      </c>
      <c r="B3168" s="24" t="s">
        <v>57</v>
      </c>
      <c r="C3168" s="24" t="s">
        <v>36</v>
      </c>
      <c r="D3168" s="24">
        <v>3.9</v>
      </c>
      <c r="E3168" s="24" t="s">
        <v>796</v>
      </c>
      <c r="F3168" s="24" t="s">
        <v>976</v>
      </c>
      <c r="G3168" s="24">
        <v>172716</v>
      </c>
    </row>
    <row r="3169" spans="1:7" x14ac:dyDescent="0.25">
      <c r="A3169" s="24" t="s">
        <v>384</v>
      </c>
      <c r="B3169" s="24" t="s">
        <v>58</v>
      </c>
      <c r="C3169" s="24" t="s">
        <v>5</v>
      </c>
      <c r="D3169" s="24">
        <v>0</v>
      </c>
      <c r="E3169" s="24" t="s">
        <v>795</v>
      </c>
      <c r="F3169" s="24"/>
      <c r="G3169" s="24"/>
    </row>
    <row r="3170" spans="1:7" x14ac:dyDescent="0.25">
      <c r="A3170" s="24" t="s">
        <v>385</v>
      </c>
      <c r="B3170" s="24" t="s">
        <v>23</v>
      </c>
      <c r="C3170" s="24" t="s">
        <v>5</v>
      </c>
      <c r="D3170" s="24">
        <v>37.799999999999997</v>
      </c>
      <c r="E3170" s="24" t="s">
        <v>796</v>
      </c>
      <c r="F3170" s="24" t="s">
        <v>977</v>
      </c>
      <c r="G3170" s="24">
        <v>172714</v>
      </c>
    </row>
    <row r="3171" spans="1:7" x14ac:dyDescent="0.25">
      <c r="A3171" s="24" t="s">
        <v>385</v>
      </c>
      <c r="B3171" s="24" t="s">
        <v>32</v>
      </c>
      <c r="C3171" s="24" t="s">
        <v>33</v>
      </c>
      <c r="D3171" s="24">
        <v>3</v>
      </c>
      <c r="E3171" s="24" t="s">
        <v>796</v>
      </c>
      <c r="F3171" s="24" t="s">
        <v>977</v>
      </c>
      <c r="G3171" s="24">
        <v>172714</v>
      </c>
    </row>
    <row r="3172" spans="1:7" x14ac:dyDescent="0.25">
      <c r="A3172" s="24" t="s">
        <v>385</v>
      </c>
      <c r="B3172" s="24" t="s">
        <v>34</v>
      </c>
      <c r="C3172" s="24" t="s">
        <v>31</v>
      </c>
      <c r="D3172" s="24">
        <v>0</v>
      </c>
      <c r="E3172" s="24" t="s">
        <v>796</v>
      </c>
      <c r="F3172" s="24" t="s">
        <v>977</v>
      </c>
      <c r="G3172" s="24">
        <v>172714</v>
      </c>
    </row>
    <row r="3173" spans="1:7" x14ac:dyDescent="0.25">
      <c r="A3173" s="24" t="s">
        <v>385</v>
      </c>
      <c r="B3173" s="24" t="s">
        <v>35</v>
      </c>
      <c r="C3173" s="24" t="s">
        <v>36</v>
      </c>
      <c r="D3173" s="24">
        <v>0</v>
      </c>
      <c r="E3173" s="24" t="s">
        <v>796</v>
      </c>
      <c r="F3173" s="24" t="s">
        <v>977</v>
      </c>
      <c r="G3173" s="24">
        <v>172714</v>
      </c>
    </row>
    <row r="3174" spans="1:7" x14ac:dyDescent="0.25">
      <c r="A3174" s="24" t="s">
        <v>385</v>
      </c>
      <c r="B3174" s="24" t="s">
        <v>37</v>
      </c>
      <c r="C3174" s="24" t="s">
        <v>38</v>
      </c>
      <c r="D3174" s="24">
        <v>0.7</v>
      </c>
      <c r="E3174" s="24" t="s">
        <v>796</v>
      </c>
      <c r="F3174" s="24" t="s">
        <v>977</v>
      </c>
      <c r="G3174" s="24">
        <v>172714</v>
      </c>
    </row>
    <row r="3175" spans="1:7" x14ac:dyDescent="0.25">
      <c r="A3175" s="24" t="s">
        <v>385</v>
      </c>
      <c r="B3175" s="24" t="s">
        <v>39</v>
      </c>
      <c r="C3175" s="24" t="s">
        <v>36</v>
      </c>
      <c r="D3175" s="24">
        <v>2.4</v>
      </c>
      <c r="E3175" s="24" t="s">
        <v>796</v>
      </c>
      <c r="F3175" s="24" t="s">
        <v>977</v>
      </c>
      <c r="G3175" s="24">
        <v>172714</v>
      </c>
    </row>
    <row r="3176" spans="1:7" x14ac:dyDescent="0.25">
      <c r="A3176" s="24" t="s">
        <v>385</v>
      </c>
      <c r="B3176" s="24" t="s">
        <v>40</v>
      </c>
      <c r="C3176" s="24" t="s">
        <v>31</v>
      </c>
      <c r="D3176" s="24">
        <v>0.2</v>
      </c>
      <c r="E3176" s="24" t="s">
        <v>796</v>
      </c>
      <c r="F3176" s="24" t="s">
        <v>977</v>
      </c>
      <c r="G3176" s="24">
        <v>172714</v>
      </c>
    </row>
    <row r="3177" spans="1:7" x14ac:dyDescent="0.25">
      <c r="A3177" s="24" t="s">
        <v>385</v>
      </c>
      <c r="B3177" s="24" t="s">
        <v>41</v>
      </c>
      <c r="C3177" s="24" t="s">
        <v>31</v>
      </c>
      <c r="D3177" s="24">
        <v>0.3</v>
      </c>
      <c r="E3177" s="24" t="s">
        <v>796</v>
      </c>
      <c r="F3177" s="24" t="s">
        <v>977</v>
      </c>
      <c r="G3177" s="24">
        <v>172714</v>
      </c>
    </row>
    <row r="3178" spans="1:7" x14ac:dyDescent="0.25">
      <c r="A3178" s="24" t="s">
        <v>385</v>
      </c>
      <c r="B3178" s="24" t="s">
        <v>42</v>
      </c>
      <c r="C3178" s="24" t="s">
        <v>43</v>
      </c>
      <c r="D3178" s="24">
        <v>2.9</v>
      </c>
      <c r="E3178" s="24" t="s">
        <v>796</v>
      </c>
      <c r="F3178" s="24" t="s">
        <v>977</v>
      </c>
      <c r="G3178" s="24">
        <v>172714</v>
      </c>
    </row>
    <row r="3179" spans="1:7" x14ac:dyDescent="0.25">
      <c r="A3179" s="24" t="s">
        <v>385</v>
      </c>
      <c r="B3179" s="24" t="s">
        <v>44</v>
      </c>
      <c r="C3179" s="24" t="s">
        <v>31</v>
      </c>
      <c r="D3179" s="24">
        <v>0.1</v>
      </c>
      <c r="E3179" s="24" t="s">
        <v>796</v>
      </c>
      <c r="F3179" s="24" t="s">
        <v>977</v>
      </c>
      <c r="G3179" s="24">
        <v>172714</v>
      </c>
    </row>
    <row r="3180" spans="1:7" x14ac:dyDescent="0.25">
      <c r="A3180" s="24" t="s">
        <v>385</v>
      </c>
      <c r="B3180" s="24" t="s">
        <v>45</v>
      </c>
      <c r="C3180" s="24" t="s">
        <v>31</v>
      </c>
      <c r="D3180" s="24">
        <v>0.4</v>
      </c>
      <c r="E3180" s="24" t="s">
        <v>796</v>
      </c>
      <c r="F3180" s="24" t="s">
        <v>977</v>
      </c>
      <c r="G3180" s="24">
        <v>172714</v>
      </c>
    </row>
    <row r="3181" spans="1:7" x14ac:dyDescent="0.25">
      <c r="A3181" s="24" t="s">
        <v>385</v>
      </c>
      <c r="B3181" s="24" t="s">
        <v>46</v>
      </c>
      <c r="C3181" s="24" t="s">
        <v>36</v>
      </c>
      <c r="D3181" s="24">
        <v>0.1</v>
      </c>
      <c r="E3181" s="24" t="s">
        <v>796</v>
      </c>
      <c r="F3181" s="24" t="s">
        <v>977</v>
      </c>
      <c r="G3181" s="24">
        <v>172714</v>
      </c>
    </row>
    <row r="3182" spans="1:7" x14ac:dyDescent="0.25">
      <c r="A3182" s="24" t="s">
        <v>385</v>
      </c>
      <c r="B3182" s="24" t="s">
        <v>47</v>
      </c>
      <c r="C3182" s="24" t="s">
        <v>48</v>
      </c>
      <c r="D3182" s="24">
        <v>75.7</v>
      </c>
      <c r="E3182" s="24" t="s">
        <v>796</v>
      </c>
      <c r="F3182" s="24" t="s">
        <v>977</v>
      </c>
      <c r="G3182" s="24">
        <v>172714</v>
      </c>
    </row>
    <row r="3183" spans="1:7" x14ac:dyDescent="0.25">
      <c r="A3183" s="24" t="s">
        <v>385</v>
      </c>
      <c r="B3183" s="24" t="s">
        <v>50</v>
      </c>
      <c r="C3183" s="24" t="s">
        <v>31</v>
      </c>
      <c r="D3183" s="24">
        <v>212</v>
      </c>
      <c r="E3183" s="24" t="s">
        <v>796</v>
      </c>
      <c r="F3183" s="24" t="s">
        <v>977</v>
      </c>
      <c r="G3183" s="24">
        <v>172714</v>
      </c>
    </row>
    <row r="3184" spans="1:7" x14ac:dyDescent="0.25">
      <c r="A3184" s="24" t="s">
        <v>385</v>
      </c>
      <c r="B3184" s="24" t="s">
        <v>51</v>
      </c>
      <c r="C3184" s="24" t="s">
        <v>31</v>
      </c>
      <c r="D3184" s="24">
        <v>31.3</v>
      </c>
      <c r="E3184" s="24" t="s">
        <v>796</v>
      </c>
      <c r="F3184" s="24" t="s">
        <v>977</v>
      </c>
      <c r="G3184" s="24">
        <v>172714</v>
      </c>
    </row>
    <row r="3185" spans="1:7" x14ac:dyDescent="0.25">
      <c r="A3185" s="24" t="s">
        <v>385</v>
      </c>
      <c r="B3185" s="24" t="s">
        <v>52</v>
      </c>
      <c r="C3185" s="24" t="s">
        <v>31</v>
      </c>
      <c r="D3185" s="24">
        <v>133.19999999999999</v>
      </c>
      <c r="E3185" s="24" t="s">
        <v>796</v>
      </c>
      <c r="F3185" s="24" t="s">
        <v>977</v>
      </c>
      <c r="G3185" s="24">
        <v>172714</v>
      </c>
    </row>
    <row r="3186" spans="1:7" x14ac:dyDescent="0.25">
      <c r="A3186" s="24" t="s">
        <v>385</v>
      </c>
      <c r="B3186" s="24" t="s">
        <v>53</v>
      </c>
      <c r="C3186" s="24" t="s">
        <v>31</v>
      </c>
      <c r="D3186" s="24">
        <v>53.5</v>
      </c>
      <c r="E3186" s="24" t="s">
        <v>796</v>
      </c>
      <c r="F3186" s="24" t="s">
        <v>977</v>
      </c>
      <c r="G3186" s="24">
        <v>172714</v>
      </c>
    </row>
    <row r="3187" spans="1:7" x14ac:dyDescent="0.25">
      <c r="A3187" s="24" t="s">
        <v>385</v>
      </c>
      <c r="B3187" s="24" t="s">
        <v>54</v>
      </c>
      <c r="C3187" s="24" t="s">
        <v>31</v>
      </c>
      <c r="D3187" s="24">
        <v>4</v>
      </c>
      <c r="E3187" s="24" t="s">
        <v>796</v>
      </c>
      <c r="F3187" s="24" t="s">
        <v>977</v>
      </c>
      <c r="G3187" s="24">
        <v>172714</v>
      </c>
    </row>
    <row r="3188" spans="1:7" x14ac:dyDescent="0.25">
      <c r="A3188" s="24" t="s">
        <v>385</v>
      </c>
      <c r="B3188" s="24" t="s">
        <v>55</v>
      </c>
      <c r="C3188" s="24" t="s">
        <v>31</v>
      </c>
      <c r="D3188" s="24">
        <v>1.1000000000000001</v>
      </c>
      <c r="E3188" s="24" t="s">
        <v>796</v>
      </c>
      <c r="F3188" s="24" t="s">
        <v>977</v>
      </c>
      <c r="G3188" s="24">
        <v>172714</v>
      </c>
    </row>
    <row r="3189" spans="1:7" x14ac:dyDescent="0.25">
      <c r="A3189" s="24" t="s">
        <v>385</v>
      </c>
      <c r="B3189" s="24" t="s">
        <v>56</v>
      </c>
      <c r="C3189" s="24" t="s">
        <v>31</v>
      </c>
      <c r="D3189" s="24">
        <v>0.5</v>
      </c>
      <c r="E3189" s="24" t="s">
        <v>796</v>
      </c>
      <c r="F3189" s="24" t="s">
        <v>977</v>
      </c>
      <c r="G3189" s="24">
        <v>172714</v>
      </c>
    </row>
    <row r="3190" spans="1:7" x14ac:dyDescent="0.25">
      <c r="A3190" s="24" t="s">
        <v>385</v>
      </c>
      <c r="B3190" s="24" t="s">
        <v>57</v>
      </c>
      <c r="C3190" s="24" t="s">
        <v>36</v>
      </c>
      <c r="D3190" s="24">
        <v>5.8</v>
      </c>
      <c r="E3190" s="24" t="s">
        <v>796</v>
      </c>
      <c r="F3190" s="24" t="s">
        <v>977</v>
      </c>
      <c r="G3190" s="24">
        <v>172714</v>
      </c>
    </row>
    <row r="3191" spans="1:7" x14ac:dyDescent="0.25">
      <c r="A3191" s="24" t="s">
        <v>385</v>
      </c>
      <c r="B3191" s="24" t="s">
        <v>58</v>
      </c>
      <c r="C3191" s="24" t="s">
        <v>5</v>
      </c>
      <c r="D3191" s="24">
        <v>0</v>
      </c>
      <c r="E3191" s="24" t="s">
        <v>795</v>
      </c>
      <c r="F3191" s="24"/>
      <c r="G3191" s="24"/>
    </row>
    <row r="3192" spans="1:7" x14ac:dyDescent="0.25">
      <c r="A3192" s="24" t="s">
        <v>386</v>
      </c>
      <c r="B3192" s="24" t="s">
        <v>23</v>
      </c>
      <c r="C3192" s="24" t="s">
        <v>5</v>
      </c>
      <c r="D3192" s="24">
        <v>0.9</v>
      </c>
      <c r="E3192" s="24" t="s">
        <v>796</v>
      </c>
      <c r="F3192" s="24" t="s">
        <v>978</v>
      </c>
      <c r="G3192" s="24">
        <v>170250</v>
      </c>
    </row>
    <row r="3193" spans="1:7" x14ac:dyDescent="0.25">
      <c r="A3193" s="24" t="s">
        <v>386</v>
      </c>
      <c r="B3193" s="24" t="s">
        <v>26</v>
      </c>
      <c r="C3193" s="24" t="s">
        <v>5</v>
      </c>
      <c r="D3193" s="24">
        <v>0.06</v>
      </c>
      <c r="E3193" s="24" t="s">
        <v>799</v>
      </c>
      <c r="F3193" s="24" t="s">
        <v>978</v>
      </c>
      <c r="G3193" s="24">
        <v>170250</v>
      </c>
    </row>
    <row r="3194" spans="1:7" x14ac:dyDescent="0.25">
      <c r="A3194" s="24" t="s">
        <v>386</v>
      </c>
      <c r="B3194" s="24" t="s">
        <v>27</v>
      </c>
      <c r="C3194" s="24" t="s">
        <v>5</v>
      </c>
      <c r="D3194" s="24">
        <v>0.11</v>
      </c>
      <c r="E3194" s="24" t="s">
        <v>799</v>
      </c>
      <c r="F3194" s="24" t="s">
        <v>978</v>
      </c>
      <c r="G3194" s="24">
        <v>170250</v>
      </c>
    </row>
    <row r="3195" spans="1:7" x14ac:dyDescent="0.25">
      <c r="A3195" s="24" t="s">
        <v>386</v>
      </c>
      <c r="B3195" s="24" t="s">
        <v>28</v>
      </c>
      <c r="C3195" s="24" t="s">
        <v>5</v>
      </c>
      <c r="D3195" s="24">
        <v>0.11</v>
      </c>
      <c r="E3195" s="24" t="s">
        <v>799</v>
      </c>
      <c r="F3195" s="24" t="s">
        <v>978</v>
      </c>
      <c r="G3195" s="24">
        <v>170250</v>
      </c>
    </row>
    <row r="3196" spans="1:7" x14ac:dyDescent="0.25">
      <c r="A3196" s="24" t="s">
        <v>386</v>
      </c>
      <c r="B3196" s="24" t="s">
        <v>30</v>
      </c>
      <c r="C3196" s="24" t="s">
        <v>31</v>
      </c>
      <c r="D3196" s="24">
        <v>0</v>
      </c>
      <c r="E3196" s="24" t="s">
        <v>801</v>
      </c>
      <c r="F3196" s="24" t="s">
        <v>978</v>
      </c>
      <c r="G3196" s="24">
        <v>170250</v>
      </c>
    </row>
    <row r="3197" spans="1:7" x14ac:dyDescent="0.25">
      <c r="A3197" s="24" t="s">
        <v>386</v>
      </c>
      <c r="B3197" s="24" t="s">
        <v>32</v>
      </c>
      <c r="C3197" s="24" t="s">
        <v>33</v>
      </c>
      <c r="D3197" s="24">
        <v>0</v>
      </c>
      <c r="E3197" s="24" t="s">
        <v>796</v>
      </c>
      <c r="F3197" s="24" t="s">
        <v>978</v>
      </c>
      <c r="G3197" s="24">
        <v>170250</v>
      </c>
    </row>
    <row r="3198" spans="1:7" x14ac:dyDescent="0.25">
      <c r="A3198" s="24" t="s">
        <v>386</v>
      </c>
      <c r="B3198" s="24" t="s">
        <v>34</v>
      </c>
      <c r="C3198" s="24" t="s">
        <v>31</v>
      </c>
      <c r="D3198" s="24">
        <v>0</v>
      </c>
      <c r="E3198" s="24" t="s">
        <v>796</v>
      </c>
      <c r="F3198" s="24" t="s">
        <v>978</v>
      </c>
      <c r="G3198" s="24">
        <v>170250</v>
      </c>
    </row>
    <row r="3199" spans="1:7" x14ac:dyDescent="0.25">
      <c r="A3199" s="24" t="s">
        <v>386</v>
      </c>
      <c r="B3199" s="24" t="s">
        <v>35</v>
      </c>
      <c r="C3199" s="24" t="s">
        <v>36</v>
      </c>
      <c r="D3199" s="24">
        <v>0</v>
      </c>
      <c r="E3199" s="24" t="s">
        <v>796</v>
      </c>
      <c r="F3199" s="24" t="s">
        <v>978</v>
      </c>
      <c r="G3199" s="24">
        <v>170250</v>
      </c>
    </row>
    <row r="3200" spans="1:7" x14ac:dyDescent="0.25">
      <c r="A3200" s="24" t="s">
        <v>386</v>
      </c>
      <c r="B3200" s="24" t="s">
        <v>37</v>
      </c>
      <c r="C3200" s="24" t="s">
        <v>38</v>
      </c>
      <c r="D3200" s="24">
        <v>1.2</v>
      </c>
      <c r="E3200" s="24" t="s">
        <v>796</v>
      </c>
      <c r="F3200" s="24" t="s">
        <v>978</v>
      </c>
      <c r="G3200" s="24">
        <v>170250</v>
      </c>
    </row>
    <row r="3201" spans="1:7" x14ac:dyDescent="0.25">
      <c r="A3201" s="24" t="s">
        <v>386</v>
      </c>
      <c r="B3201" s="24" t="s">
        <v>39</v>
      </c>
      <c r="C3201" s="24" t="s">
        <v>36</v>
      </c>
      <c r="D3201" s="24">
        <v>1.9</v>
      </c>
      <c r="E3201" s="24" t="s">
        <v>796</v>
      </c>
      <c r="F3201" s="24" t="s">
        <v>978</v>
      </c>
      <c r="G3201" s="24">
        <v>170250</v>
      </c>
    </row>
    <row r="3202" spans="1:7" x14ac:dyDescent="0.25">
      <c r="A3202" s="24" t="s">
        <v>386</v>
      </c>
      <c r="B3202" s="24" t="s">
        <v>40</v>
      </c>
      <c r="C3202" s="24" t="s">
        <v>31</v>
      </c>
      <c r="D3202" s="24">
        <v>0.1</v>
      </c>
      <c r="E3202" s="24" t="s">
        <v>796</v>
      </c>
      <c r="F3202" s="24" t="s">
        <v>978</v>
      </c>
      <c r="G3202" s="24">
        <v>170250</v>
      </c>
    </row>
    <row r="3203" spans="1:7" x14ac:dyDescent="0.25">
      <c r="A3203" s="24" t="s">
        <v>386</v>
      </c>
      <c r="B3203" s="24" t="s">
        <v>41</v>
      </c>
      <c r="C3203" s="24" t="s">
        <v>31</v>
      </c>
      <c r="D3203" s="24">
        <v>0.2</v>
      </c>
      <c r="E3203" s="24" t="s">
        <v>796</v>
      </c>
      <c r="F3203" s="24" t="s">
        <v>978</v>
      </c>
      <c r="G3203" s="24">
        <v>170250</v>
      </c>
    </row>
    <row r="3204" spans="1:7" x14ac:dyDescent="0.25">
      <c r="A3204" s="24" t="s">
        <v>386</v>
      </c>
      <c r="B3204" s="24" t="s">
        <v>42</v>
      </c>
      <c r="C3204" s="24" t="s">
        <v>43</v>
      </c>
      <c r="D3204" s="24">
        <v>7.8</v>
      </c>
      <c r="E3204" s="24" t="s">
        <v>796</v>
      </c>
      <c r="F3204" s="24" t="s">
        <v>978</v>
      </c>
      <c r="G3204" s="24">
        <v>170250</v>
      </c>
    </row>
    <row r="3205" spans="1:7" x14ac:dyDescent="0.25">
      <c r="A3205" s="24" t="s">
        <v>386</v>
      </c>
      <c r="B3205" s="24" t="s">
        <v>44</v>
      </c>
      <c r="C3205" s="24" t="s">
        <v>31</v>
      </c>
      <c r="D3205" s="24">
        <v>0.2</v>
      </c>
      <c r="E3205" s="24" t="s">
        <v>796</v>
      </c>
      <c r="F3205" s="24" t="s">
        <v>978</v>
      </c>
      <c r="G3205" s="24">
        <v>170250</v>
      </c>
    </row>
    <row r="3206" spans="1:7" x14ac:dyDescent="0.25">
      <c r="A3206" s="24" t="s">
        <v>386</v>
      </c>
      <c r="B3206" s="24" t="s">
        <v>45</v>
      </c>
      <c r="C3206" s="24" t="s">
        <v>31</v>
      </c>
      <c r="D3206" s="24">
        <v>1</v>
      </c>
      <c r="E3206" s="24" t="s">
        <v>796</v>
      </c>
      <c r="F3206" s="24" t="s">
        <v>978</v>
      </c>
      <c r="G3206" s="24">
        <v>170250</v>
      </c>
    </row>
    <row r="3207" spans="1:7" x14ac:dyDescent="0.25">
      <c r="A3207" s="24" t="s">
        <v>386</v>
      </c>
      <c r="B3207" s="24" t="s">
        <v>46</v>
      </c>
      <c r="C3207" s="24" t="s">
        <v>36</v>
      </c>
      <c r="D3207" s="24">
        <v>0</v>
      </c>
      <c r="E3207" s="24" t="s">
        <v>796</v>
      </c>
      <c r="F3207" s="24" t="s">
        <v>978</v>
      </c>
      <c r="G3207" s="24">
        <v>170250</v>
      </c>
    </row>
    <row r="3208" spans="1:7" x14ac:dyDescent="0.25">
      <c r="A3208" s="24" t="s">
        <v>386</v>
      </c>
      <c r="B3208" s="24" t="s">
        <v>47</v>
      </c>
      <c r="C3208" s="24" t="s">
        <v>48</v>
      </c>
      <c r="D3208" s="24">
        <v>21.1</v>
      </c>
      <c r="E3208" s="24" t="s">
        <v>796</v>
      </c>
      <c r="F3208" s="24" t="s">
        <v>978</v>
      </c>
      <c r="G3208" s="24">
        <v>170250</v>
      </c>
    </row>
    <row r="3209" spans="1:7" x14ac:dyDescent="0.25">
      <c r="A3209" s="24" t="s">
        <v>386</v>
      </c>
      <c r="B3209" s="24" t="s">
        <v>50</v>
      </c>
      <c r="C3209" s="24" t="s">
        <v>31</v>
      </c>
      <c r="D3209" s="24">
        <v>290.89999999999998</v>
      </c>
      <c r="E3209" s="24" t="s">
        <v>796</v>
      </c>
      <c r="F3209" s="24" t="s">
        <v>978</v>
      </c>
      <c r="G3209" s="24">
        <v>170250</v>
      </c>
    </row>
    <row r="3210" spans="1:7" x14ac:dyDescent="0.25">
      <c r="A3210" s="24" t="s">
        <v>386</v>
      </c>
      <c r="B3210" s="24" t="s">
        <v>51</v>
      </c>
      <c r="C3210" s="24" t="s">
        <v>31</v>
      </c>
      <c r="D3210" s="24">
        <v>11</v>
      </c>
      <c r="E3210" s="24" t="s">
        <v>796</v>
      </c>
      <c r="F3210" s="24" t="s">
        <v>978</v>
      </c>
      <c r="G3210" s="24">
        <v>170250</v>
      </c>
    </row>
    <row r="3211" spans="1:7" x14ac:dyDescent="0.25">
      <c r="A3211" s="24" t="s">
        <v>386</v>
      </c>
      <c r="B3211" s="24" t="s">
        <v>52</v>
      </c>
      <c r="C3211" s="24" t="s">
        <v>31</v>
      </c>
      <c r="D3211" s="24">
        <v>361.1</v>
      </c>
      <c r="E3211" s="24" t="s">
        <v>796</v>
      </c>
      <c r="F3211" s="24" t="s">
        <v>978</v>
      </c>
      <c r="G3211" s="24">
        <v>170250</v>
      </c>
    </row>
    <row r="3212" spans="1:7" x14ac:dyDescent="0.25">
      <c r="A3212" s="24" t="s">
        <v>386</v>
      </c>
      <c r="B3212" s="24" t="s">
        <v>53</v>
      </c>
      <c r="C3212" s="24" t="s">
        <v>31</v>
      </c>
      <c r="D3212" s="24">
        <v>131.4</v>
      </c>
      <c r="E3212" s="24" t="s">
        <v>796</v>
      </c>
      <c r="F3212" s="24" t="s">
        <v>978</v>
      </c>
      <c r="G3212" s="24">
        <v>170250</v>
      </c>
    </row>
    <row r="3213" spans="1:7" x14ac:dyDescent="0.25">
      <c r="A3213" s="24" t="s">
        <v>386</v>
      </c>
      <c r="B3213" s="24" t="s">
        <v>54</v>
      </c>
      <c r="C3213" s="24" t="s">
        <v>31</v>
      </c>
      <c r="D3213" s="24">
        <v>1.5</v>
      </c>
      <c r="E3213" s="24" t="s">
        <v>796</v>
      </c>
      <c r="F3213" s="24" t="s">
        <v>978</v>
      </c>
      <c r="G3213" s="24">
        <v>170250</v>
      </c>
    </row>
    <row r="3214" spans="1:7" x14ac:dyDescent="0.25">
      <c r="A3214" s="24" t="s">
        <v>386</v>
      </c>
      <c r="B3214" s="24" t="s">
        <v>55</v>
      </c>
      <c r="C3214" s="24" t="s">
        <v>31</v>
      </c>
      <c r="D3214" s="24">
        <v>3</v>
      </c>
      <c r="E3214" s="24" t="s">
        <v>796</v>
      </c>
      <c r="F3214" s="24" t="s">
        <v>978</v>
      </c>
      <c r="G3214" s="24">
        <v>170250</v>
      </c>
    </row>
    <row r="3215" spans="1:7" x14ac:dyDescent="0.25">
      <c r="A3215" s="24" t="s">
        <v>386</v>
      </c>
      <c r="B3215" s="24" t="s">
        <v>56</v>
      </c>
      <c r="C3215" s="24" t="s">
        <v>31</v>
      </c>
      <c r="D3215" s="24">
        <v>0.4</v>
      </c>
      <c r="E3215" s="24" t="s">
        <v>796</v>
      </c>
      <c r="F3215" s="24" t="s">
        <v>978</v>
      </c>
      <c r="G3215" s="24">
        <v>170250</v>
      </c>
    </row>
    <row r="3216" spans="1:7" x14ac:dyDescent="0.25">
      <c r="A3216" s="24" t="s">
        <v>386</v>
      </c>
      <c r="B3216" s="24" t="s">
        <v>57</v>
      </c>
      <c r="C3216" s="24" t="s">
        <v>36</v>
      </c>
      <c r="D3216" s="24">
        <v>24.7</v>
      </c>
      <c r="E3216" s="24" t="s">
        <v>796</v>
      </c>
      <c r="F3216" s="24" t="s">
        <v>978</v>
      </c>
      <c r="G3216" s="24">
        <v>170250</v>
      </c>
    </row>
    <row r="3217" spans="1:7" x14ac:dyDescent="0.25">
      <c r="A3217" s="24" t="s">
        <v>386</v>
      </c>
      <c r="B3217" s="24" t="s">
        <v>58</v>
      </c>
      <c r="C3217" s="24" t="s">
        <v>5</v>
      </c>
      <c r="D3217" s="24">
        <v>0</v>
      </c>
      <c r="E3217" s="24" t="s">
        <v>795</v>
      </c>
      <c r="F3217" s="24"/>
      <c r="G3217" s="24"/>
    </row>
    <row r="3218" spans="1:7" x14ac:dyDescent="0.25">
      <c r="A3218" s="24" t="s">
        <v>387</v>
      </c>
      <c r="B3218" s="24" t="s">
        <v>20</v>
      </c>
      <c r="C3218" s="24" t="s">
        <v>5</v>
      </c>
      <c r="D3218" s="24">
        <v>1.7</v>
      </c>
      <c r="E3218" s="24" t="s">
        <v>796</v>
      </c>
      <c r="F3218" s="24" t="s">
        <v>978</v>
      </c>
      <c r="G3218" s="24">
        <v>170250</v>
      </c>
    </row>
    <row r="3219" spans="1:7" x14ac:dyDescent="0.25">
      <c r="A3219" s="24" t="s">
        <v>387</v>
      </c>
      <c r="B3219" s="24" t="s">
        <v>27</v>
      </c>
      <c r="C3219" s="24" t="s">
        <v>5</v>
      </c>
      <c r="D3219" s="24">
        <v>0.48</v>
      </c>
      <c r="E3219" s="24" t="s">
        <v>799</v>
      </c>
      <c r="F3219" s="24" t="s">
        <v>978</v>
      </c>
      <c r="G3219" s="24">
        <v>170250</v>
      </c>
    </row>
    <row r="3220" spans="1:7" x14ac:dyDescent="0.25">
      <c r="A3220" s="24" t="s">
        <v>387</v>
      </c>
      <c r="B3220" s="24" t="s">
        <v>28</v>
      </c>
      <c r="C3220" s="24" t="s">
        <v>5</v>
      </c>
      <c r="D3220" s="24">
        <v>0.46</v>
      </c>
      <c r="E3220" s="24" t="s">
        <v>799</v>
      </c>
      <c r="F3220" s="24" t="s">
        <v>978</v>
      </c>
      <c r="G3220" s="24">
        <v>170250</v>
      </c>
    </row>
    <row r="3221" spans="1:7" x14ac:dyDescent="0.25">
      <c r="A3221" s="24" t="s">
        <v>387</v>
      </c>
      <c r="B3221" s="24" t="s">
        <v>30</v>
      </c>
      <c r="C3221" s="24" t="s">
        <v>31</v>
      </c>
      <c r="D3221" s="24">
        <v>0</v>
      </c>
      <c r="E3221" s="24" t="s">
        <v>801</v>
      </c>
      <c r="F3221" s="24" t="s">
        <v>978</v>
      </c>
      <c r="G3221" s="24">
        <v>170250</v>
      </c>
    </row>
    <row r="3222" spans="1:7" x14ac:dyDescent="0.25">
      <c r="A3222" s="24" t="s">
        <v>387</v>
      </c>
      <c r="B3222" s="24" t="s">
        <v>32</v>
      </c>
      <c r="C3222" s="24" t="s">
        <v>33</v>
      </c>
      <c r="D3222" s="24">
        <v>0</v>
      </c>
      <c r="E3222" s="24" t="s">
        <v>801</v>
      </c>
      <c r="F3222" s="24" t="s">
        <v>978</v>
      </c>
      <c r="G3222" s="24">
        <v>170250</v>
      </c>
    </row>
    <row r="3223" spans="1:7" x14ac:dyDescent="0.25">
      <c r="A3223" s="24" t="s">
        <v>387</v>
      </c>
      <c r="B3223" s="24" t="s">
        <v>34</v>
      </c>
      <c r="C3223" s="24" t="s">
        <v>31</v>
      </c>
      <c r="D3223" s="24">
        <v>0</v>
      </c>
      <c r="E3223" s="24" t="s">
        <v>801</v>
      </c>
      <c r="F3223" s="24" t="s">
        <v>978</v>
      </c>
      <c r="G3223" s="24">
        <v>170250</v>
      </c>
    </row>
    <row r="3224" spans="1:7" x14ac:dyDescent="0.25">
      <c r="A3224" s="24" t="s">
        <v>387</v>
      </c>
      <c r="B3224" s="24" t="s">
        <v>35</v>
      </c>
      <c r="C3224" s="24" t="s">
        <v>36</v>
      </c>
      <c r="D3224" s="24">
        <v>0</v>
      </c>
      <c r="E3224" s="24" t="s">
        <v>801</v>
      </c>
      <c r="F3224" s="24" t="s">
        <v>978</v>
      </c>
      <c r="G3224" s="24">
        <v>170250</v>
      </c>
    </row>
    <row r="3225" spans="1:7" x14ac:dyDescent="0.25">
      <c r="A3225" s="24" t="s">
        <v>387</v>
      </c>
      <c r="B3225" s="24" t="s">
        <v>37</v>
      </c>
      <c r="C3225" s="24" t="s">
        <v>38</v>
      </c>
      <c r="D3225" s="24">
        <v>1.2</v>
      </c>
      <c r="E3225" s="24" t="s">
        <v>801</v>
      </c>
      <c r="F3225" s="24" t="s">
        <v>978</v>
      </c>
      <c r="G3225" s="24">
        <v>170250</v>
      </c>
    </row>
    <row r="3226" spans="1:7" x14ac:dyDescent="0.25">
      <c r="A3226" s="24" t="s">
        <v>387</v>
      </c>
      <c r="B3226" s="24" t="s">
        <v>39</v>
      </c>
      <c r="C3226" s="24" t="s">
        <v>36</v>
      </c>
      <c r="D3226" s="24">
        <v>1.9</v>
      </c>
      <c r="E3226" s="24" t="s">
        <v>801</v>
      </c>
      <c r="F3226" s="24" t="s">
        <v>978</v>
      </c>
      <c r="G3226" s="24">
        <v>170250</v>
      </c>
    </row>
    <row r="3227" spans="1:7" x14ac:dyDescent="0.25">
      <c r="A3227" s="24" t="s">
        <v>387</v>
      </c>
      <c r="B3227" s="24" t="s">
        <v>40</v>
      </c>
      <c r="C3227" s="24" t="s">
        <v>31</v>
      </c>
      <c r="D3227" s="24">
        <v>0.1</v>
      </c>
      <c r="E3227" s="24" t="s">
        <v>801</v>
      </c>
      <c r="F3227" s="24" t="s">
        <v>978</v>
      </c>
      <c r="G3227" s="24">
        <v>170250</v>
      </c>
    </row>
    <row r="3228" spans="1:7" x14ac:dyDescent="0.25">
      <c r="A3228" s="24" t="s">
        <v>387</v>
      </c>
      <c r="B3228" s="24" t="s">
        <v>41</v>
      </c>
      <c r="C3228" s="24" t="s">
        <v>31</v>
      </c>
      <c r="D3228" s="24">
        <v>0.2</v>
      </c>
      <c r="E3228" s="24" t="s">
        <v>801</v>
      </c>
      <c r="F3228" s="24" t="s">
        <v>978</v>
      </c>
      <c r="G3228" s="24">
        <v>170250</v>
      </c>
    </row>
    <row r="3229" spans="1:7" x14ac:dyDescent="0.25">
      <c r="A3229" s="24" t="s">
        <v>387</v>
      </c>
      <c r="B3229" s="24" t="s">
        <v>42</v>
      </c>
      <c r="C3229" s="24" t="s">
        <v>43</v>
      </c>
      <c r="D3229" s="24">
        <v>7.8</v>
      </c>
      <c r="E3229" s="24" t="s">
        <v>801</v>
      </c>
      <c r="F3229" s="24" t="s">
        <v>978</v>
      </c>
      <c r="G3229" s="24">
        <v>170250</v>
      </c>
    </row>
    <row r="3230" spans="1:7" x14ac:dyDescent="0.25">
      <c r="A3230" s="24" t="s">
        <v>387</v>
      </c>
      <c r="B3230" s="24" t="s">
        <v>44</v>
      </c>
      <c r="C3230" s="24" t="s">
        <v>31</v>
      </c>
      <c r="D3230" s="24">
        <v>0.1</v>
      </c>
      <c r="E3230" s="24" t="s">
        <v>801</v>
      </c>
      <c r="F3230" s="24" t="s">
        <v>978</v>
      </c>
      <c r="G3230" s="24">
        <v>170250</v>
      </c>
    </row>
    <row r="3231" spans="1:7" x14ac:dyDescent="0.25">
      <c r="A3231" s="24" t="s">
        <v>387</v>
      </c>
      <c r="B3231" s="24" t="s">
        <v>45</v>
      </c>
      <c r="C3231" s="24" t="s">
        <v>31</v>
      </c>
      <c r="D3231" s="24">
        <v>1</v>
      </c>
      <c r="E3231" s="24" t="s">
        <v>801</v>
      </c>
      <c r="F3231" s="24" t="s">
        <v>978</v>
      </c>
      <c r="G3231" s="24">
        <v>170250</v>
      </c>
    </row>
    <row r="3232" spans="1:7" x14ac:dyDescent="0.25">
      <c r="A3232" s="24" t="s">
        <v>387</v>
      </c>
      <c r="B3232" s="24" t="s">
        <v>46</v>
      </c>
      <c r="C3232" s="24" t="s">
        <v>36</v>
      </c>
      <c r="D3232" s="24">
        <v>0</v>
      </c>
      <c r="E3232" s="24" t="s">
        <v>801</v>
      </c>
      <c r="F3232" s="24" t="s">
        <v>978</v>
      </c>
      <c r="G3232" s="24">
        <v>170250</v>
      </c>
    </row>
    <row r="3233" spans="1:7" x14ac:dyDescent="0.25">
      <c r="A3233" s="24" t="s">
        <v>387</v>
      </c>
      <c r="B3233" s="24" t="s">
        <v>47</v>
      </c>
      <c r="C3233" s="24" t="s">
        <v>48</v>
      </c>
      <c r="D3233" s="24">
        <v>21</v>
      </c>
      <c r="E3233" s="24" t="s">
        <v>801</v>
      </c>
      <c r="F3233" s="24" t="s">
        <v>978</v>
      </c>
      <c r="G3233" s="24">
        <v>170250</v>
      </c>
    </row>
    <row r="3234" spans="1:7" x14ac:dyDescent="0.25">
      <c r="A3234" s="24" t="s">
        <v>387</v>
      </c>
      <c r="B3234" s="24" t="s">
        <v>50</v>
      </c>
      <c r="C3234" s="24" t="s">
        <v>31</v>
      </c>
      <c r="D3234" s="24">
        <v>290</v>
      </c>
      <c r="E3234" s="24" t="s">
        <v>801</v>
      </c>
      <c r="F3234" s="24" t="s">
        <v>978</v>
      </c>
      <c r="G3234" s="24">
        <v>170250</v>
      </c>
    </row>
    <row r="3235" spans="1:7" x14ac:dyDescent="0.25">
      <c r="A3235" s="24" t="s">
        <v>387</v>
      </c>
      <c r="B3235" s="24" t="s">
        <v>51</v>
      </c>
      <c r="C3235" s="24" t="s">
        <v>31</v>
      </c>
      <c r="D3235" s="24">
        <v>11</v>
      </c>
      <c r="E3235" s="24" t="s">
        <v>801</v>
      </c>
      <c r="F3235" s="24" t="s">
        <v>978</v>
      </c>
      <c r="G3235" s="24">
        <v>170250</v>
      </c>
    </row>
    <row r="3236" spans="1:7" x14ac:dyDescent="0.25">
      <c r="A3236" s="24" t="s">
        <v>387</v>
      </c>
      <c r="B3236" s="24" t="s">
        <v>52</v>
      </c>
      <c r="C3236" s="24" t="s">
        <v>31</v>
      </c>
      <c r="D3236" s="24">
        <v>360</v>
      </c>
      <c r="E3236" s="24" t="s">
        <v>801</v>
      </c>
      <c r="F3236" s="24" t="s">
        <v>978</v>
      </c>
      <c r="G3236" s="24">
        <v>170250</v>
      </c>
    </row>
    <row r="3237" spans="1:7" x14ac:dyDescent="0.25">
      <c r="A3237" s="24" t="s">
        <v>387</v>
      </c>
      <c r="B3237" s="24" t="s">
        <v>53</v>
      </c>
      <c r="C3237" s="24" t="s">
        <v>31</v>
      </c>
      <c r="D3237" s="24">
        <v>131</v>
      </c>
      <c r="E3237" s="24" t="s">
        <v>801</v>
      </c>
      <c r="F3237" s="24" t="s">
        <v>978</v>
      </c>
      <c r="G3237" s="24">
        <v>170250</v>
      </c>
    </row>
    <row r="3238" spans="1:7" x14ac:dyDescent="0.25">
      <c r="A3238" s="24" t="s">
        <v>387</v>
      </c>
      <c r="B3238" s="24" t="s">
        <v>54</v>
      </c>
      <c r="C3238" s="24" t="s">
        <v>31</v>
      </c>
      <c r="D3238" s="24">
        <v>1.5</v>
      </c>
      <c r="E3238" s="24" t="s">
        <v>801</v>
      </c>
      <c r="F3238" s="24" t="s">
        <v>978</v>
      </c>
      <c r="G3238" s="24">
        <v>170250</v>
      </c>
    </row>
    <row r="3239" spans="1:7" x14ac:dyDescent="0.25">
      <c r="A3239" s="24" t="s">
        <v>387</v>
      </c>
      <c r="B3239" s="24" t="s">
        <v>55</v>
      </c>
      <c r="C3239" s="24" t="s">
        <v>31</v>
      </c>
      <c r="D3239" s="24">
        <v>3</v>
      </c>
      <c r="E3239" s="24" t="s">
        <v>801</v>
      </c>
      <c r="F3239" s="24" t="s">
        <v>978</v>
      </c>
      <c r="G3239" s="24">
        <v>170250</v>
      </c>
    </row>
    <row r="3240" spans="1:7" x14ac:dyDescent="0.25">
      <c r="A3240" s="24" t="s">
        <v>387</v>
      </c>
      <c r="B3240" s="24" t="s">
        <v>56</v>
      </c>
      <c r="C3240" s="24" t="s">
        <v>31</v>
      </c>
      <c r="D3240" s="24">
        <v>0.4</v>
      </c>
      <c r="E3240" s="24" t="s">
        <v>801</v>
      </c>
      <c r="F3240" s="24" t="s">
        <v>978</v>
      </c>
      <c r="G3240" s="24">
        <v>170250</v>
      </c>
    </row>
    <row r="3241" spans="1:7" x14ac:dyDescent="0.25">
      <c r="A3241" s="24" t="s">
        <v>387</v>
      </c>
      <c r="B3241" s="24" t="s">
        <v>57</v>
      </c>
      <c r="C3241" s="24" t="s">
        <v>36</v>
      </c>
      <c r="D3241" s="24">
        <v>24.6</v>
      </c>
      <c r="E3241" s="24" t="s">
        <v>801</v>
      </c>
      <c r="F3241" s="24" t="s">
        <v>978</v>
      </c>
      <c r="G3241" s="24">
        <v>170250</v>
      </c>
    </row>
    <row r="3242" spans="1:7" x14ac:dyDescent="0.25">
      <c r="A3242" s="24" t="s">
        <v>387</v>
      </c>
      <c r="B3242" s="24" t="s">
        <v>58</v>
      </c>
      <c r="C3242" s="24" t="s">
        <v>5</v>
      </c>
      <c r="D3242" s="24">
        <v>0</v>
      </c>
      <c r="E3242" s="24" t="s">
        <v>795</v>
      </c>
      <c r="F3242" s="24"/>
      <c r="G3242" s="24"/>
    </row>
    <row r="3243" spans="1:7" x14ac:dyDescent="0.25">
      <c r="A3243" s="24" t="s">
        <v>387</v>
      </c>
      <c r="B3243" s="24" t="s">
        <v>18</v>
      </c>
      <c r="C3243" s="24" t="s">
        <v>5</v>
      </c>
      <c r="D3243" s="24">
        <v>5.9</v>
      </c>
      <c r="E3243" s="24" t="s">
        <v>803</v>
      </c>
      <c r="F3243" s="24"/>
      <c r="G3243" s="24"/>
    </row>
    <row r="3244" spans="1:7" x14ac:dyDescent="0.25">
      <c r="A3244" s="24" t="s">
        <v>388</v>
      </c>
      <c r="B3244" s="24" t="s">
        <v>32</v>
      </c>
      <c r="C3244" s="24" t="s">
        <v>33</v>
      </c>
      <c r="D3244" s="24">
        <v>0</v>
      </c>
      <c r="E3244" s="24" t="s">
        <v>796</v>
      </c>
      <c r="F3244" s="24" t="s">
        <v>979</v>
      </c>
      <c r="G3244" s="24">
        <v>167557</v>
      </c>
    </row>
    <row r="3245" spans="1:7" x14ac:dyDescent="0.25">
      <c r="A3245" s="24" t="s">
        <v>388</v>
      </c>
      <c r="B3245" s="24" t="s">
        <v>34</v>
      </c>
      <c r="C3245" s="24" t="s">
        <v>31</v>
      </c>
      <c r="D3245" s="24">
        <v>3</v>
      </c>
      <c r="E3245" s="24" t="s">
        <v>796</v>
      </c>
      <c r="F3245" s="24" t="s">
        <v>979</v>
      </c>
      <c r="G3245" s="24">
        <v>167557</v>
      </c>
    </row>
    <row r="3246" spans="1:7" x14ac:dyDescent="0.25">
      <c r="A3246" s="24" t="s">
        <v>388</v>
      </c>
      <c r="B3246" s="24" t="s">
        <v>40</v>
      </c>
      <c r="C3246" s="24" t="s">
        <v>31</v>
      </c>
      <c r="D3246" s="24">
        <v>0</v>
      </c>
      <c r="E3246" s="24" t="s">
        <v>796</v>
      </c>
      <c r="F3246" s="24" t="s">
        <v>979</v>
      </c>
      <c r="G3246" s="24">
        <v>167557</v>
      </c>
    </row>
    <row r="3247" spans="1:7" x14ac:dyDescent="0.25">
      <c r="A3247" s="24" t="s">
        <v>388</v>
      </c>
      <c r="B3247" s="24" t="s">
        <v>41</v>
      </c>
      <c r="C3247" s="24" t="s">
        <v>31</v>
      </c>
      <c r="D3247" s="24">
        <v>0.1</v>
      </c>
      <c r="E3247" s="24" t="s">
        <v>796</v>
      </c>
      <c r="F3247" s="24" t="s">
        <v>979</v>
      </c>
      <c r="G3247" s="24">
        <v>167557</v>
      </c>
    </row>
    <row r="3248" spans="1:7" x14ac:dyDescent="0.25">
      <c r="A3248" s="24" t="s">
        <v>388</v>
      </c>
      <c r="B3248" s="24" t="s">
        <v>42</v>
      </c>
      <c r="C3248" s="24" t="s">
        <v>43</v>
      </c>
      <c r="D3248" s="24">
        <v>7.3</v>
      </c>
      <c r="E3248" s="24" t="s">
        <v>796</v>
      </c>
      <c r="F3248" s="24" t="s">
        <v>979</v>
      </c>
      <c r="G3248" s="24">
        <v>167557</v>
      </c>
    </row>
    <row r="3249" spans="1:7" x14ac:dyDescent="0.25">
      <c r="A3249" s="24" t="s">
        <v>388</v>
      </c>
      <c r="B3249" s="24" t="s">
        <v>44</v>
      </c>
      <c r="C3249" s="24" t="s">
        <v>31</v>
      </c>
      <c r="D3249" s="24">
        <v>0.2</v>
      </c>
      <c r="E3249" s="24" t="s">
        <v>796</v>
      </c>
      <c r="F3249" s="24" t="s">
        <v>979</v>
      </c>
      <c r="G3249" s="24">
        <v>167557</v>
      </c>
    </row>
    <row r="3250" spans="1:7" x14ac:dyDescent="0.25">
      <c r="A3250" s="24" t="s">
        <v>388</v>
      </c>
      <c r="B3250" s="24" t="s">
        <v>45</v>
      </c>
      <c r="C3250" s="24" t="s">
        <v>31</v>
      </c>
      <c r="D3250" s="24">
        <v>1.5</v>
      </c>
      <c r="E3250" s="24" t="s">
        <v>796</v>
      </c>
      <c r="F3250" s="24" t="s">
        <v>979</v>
      </c>
      <c r="G3250" s="24">
        <v>167557</v>
      </c>
    </row>
    <row r="3251" spans="1:7" x14ac:dyDescent="0.25">
      <c r="A3251" s="24" t="s">
        <v>388</v>
      </c>
      <c r="B3251" s="24" t="s">
        <v>46</v>
      </c>
      <c r="C3251" s="24" t="s">
        <v>36</v>
      </c>
      <c r="D3251" s="24">
        <v>0</v>
      </c>
      <c r="E3251" s="24" t="s">
        <v>796</v>
      </c>
      <c r="F3251" s="24" t="s">
        <v>979</v>
      </c>
      <c r="G3251" s="24">
        <v>167557</v>
      </c>
    </row>
    <row r="3252" spans="1:7" x14ac:dyDescent="0.25">
      <c r="A3252" s="24" t="s">
        <v>388</v>
      </c>
      <c r="B3252" s="24" t="s">
        <v>47</v>
      </c>
      <c r="C3252" s="24" t="s">
        <v>48</v>
      </c>
      <c r="D3252" s="24">
        <v>18.2</v>
      </c>
      <c r="E3252" s="24" t="s">
        <v>796</v>
      </c>
      <c r="F3252" s="24" t="s">
        <v>979</v>
      </c>
      <c r="G3252" s="24">
        <v>167557</v>
      </c>
    </row>
    <row r="3253" spans="1:7" x14ac:dyDescent="0.25">
      <c r="A3253" s="24" t="s">
        <v>388</v>
      </c>
      <c r="B3253" s="24" t="s">
        <v>50</v>
      </c>
      <c r="C3253" s="24" t="s">
        <v>31</v>
      </c>
      <c r="D3253" s="24">
        <v>293.10000000000002</v>
      </c>
      <c r="E3253" s="24" t="s">
        <v>796</v>
      </c>
      <c r="F3253" s="24" t="s">
        <v>979</v>
      </c>
      <c r="G3253" s="24">
        <v>167557</v>
      </c>
    </row>
    <row r="3254" spans="1:7" x14ac:dyDescent="0.25">
      <c r="A3254" s="24" t="s">
        <v>388</v>
      </c>
      <c r="B3254" s="24" t="s">
        <v>51</v>
      </c>
      <c r="C3254" s="24" t="s">
        <v>31</v>
      </c>
      <c r="D3254" s="24">
        <v>12.1</v>
      </c>
      <c r="E3254" s="24" t="s">
        <v>796</v>
      </c>
      <c r="F3254" s="24" t="s">
        <v>979</v>
      </c>
      <c r="G3254" s="24">
        <v>167557</v>
      </c>
    </row>
    <row r="3255" spans="1:7" x14ac:dyDescent="0.25">
      <c r="A3255" s="24" t="s">
        <v>388</v>
      </c>
      <c r="B3255" s="24" t="s">
        <v>52</v>
      </c>
      <c r="C3255" s="24" t="s">
        <v>31</v>
      </c>
      <c r="D3255" s="24">
        <v>379</v>
      </c>
      <c r="E3255" s="24" t="s">
        <v>796</v>
      </c>
      <c r="F3255" s="24" t="s">
        <v>979</v>
      </c>
      <c r="G3255" s="24">
        <v>167557</v>
      </c>
    </row>
    <row r="3256" spans="1:7" x14ac:dyDescent="0.25">
      <c r="A3256" s="24" t="s">
        <v>388</v>
      </c>
      <c r="B3256" s="24" t="s">
        <v>53</v>
      </c>
      <c r="C3256" s="24" t="s">
        <v>31</v>
      </c>
      <c r="D3256" s="24">
        <v>137.4</v>
      </c>
      <c r="E3256" s="24" t="s">
        <v>796</v>
      </c>
      <c r="F3256" s="24" t="s">
        <v>979</v>
      </c>
      <c r="G3256" s="24">
        <v>167557</v>
      </c>
    </row>
    <row r="3257" spans="1:7" x14ac:dyDescent="0.25">
      <c r="A3257" s="24" t="s">
        <v>388</v>
      </c>
      <c r="B3257" s="24" t="s">
        <v>54</v>
      </c>
      <c r="C3257" s="24" t="s">
        <v>31</v>
      </c>
      <c r="D3257" s="24">
        <v>1.6</v>
      </c>
      <c r="E3257" s="24" t="s">
        <v>796</v>
      </c>
      <c r="F3257" s="24" t="s">
        <v>979</v>
      </c>
      <c r="G3257" s="24">
        <v>167557</v>
      </c>
    </row>
    <row r="3258" spans="1:7" x14ac:dyDescent="0.25">
      <c r="A3258" s="24" t="s">
        <v>388</v>
      </c>
      <c r="B3258" s="24" t="s">
        <v>55</v>
      </c>
      <c r="C3258" s="24" t="s">
        <v>31</v>
      </c>
      <c r="D3258" s="24">
        <v>3</v>
      </c>
      <c r="E3258" s="24" t="s">
        <v>796</v>
      </c>
      <c r="F3258" s="24" t="s">
        <v>979</v>
      </c>
      <c r="G3258" s="24">
        <v>167557</v>
      </c>
    </row>
    <row r="3259" spans="1:7" x14ac:dyDescent="0.25">
      <c r="A3259" s="24" t="s">
        <v>388</v>
      </c>
      <c r="B3259" s="24" t="s">
        <v>56</v>
      </c>
      <c r="C3259" s="24" t="s">
        <v>31</v>
      </c>
      <c r="D3259" s="24">
        <v>0.4</v>
      </c>
      <c r="E3259" s="24" t="s">
        <v>796</v>
      </c>
      <c r="F3259" s="24" t="s">
        <v>979</v>
      </c>
      <c r="G3259" s="24">
        <v>167557</v>
      </c>
    </row>
    <row r="3260" spans="1:7" x14ac:dyDescent="0.25">
      <c r="A3260" s="24" t="s">
        <v>388</v>
      </c>
      <c r="B3260" s="24" t="s">
        <v>57</v>
      </c>
      <c r="C3260" s="24" t="s">
        <v>36</v>
      </c>
      <c r="D3260" s="24">
        <v>24.4</v>
      </c>
      <c r="E3260" s="24" t="s">
        <v>796</v>
      </c>
      <c r="F3260" s="24" t="s">
        <v>979</v>
      </c>
      <c r="G3260" s="24">
        <v>167557</v>
      </c>
    </row>
    <row r="3261" spans="1:7" x14ac:dyDescent="0.25">
      <c r="A3261" s="24" t="s">
        <v>388</v>
      </c>
      <c r="B3261" s="24" t="s">
        <v>58</v>
      </c>
      <c r="C3261" s="24" t="s">
        <v>5</v>
      </c>
      <c r="D3261" s="24">
        <v>0</v>
      </c>
      <c r="E3261" s="24" t="s">
        <v>795</v>
      </c>
      <c r="F3261" s="24"/>
      <c r="G3261" s="24"/>
    </row>
    <row r="3262" spans="1:7" x14ac:dyDescent="0.25">
      <c r="A3262" s="24" t="s">
        <v>389</v>
      </c>
      <c r="B3262" s="24" t="s">
        <v>32</v>
      </c>
      <c r="C3262" s="24" t="s">
        <v>33</v>
      </c>
      <c r="D3262" s="24">
        <v>0</v>
      </c>
      <c r="E3262" s="24" t="s">
        <v>796</v>
      </c>
      <c r="F3262" s="24" t="s">
        <v>978</v>
      </c>
      <c r="G3262" s="24">
        <v>170250</v>
      </c>
    </row>
    <row r="3263" spans="1:7" x14ac:dyDescent="0.25">
      <c r="A3263" s="24" t="s">
        <v>389</v>
      </c>
      <c r="B3263" s="24" t="s">
        <v>34</v>
      </c>
      <c r="C3263" s="24" t="s">
        <v>31</v>
      </c>
      <c r="D3263" s="24">
        <v>0</v>
      </c>
      <c r="E3263" s="24" t="s">
        <v>796</v>
      </c>
      <c r="F3263" s="24" t="s">
        <v>978</v>
      </c>
      <c r="G3263" s="24">
        <v>170250</v>
      </c>
    </row>
    <row r="3264" spans="1:7" x14ac:dyDescent="0.25">
      <c r="A3264" s="24" t="s">
        <v>389</v>
      </c>
      <c r="B3264" s="24" t="s">
        <v>35</v>
      </c>
      <c r="C3264" s="24" t="s">
        <v>36</v>
      </c>
      <c r="D3264" s="24">
        <v>0</v>
      </c>
      <c r="E3264" s="24" t="s">
        <v>796</v>
      </c>
      <c r="F3264" s="24" t="s">
        <v>978</v>
      </c>
      <c r="G3264" s="24">
        <v>170250</v>
      </c>
    </row>
    <row r="3265" spans="1:7" x14ac:dyDescent="0.25">
      <c r="A3265" s="24" t="s">
        <v>389</v>
      </c>
      <c r="B3265" s="24" t="s">
        <v>37</v>
      </c>
      <c r="C3265" s="24" t="s">
        <v>38</v>
      </c>
      <c r="D3265" s="24">
        <v>1.3</v>
      </c>
      <c r="E3265" s="24" t="s">
        <v>796</v>
      </c>
      <c r="F3265" s="24" t="s">
        <v>978</v>
      </c>
      <c r="G3265" s="24">
        <v>170250</v>
      </c>
    </row>
    <row r="3266" spans="1:7" x14ac:dyDescent="0.25">
      <c r="A3266" s="24" t="s">
        <v>389</v>
      </c>
      <c r="B3266" s="24" t="s">
        <v>39</v>
      </c>
      <c r="C3266" s="24" t="s">
        <v>36</v>
      </c>
      <c r="D3266" s="24">
        <v>1.9</v>
      </c>
      <c r="E3266" s="24" t="s">
        <v>796</v>
      </c>
      <c r="F3266" s="24" t="s">
        <v>978</v>
      </c>
      <c r="G3266" s="24">
        <v>170250</v>
      </c>
    </row>
    <row r="3267" spans="1:7" x14ac:dyDescent="0.25">
      <c r="A3267" s="24" t="s">
        <v>389</v>
      </c>
      <c r="B3267" s="24" t="s">
        <v>40</v>
      </c>
      <c r="C3267" s="24" t="s">
        <v>31</v>
      </c>
      <c r="D3267" s="24">
        <v>0.1</v>
      </c>
      <c r="E3267" s="24" t="s">
        <v>796</v>
      </c>
      <c r="F3267" s="24" t="s">
        <v>978</v>
      </c>
      <c r="G3267" s="24">
        <v>170250</v>
      </c>
    </row>
    <row r="3268" spans="1:7" x14ac:dyDescent="0.25">
      <c r="A3268" s="24" t="s">
        <v>389</v>
      </c>
      <c r="B3268" s="24" t="s">
        <v>41</v>
      </c>
      <c r="C3268" s="24" t="s">
        <v>31</v>
      </c>
      <c r="D3268" s="24">
        <v>0.2</v>
      </c>
      <c r="E3268" s="24" t="s">
        <v>796</v>
      </c>
      <c r="F3268" s="24" t="s">
        <v>978</v>
      </c>
      <c r="G3268" s="24">
        <v>170250</v>
      </c>
    </row>
    <row r="3269" spans="1:7" x14ac:dyDescent="0.25">
      <c r="A3269" s="24" t="s">
        <v>389</v>
      </c>
      <c r="B3269" s="24" t="s">
        <v>42</v>
      </c>
      <c r="C3269" s="24" t="s">
        <v>43</v>
      </c>
      <c r="D3269" s="24">
        <v>7.9</v>
      </c>
      <c r="E3269" s="24" t="s">
        <v>796</v>
      </c>
      <c r="F3269" s="24" t="s">
        <v>978</v>
      </c>
      <c r="G3269" s="24">
        <v>170250</v>
      </c>
    </row>
    <row r="3270" spans="1:7" x14ac:dyDescent="0.25">
      <c r="A3270" s="24" t="s">
        <v>389</v>
      </c>
      <c r="B3270" s="24" t="s">
        <v>44</v>
      </c>
      <c r="C3270" s="24" t="s">
        <v>31</v>
      </c>
      <c r="D3270" s="24">
        <v>0.2</v>
      </c>
      <c r="E3270" s="24" t="s">
        <v>796</v>
      </c>
      <c r="F3270" s="24" t="s">
        <v>978</v>
      </c>
      <c r="G3270" s="24">
        <v>170250</v>
      </c>
    </row>
    <row r="3271" spans="1:7" x14ac:dyDescent="0.25">
      <c r="A3271" s="24" t="s">
        <v>389</v>
      </c>
      <c r="B3271" s="24" t="s">
        <v>45</v>
      </c>
      <c r="C3271" s="24" t="s">
        <v>31</v>
      </c>
      <c r="D3271" s="24">
        <v>1</v>
      </c>
      <c r="E3271" s="24" t="s">
        <v>796</v>
      </c>
      <c r="F3271" s="24" t="s">
        <v>978</v>
      </c>
      <c r="G3271" s="24">
        <v>170250</v>
      </c>
    </row>
    <row r="3272" spans="1:7" x14ac:dyDescent="0.25">
      <c r="A3272" s="24" t="s">
        <v>389</v>
      </c>
      <c r="B3272" s="24" t="s">
        <v>46</v>
      </c>
      <c r="C3272" s="24" t="s">
        <v>36</v>
      </c>
      <c r="D3272" s="24">
        <v>0</v>
      </c>
      <c r="E3272" s="24" t="s">
        <v>796</v>
      </c>
      <c r="F3272" s="24" t="s">
        <v>978</v>
      </c>
      <c r="G3272" s="24">
        <v>170250</v>
      </c>
    </row>
    <row r="3273" spans="1:7" x14ac:dyDescent="0.25">
      <c r="A3273" s="24" t="s">
        <v>389</v>
      </c>
      <c r="B3273" s="24" t="s">
        <v>47</v>
      </c>
      <c r="C3273" s="24" t="s">
        <v>48</v>
      </c>
      <c r="D3273" s="24">
        <v>21.2</v>
      </c>
      <c r="E3273" s="24" t="s">
        <v>796</v>
      </c>
      <c r="F3273" s="24" t="s">
        <v>978</v>
      </c>
      <c r="G3273" s="24">
        <v>170250</v>
      </c>
    </row>
    <row r="3274" spans="1:7" x14ac:dyDescent="0.25">
      <c r="A3274" s="24" t="s">
        <v>389</v>
      </c>
      <c r="B3274" s="24" t="s">
        <v>50</v>
      </c>
      <c r="C3274" s="24" t="s">
        <v>31</v>
      </c>
      <c r="D3274" s="24">
        <v>292.5</v>
      </c>
      <c r="E3274" s="24" t="s">
        <v>796</v>
      </c>
      <c r="F3274" s="24" t="s">
        <v>978</v>
      </c>
      <c r="G3274" s="24">
        <v>170250</v>
      </c>
    </row>
    <row r="3275" spans="1:7" x14ac:dyDescent="0.25">
      <c r="A3275" s="24" t="s">
        <v>389</v>
      </c>
      <c r="B3275" s="24" t="s">
        <v>51</v>
      </c>
      <c r="C3275" s="24" t="s">
        <v>31</v>
      </c>
      <c r="D3275" s="24">
        <v>11.1</v>
      </c>
      <c r="E3275" s="24" t="s">
        <v>796</v>
      </c>
      <c r="F3275" s="24" t="s">
        <v>978</v>
      </c>
      <c r="G3275" s="24">
        <v>170250</v>
      </c>
    </row>
    <row r="3276" spans="1:7" x14ac:dyDescent="0.25">
      <c r="A3276" s="24" t="s">
        <v>389</v>
      </c>
      <c r="B3276" s="24" t="s">
        <v>52</v>
      </c>
      <c r="C3276" s="24" t="s">
        <v>31</v>
      </c>
      <c r="D3276" s="24">
        <v>363.1</v>
      </c>
      <c r="E3276" s="24" t="s">
        <v>796</v>
      </c>
      <c r="F3276" s="24" t="s">
        <v>978</v>
      </c>
      <c r="G3276" s="24">
        <v>170250</v>
      </c>
    </row>
    <row r="3277" spans="1:7" x14ac:dyDescent="0.25">
      <c r="A3277" s="24" t="s">
        <v>389</v>
      </c>
      <c r="B3277" s="24" t="s">
        <v>53</v>
      </c>
      <c r="C3277" s="24" t="s">
        <v>31</v>
      </c>
      <c r="D3277" s="24">
        <v>132.1</v>
      </c>
      <c r="E3277" s="24" t="s">
        <v>796</v>
      </c>
      <c r="F3277" s="24" t="s">
        <v>978</v>
      </c>
      <c r="G3277" s="24">
        <v>170250</v>
      </c>
    </row>
    <row r="3278" spans="1:7" x14ac:dyDescent="0.25">
      <c r="A3278" s="24" t="s">
        <v>389</v>
      </c>
      <c r="B3278" s="24" t="s">
        <v>54</v>
      </c>
      <c r="C3278" s="24" t="s">
        <v>31</v>
      </c>
      <c r="D3278" s="24">
        <v>1.5</v>
      </c>
      <c r="E3278" s="24" t="s">
        <v>796</v>
      </c>
      <c r="F3278" s="24" t="s">
        <v>978</v>
      </c>
      <c r="G3278" s="24">
        <v>170250</v>
      </c>
    </row>
    <row r="3279" spans="1:7" x14ac:dyDescent="0.25">
      <c r="A3279" s="24" t="s">
        <v>389</v>
      </c>
      <c r="B3279" s="24" t="s">
        <v>55</v>
      </c>
      <c r="C3279" s="24" t="s">
        <v>31</v>
      </c>
      <c r="D3279" s="24">
        <v>3</v>
      </c>
      <c r="E3279" s="24" t="s">
        <v>796</v>
      </c>
      <c r="F3279" s="24" t="s">
        <v>978</v>
      </c>
      <c r="G3279" s="24">
        <v>170250</v>
      </c>
    </row>
    <row r="3280" spans="1:7" x14ac:dyDescent="0.25">
      <c r="A3280" s="24" t="s">
        <v>389</v>
      </c>
      <c r="B3280" s="24" t="s">
        <v>56</v>
      </c>
      <c r="C3280" s="24" t="s">
        <v>31</v>
      </c>
      <c r="D3280" s="24">
        <v>0.4</v>
      </c>
      <c r="E3280" s="24" t="s">
        <v>796</v>
      </c>
      <c r="F3280" s="24" t="s">
        <v>978</v>
      </c>
      <c r="G3280" s="24">
        <v>170250</v>
      </c>
    </row>
    <row r="3281" spans="1:7" x14ac:dyDescent="0.25">
      <c r="A3281" s="24" t="s">
        <v>389</v>
      </c>
      <c r="B3281" s="24" t="s">
        <v>57</v>
      </c>
      <c r="C3281" s="24" t="s">
        <v>36</v>
      </c>
      <c r="D3281" s="24">
        <v>24.8</v>
      </c>
      <c r="E3281" s="24" t="s">
        <v>796</v>
      </c>
      <c r="F3281" s="24" t="s">
        <v>978</v>
      </c>
      <c r="G3281" s="24">
        <v>170250</v>
      </c>
    </row>
    <row r="3282" spans="1:7" x14ac:dyDescent="0.25">
      <c r="A3282" s="24" t="s">
        <v>389</v>
      </c>
      <c r="B3282" s="24" t="s">
        <v>58</v>
      </c>
      <c r="C3282" s="24" t="s">
        <v>5</v>
      </c>
      <c r="D3282" s="24">
        <v>0</v>
      </c>
      <c r="E3282" s="24" t="s">
        <v>795</v>
      </c>
      <c r="F3282" s="24"/>
      <c r="G3282" s="24"/>
    </row>
    <row r="3283" spans="1:7" x14ac:dyDescent="0.25">
      <c r="A3283" s="24" t="s">
        <v>390</v>
      </c>
      <c r="B3283" s="24" t="s">
        <v>32</v>
      </c>
      <c r="C3283" s="24" t="s">
        <v>33</v>
      </c>
      <c r="D3283" s="24">
        <v>0</v>
      </c>
      <c r="E3283" s="24" t="s">
        <v>796</v>
      </c>
      <c r="F3283" s="24" t="s">
        <v>980</v>
      </c>
      <c r="G3283" s="24">
        <v>169680</v>
      </c>
    </row>
    <row r="3284" spans="1:7" x14ac:dyDescent="0.25">
      <c r="A3284" s="24" t="s">
        <v>390</v>
      </c>
      <c r="B3284" s="24" t="s">
        <v>34</v>
      </c>
      <c r="C3284" s="24" t="s">
        <v>31</v>
      </c>
      <c r="D3284" s="24">
        <v>0</v>
      </c>
      <c r="E3284" s="24" t="s">
        <v>796</v>
      </c>
      <c r="F3284" s="24" t="s">
        <v>980</v>
      </c>
      <c r="G3284" s="24">
        <v>169680</v>
      </c>
    </row>
    <row r="3285" spans="1:7" x14ac:dyDescent="0.25">
      <c r="A3285" s="24" t="s">
        <v>390</v>
      </c>
      <c r="B3285" s="24" t="s">
        <v>40</v>
      </c>
      <c r="C3285" s="24" t="s">
        <v>31</v>
      </c>
      <c r="D3285" s="24">
        <v>0.1</v>
      </c>
      <c r="E3285" s="24" t="s">
        <v>796</v>
      </c>
      <c r="F3285" s="24" t="s">
        <v>980</v>
      </c>
      <c r="G3285" s="24">
        <v>169680</v>
      </c>
    </row>
    <row r="3286" spans="1:7" x14ac:dyDescent="0.25">
      <c r="A3286" s="24" t="s">
        <v>390</v>
      </c>
      <c r="B3286" s="24" t="s">
        <v>41</v>
      </c>
      <c r="C3286" s="24" t="s">
        <v>31</v>
      </c>
      <c r="D3286" s="24">
        <v>0.2</v>
      </c>
      <c r="E3286" s="24" t="s">
        <v>796</v>
      </c>
      <c r="F3286" s="24" t="s">
        <v>980</v>
      </c>
      <c r="G3286" s="24">
        <v>169680</v>
      </c>
    </row>
    <row r="3287" spans="1:7" x14ac:dyDescent="0.25">
      <c r="A3287" s="24" t="s">
        <v>390</v>
      </c>
      <c r="B3287" s="24" t="s">
        <v>42</v>
      </c>
      <c r="C3287" s="24" t="s">
        <v>43</v>
      </c>
      <c r="D3287" s="24">
        <v>6.8</v>
      </c>
      <c r="E3287" s="24" t="s">
        <v>796</v>
      </c>
      <c r="F3287" s="24" t="s">
        <v>980</v>
      </c>
      <c r="G3287" s="24">
        <v>169680</v>
      </c>
    </row>
    <row r="3288" spans="1:7" x14ac:dyDescent="0.25">
      <c r="A3288" s="24" t="s">
        <v>390</v>
      </c>
      <c r="B3288" s="24" t="s">
        <v>44</v>
      </c>
      <c r="C3288" s="24" t="s">
        <v>31</v>
      </c>
      <c r="D3288" s="24">
        <v>0.1</v>
      </c>
      <c r="E3288" s="24" t="s">
        <v>796</v>
      </c>
      <c r="F3288" s="24" t="s">
        <v>980</v>
      </c>
      <c r="G3288" s="24">
        <v>169680</v>
      </c>
    </row>
    <row r="3289" spans="1:7" x14ac:dyDescent="0.25">
      <c r="A3289" s="24" t="s">
        <v>390</v>
      </c>
      <c r="B3289" s="24" t="s">
        <v>45</v>
      </c>
      <c r="C3289" s="24" t="s">
        <v>31</v>
      </c>
      <c r="D3289" s="24">
        <v>1</v>
      </c>
      <c r="E3289" s="24" t="s">
        <v>796</v>
      </c>
      <c r="F3289" s="24" t="s">
        <v>980</v>
      </c>
      <c r="G3289" s="24">
        <v>169680</v>
      </c>
    </row>
    <row r="3290" spans="1:7" x14ac:dyDescent="0.25">
      <c r="A3290" s="24" t="s">
        <v>390</v>
      </c>
      <c r="B3290" s="24" t="s">
        <v>46</v>
      </c>
      <c r="C3290" s="24" t="s">
        <v>36</v>
      </c>
      <c r="D3290" s="24">
        <v>0</v>
      </c>
      <c r="E3290" s="24" t="s">
        <v>796</v>
      </c>
      <c r="F3290" s="24" t="s">
        <v>980</v>
      </c>
      <c r="G3290" s="24">
        <v>169680</v>
      </c>
    </row>
    <row r="3291" spans="1:7" x14ac:dyDescent="0.25">
      <c r="A3291" s="24" t="s">
        <v>390</v>
      </c>
      <c r="B3291" s="24" t="s">
        <v>47</v>
      </c>
      <c r="C3291" s="24" t="s">
        <v>48</v>
      </c>
      <c r="D3291" s="24">
        <v>20.5</v>
      </c>
      <c r="E3291" s="24" t="s">
        <v>796</v>
      </c>
      <c r="F3291" s="24" t="s">
        <v>980</v>
      </c>
      <c r="G3291" s="24">
        <v>169680</v>
      </c>
    </row>
    <row r="3292" spans="1:7" x14ac:dyDescent="0.25">
      <c r="A3292" s="24" t="s">
        <v>390</v>
      </c>
      <c r="B3292" s="24" t="s">
        <v>50</v>
      </c>
      <c r="C3292" s="24" t="s">
        <v>31</v>
      </c>
      <c r="D3292" s="24">
        <v>300.89999999999998</v>
      </c>
      <c r="E3292" s="24" t="s">
        <v>796</v>
      </c>
      <c r="F3292" s="24" t="s">
        <v>980</v>
      </c>
      <c r="G3292" s="24">
        <v>169680</v>
      </c>
    </row>
    <row r="3293" spans="1:7" x14ac:dyDescent="0.25">
      <c r="A3293" s="24" t="s">
        <v>390</v>
      </c>
      <c r="B3293" s="24" t="s">
        <v>51</v>
      </c>
      <c r="C3293" s="24" t="s">
        <v>31</v>
      </c>
      <c r="D3293" s="24">
        <v>21.5</v>
      </c>
      <c r="E3293" s="24" t="s">
        <v>796</v>
      </c>
      <c r="F3293" s="24" t="s">
        <v>980</v>
      </c>
      <c r="G3293" s="24">
        <v>169680</v>
      </c>
    </row>
    <row r="3294" spans="1:7" x14ac:dyDescent="0.25">
      <c r="A3294" s="24" t="s">
        <v>390</v>
      </c>
      <c r="B3294" s="24" t="s">
        <v>52</v>
      </c>
      <c r="C3294" s="24" t="s">
        <v>31</v>
      </c>
      <c r="D3294" s="24">
        <v>378.7</v>
      </c>
      <c r="E3294" s="24" t="s">
        <v>796</v>
      </c>
      <c r="F3294" s="24" t="s">
        <v>980</v>
      </c>
      <c r="G3294" s="24">
        <v>169680</v>
      </c>
    </row>
    <row r="3295" spans="1:7" x14ac:dyDescent="0.25">
      <c r="A3295" s="24" t="s">
        <v>390</v>
      </c>
      <c r="B3295" s="24" t="s">
        <v>53</v>
      </c>
      <c r="C3295" s="24" t="s">
        <v>31</v>
      </c>
      <c r="D3295" s="24">
        <v>140.19999999999999</v>
      </c>
      <c r="E3295" s="24" t="s">
        <v>796</v>
      </c>
      <c r="F3295" s="24" t="s">
        <v>980</v>
      </c>
      <c r="G3295" s="24">
        <v>169680</v>
      </c>
    </row>
    <row r="3296" spans="1:7" x14ac:dyDescent="0.25">
      <c r="A3296" s="24" t="s">
        <v>390</v>
      </c>
      <c r="B3296" s="24" t="s">
        <v>54</v>
      </c>
      <c r="C3296" s="24" t="s">
        <v>31</v>
      </c>
      <c r="D3296" s="24">
        <v>2</v>
      </c>
      <c r="E3296" s="24" t="s">
        <v>796</v>
      </c>
      <c r="F3296" s="24" t="s">
        <v>980</v>
      </c>
      <c r="G3296" s="24">
        <v>169680</v>
      </c>
    </row>
    <row r="3297" spans="1:7" x14ac:dyDescent="0.25">
      <c r="A3297" s="24" t="s">
        <v>390</v>
      </c>
      <c r="B3297" s="24" t="s">
        <v>55</v>
      </c>
      <c r="C3297" s="24" t="s">
        <v>31</v>
      </c>
      <c r="D3297" s="24">
        <v>2.6</v>
      </c>
      <c r="E3297" s="24" t="s">
        <v>796</v>
      </c>
      <c r="F3297" s="24" t="s">
        <v>980</v>
      </c>
      <c r="G3297" s="24">
        <v>169680</v>
      </c>
    </row>
    <row r="3298" spans="1:7" x14ac:dyDescent="0.25">
      <c r="A3298" s="24" t="s">
        <v>390</v>
      </c>
      <c r="B3298" s="24" t="s">
        <v>56</v>
      </c>
      <c r="C3298" s="24" t="s">
        <v>31</v>
      </c>
      <c r="D3298" s="24">
        <v>0.4</v>
      </c>
      <c r="E3298" s="24" t="s">
        <v>796</v>
      </c>
      <c r="F3298" s="24" t="s">
        <v>980</v>
      </c>
      <c r="G3298" s="24">
        <v>169680</v>
      </c>
    </row>
    <row r="3299" spans="1:7" x14ac:dyDescent="0.25">
      <c r="A3299" s="24" t="s">
        <v>390</v>
      </c>
      <c r="B3299" s="24" t="s">
        <v>58</v>
      </c>
      <c r="C3299" s="24" t="s">
        <v>5</v>
      </c>
      <c r="D3299" s="24">
        <v>0</v>
      </c>
      <c r="E3299" s="24" t="s">
        <v>795</v>
      </c>
      <c r="F3299" s="24"/>
      <c r="G3299" s="24"/>
    </row>
    <row r="3300" spans="1:7" x14ac:dyDescent="0.25">
      <c r="A3300" s="24" t="s">
        <v>391</v>
      </c>
      <c r="B3300" s="24" t="s">
        <v>23</v>
      </c>
      <c r="C3300" s="24" t="s">
        <v>5</v>
      </c>
      <c r="D3300" s="24">
        <v>20.7</v>
      </c>
      <c r="E3300" s="24" t="s">
        <v>796</v>
      </c>
      <c r="F3300" s="24" t="s">
        <v>981</v>
      </c>
      <c r="G3300" s="24">
        <v>174950</v>
      </c>
    </row>
    <row r="3301" spans="1:7" x14ac:dyDescent="0.25">
      <c r="A3301" s="24" t="s">
        <v>391</v>
      </c>
      <c r="B3301" s="24" t="s">
        <v>32</v>
      </c>
      <c r="C3301" s="24" t="s">
        <v>33</v>
      </c>
      <c r="D3301" s="24">
        <v>168.5</v>
      </c>
      <c r="E3301" s="24" t="s">
        <v>796</v>
      </c>
      <c r="F3301" s="24" t="s">
        <v>981</v>
      </c>
      <c r="G3301" s="24">
        <v>174950</v>
      </c>
    </row>
    <row r="3302" spans="1:7" x14ac:dyDescent="0.25">
      <c r="A3302" s="24" t="s">
        <v>391</v>
      </c>
      <c r="B3302" s="24" t="s">
        <v>34</v>
      </c>
      <c r="C3302" s="24" t="s">
        <v>31</v>
      </c>
      <c r="D3302" s="24">
        <v>0</v>
      </c>
      <c r="E3302" s="24" t="s">
        <v>796</v>
      </c>
      <c r="F3302" s="24" t="s">
        <v>981</v>
      </c>
      <c r="G3302" s="24">
        <v>174950</v>
      </c>
    </row>
    <row r="3303" spans="1:7" x14ac:dyDescent="0.25">
      <c r="A3303" s="24" t="s">
        <v>391</v>
      </c>
      <c r="B3303" s="24" t="s">
        <v>35</v>
      </c>
      <c r="C3303" s="24" t="s">
        <v>36</v>
      </c>
      <c r="D3303" s="24">
        <v>0.4</v>
      </c>
      <c r="E3303" s="24" t="s">
        <v>796</v>
      </c>
      <c r="F3303" s="24" t="s">
        <v>981</v>
      </c>
      <c r="G3303" s="24">
        <v>174950</v>
      </c>
    </row>
    <row r="3304" spans="1:7" x14ac:dyDescent="0.25">
      <c r="A3304" s="24" t="s">
        <v>391</v>
      </c>
      <c r="B3304" s="24" t="s">
        <v>37</v>
      </c>
      <c r="C3304" s="24" t="s">
        <v>38</v>
      </c>
      <c r="D3304" s="24">
        <v>0.6</v>
      </c>
      <c r="E3304" s="24" t="s">
        <v>796</v>
      </c>
      <c r="F3304" s="24" t="s">
        <v>981</v>
      </c>
      <c r="G3304" s="24">
        <v>174950</v>
      </c>
    </row>
    <row r="3305" spans="1:7" x14ac:dyDescent="0.25">
      <c r="A3305" s="24" t="s">
        <v>391</v>
      </c>
      <c r="B3305" s="24" t="s">
        <v>39</v>
      </c>
      <c r="C3305" s="24" t="s">
        <v>36</v>
      </c>
      <c r="D3305" s="24">
        <v>1.7</v>
      </c>
      <c r="E3305" s="24" t="s">
        <v>796</v>
      </c>
      <c r="F3305" s="24" t="s">
        <v>981</v>
      </c>
      <c r="G3305" s="24">
        <v>174950</v>
      </c>
    </row>
    <row r="3306" spans="1:7" x14ac:dyDescent="0.25">
      <c r="A3306" s="24" t="s">
        <v>391</v>
      </c>
      <c r="B3306" s="24" t="s">
        <v>40</v>
      </c>
      <c r="C3306" s="24" t="s">
        <v>31</v>
      </c>
      <c r="D3306" s="24">
        <v>0.4</v>
      </c>
      <c r="E3306" s="24" t="s">
        <v>796</v>
      </c>
      <c r="F3306" s="24" t="s">
        <v>981</v>
      </c>
      <c r="G3306" s="24">
        <v>174950</v>
      </c>
    </row>
    <row r="3307" spans="1:7" x14ac:dyDescent="0.25">
      <c r="A3307" s="24" t="s">
        <v>391</v>
      </c>
      <c r="B3307" s="24" t="s">
        <v>41</v>
      </c>
      <c r="C3307" s="24" t="s">
        <v>31</v>
      </c>
      <c r="D3307" s="24">
        <v>0.3</v>
      </c>
      <c r="E3307" s="24" t="s">
        <v>796</v>
      </c>
      <c r="F3307" s="24" t="s">
        <v>981</v>
      </c>
      <c r="G3307" s="24">
        <v>174950</v>
      </c>
    </row>
    <row r="3308" spans="1:7" x14ac:dyDescent="0.25">
      <c r="A3308" s="24" t="s">
        <v>391</v>
      </c>
      <c r="B3308" s="24" t="s">
        <v>42</v>
      </c>
      <c r="C3308" s="24" t="s">
        <v>43</v>
      </c>
      <c r="D3308" s="24">
        <v>3.3</v>
      </c>
      <c r="E3308" s="24" t="s">
        <v>796</v>
      </c>
      <c r="F3308" s="24" t="s">
        <v>981</v>
      </c>
      <c r="G3308" s="24">
        <v>174950</v>
      </c>
    </row>
    <row r="3309" spans="1:7" x14ac:dyDescent="0.25">
      <c r="A3309" s="24" t="s">
        <v>391</v>
      </c>
      <c r="B3309" s="24" t="s">
        <v>44</v>
      </c>
      <c r="C3309" s="24" t="s">
        <v>31</v>
      </c>
      <c r="D3309" s="24">
        <v>0</v>
      </c>
      <c r="E3309" s="24" t="s">
        <v>796</v>
      </c>
      <c r="F3309" s="24" t="s">
        <v>981</v>
      </c>
      <c r="G3309" s="24">
        <v>174950</v>
      </c>
    </row>
    <row r="3310" spans="1:7" x14ac:dyDescent="0.25">
      <c r="A3310" s="24" t="s">
        <v>391</v>
      </c>
      <c r="B3310" s="24" t="s">
        <v>45</v>
      </c>
      <c r="C3310" s="24" t="s">
        <v>31</v>
      </c>
      <c r="D3310" s="24">
        <v>0.5</v>
      </c>
      <c r="E3310" s="24" t="s">
        <v>796</v>
      </c>
      <c r="F3310" s="24" t="s">
        <v>981</v>
      </c>
      <c r="G3310" s="24">
        <v>174950</v>
      </c>
    </row>
    <row r="3311" spans="1:7" x14ac:dyDescent="0.25">
      <c r="A3311" s="24" t="s">
        <v>391</v>
      </c>
      <c r="B3311" s="24" t="s">
        <v>46</v>
      </c>
      <c r="C3311" s="24" t="s">
        <v>36</v>
      </c>
      <c r="D3311" s="24">
        <v>0.4</v>
      </c>
      <c r="E3311" s="24" t="s">
        <v>796</v>
      </c>
      <c r="F3311" s="24" t="s">
        <v>981</v>
      </c>
      <c r="G3311" s="24">
        <v>174950</v>
      </c>
    </row>
    <row r="3312" spans="1:7" x14ac:dyDescent="0.25">
      <c r="A3312" s="24" t="s">
        <v>391</v>
      </c>
      <c r="B3312" s="24" t="s">
        <v>47</v>
      </c>
      <c r="C3312" s="24" t="s">
        <v>48</v>
      </c>
      <c r="D3312" s="24">
        <v>127.6</v>
      </c>
      <c r="E3312" s="24" t="s">
        <v>796</v>
      </c>
      <c r="F3312" s="24" t="s">
        <v>981</v>
      </c>
      <c r="G3312" s="24">
        <v>174950</v>
      </c>
    </row>
    <row r="3313" spans="1:7" x14ac:dyDescent="0.25">
      <c r="A3313" s="24" t="s">
        <v>391</v>
      </c>
      <c r="B3313" s="24" t="s">
        <v>50</v>
      </c>
      <c r="C3313" s="24" t="s">
        <v>31</v>
      </c>
      <c r="D3313" s="24">
        <v>113.3</v>
      </c>
      <c r="E3313" s="24" t="s">
        <v>796</v>
      </c>
      <c r="F3313" s="24" t="s">
        <v>981</v>
      </c>
      <c r="G3313" s="24">
        <v>174950</v>
      </c>
    </row>
    <row r="3314" spans="1:7" x14ac:dyDescent="0.25">
      <c r="A3314" s="24" t="s">
        <v>391</v>
      </c>
      <c r="B3314" s="24" t="s">
        <v>51</v>
      </c>
      <c r="C3314" s="24" t="s">
        <v>31</v>
      </c>
      <c r="D3314" s="24">
        <v>29.6</v>
      </c>
      <c r="E3314" s="24" t="s">
        <v>796</v>
      </c>
      <c r="F3314" s="24" t="s">
        <v>981</v>
      </c>
      <c r="G3314" s="24">
        <v>174950</v>
      </c>
    </row>
    <row r="3315" spans="1:7" x14ac:dyDescent="0.25">
      <c r="A3315" s="24" t="s">
        <v>391</v>
      </c>
      <c r="B3315" s="24" t="s">
        <v>52</v>
      </c>
      <c r="C3315" s="24" t="s">
        <v>31</v>
      </c>
      <c r="D3315" s="24">
        <v>104.1</v>
      </c>
      <c r="E3315" s="24" t="s">
        <v>796</v>
      </c>
      <c r="F3315" s="24" t="s">
        <v>981</v>
      </c>
      <c r="G3315" s="24">
        <v>174950</v>
      </c>
    </row>
    <row r="3316" spans="1:7" x14ac:dyDescent="0.25">
      <c r="A3316" s="24" t="s">
        <v>391</v>
      </c>
      <c r="B3316" s="24" t="s">
        <v>53</v>
      </c>
      <c r="C3316" s="24" t="s">
        <v>31</v>
      </c>
      <c r="D3316" s="24">
        <v>12.3</v>
      </c>
      <c r="E3316" s="24" t="s">
        <v>796</v>
      </c>
      <c r="F3316" s="24" t="s">
        <v>981</v>
      </c>
      <c r="G3316" s="24">
        <v>174950</v>
      </c>
    </row>
    <row r="3317" spans="1:7" x14ac:dyDescent="0.25">
      <c r="A3317" s="24" t="s">
        <v>391</v>
      </c>
      <c r="B3317" s="24" t="s">
        <v>54</v>
      </c>
      <c r="C3317" s="24" t="s">
        <v>31</v>
      </c>
      <c r="D3317" s="24">
        <v>2.2999999999999998</v>
      </c>
      <c r="E3317" s="24" t="s">
        <v>796</v>
      </c>
      <c r="F3317" s="24" t="s">
        <v>981</v>
      </c>
      <c r="G3317" s="24">
        <v>174950</v>
      </c>
    </row>
    <row r="3318" spans="1:7" x14ac:dyDescent="0.25">
      <c r="A3318" s="24" t="s">
        <v>391</v>
      </c>
      <c r="B3318" s="24" t="s">
        <v>55</v>
      </c>
      <c r="C3318" s="24" t="s">
        <v>31</v>
      </c>
      <c r="D3318" s="24">
        <v>0.4</v>
      </c>
      <c r="E3318" s="24" t="s">
        <v>796</v>
      </c>
      <c r="F3318" s="24" t="s">
        <v>981</v>
      </c>
      <c r="G3318" s="24">
        <v>174950</v>
      </c>
    </row>
    <row r="3319" spans="1:7" x14ac:dyDescent="0.25">
      <c r="A3319" s="24" t="s">
        <v>391</v>
      </c>
      <c r="B3319" s="24" t="s">
        <v>56</v>
      </c>
      <c r="C3319" s="24" t="s">
        <v>31</v>
      </c>
      <c r="D3319" s="24">
        <v>0.2</v>
      </c>
      <c r="E3319" s="24" t="s">
        <v>796</v>
      </c>
      <c r="F3319" s="24" t="s">
        <v>981</v>
      </c>
      <c r="G3319" s="24">
        <v>174950</v>
      </c>
    </row>
    <row r="3320" spans="1:7" x14ac:dyDescent="0.25">
      <c r="A3320" s="24" t="s">
        <v>391</v>
      </c>
      <c r="B3320" s="24" t="s">
        <v>57</v>
      </c>
      <c r="C3320" s="24" t="s">
        <v>36</v>
      </c>
      <c r="D3320" s="24">
        <v>8.6</v>
      </c>
      <c r="E3320" s="24" t="s">
        <v>796</v>
      </c>
      <c r="F3320" s="24" t="s">
        <v>981</v>
      </c>
      <c r="G3320" s="24">
        <v>174950</v>
      </c>
    </row>
    <row r="3321" spans="1:7" x14ac:dyDescent="0.25">
      <c r="A3321" s="24" t="s">
        <v>391</v>
      </c>
      <c r="B3321" s="24" t="s">
        <v>58</v>
      </c>
      <c r="C3321" s="24" t="s">
        <v>5</v>
      </c>
      <c r="D3321" s="24">
        <v>0</v>
      </c>
      <c r="E3321" s="24" t="s">
        <v>795</v>
      </c>
      <c r="F3321" s="24"/>
      <c r="G3321" s="24"/>
    </row>
    <row r="3322" spans="1:7" x14ac:dyDescent="0.25">
      <c r="A3322" s="24" t="s">
        <v>392</v>
      </c>
      <c r="B3322" s="24" t="s">
        <v>23</v>
      </c>
      <c r="C3322" s="24" t="s">
        <v>5</v>
      </c>
      <c r="D3322" s="24">
        <v>50</v>
      </c>
      <c r="E3322" s="24" t="s">
        <v>796</v>
      </c>
      <c r="F3322" s="24" t="s">
        <v>982</v>
      </c>
      <c r="G3322" s="24">
        <v>171847</v>
      </c>
    </row>
    <row r="3323" spans="1:7" x14ac:dyDescent="0.25">
      <c r="A3323" s="24" t="s">
        <v>392</v>
      </c>
      <c r="B3323" s="24" t="s">
        <v>32</v>
      </c>
      <c r="C3323" s="24" t="s">
        <v>33</v>
      </c>
      <c r="D3323" s="24">
        <v>0</v>
      </c>
      <c r="E3323" s="24" t="s">
        <v>796</v>
      </c>
      <c r="F3323" s="24" t="s">
        <v>982</v>
      </c>
      <c r="G3323" s="24">
        <v>171847</v>
      </c>
    </row>
    <row r="3324" spans="1:7" x14ac:dyDescent="0.25">
      <c r="A3324" s="24" t="s">
        <v>392</v>
      </c>
      <c r="B3324" s="24" t="s">
        <v>34</v>
      </c>
      <c r="C3324" s="24" t="s">
        <v>31</v>
      </c>
      <c r="D3324" s="24">
        <v>0</v>
      </c>
      <c r="E3324" s="24" t="s">
        <v>796</v>
      </c>
      <c r="F3324" s="24" t="s">
        <v>982</v>
      </c>
      <c r="G3324" s="24">
        <v>171847</v>
      </c>
    </row>
    <row r="3325" spans="1:7" x14ac:dyDescent="0.25">
      <c r="A3325" s="24" t="s">
        <v>392</v>
      </c>
      <c r="B3325" s="24" t="s">
        <v>35</v>
      </c>
      <c r="C3325" s="24" t="s">
        <v>36</v>
      </c>
      <c r="D3325" s="24">
        <v>0</v>
      </c>
      <c r="E3325" s="24" t="s">
        <v>796</v>
      </c>
      <c r="F3325" s="24" t="s">
        <v>982</v>
      </c>
      <c r="G3325" s="24">
        <v>171847</v>
      </c>
    </row>
    <row r="3326" spans="1:7" x14ac:dyDescent="0.25">
      <c r="A3326" s="24" t="s">
        <v>392</v>
      </c>
      <c r="B3326" s="24" t="s">
        <v>37</v>
      </c>
      <c r="C3326" s="24" t="s">
        <v>38</v>
      </c>
      <c r="D3326" s="24">
        <v>0.2</v>
      </c>
      <c r="E3326" s="24" t="s">
        <v>796</v>
      </c>
      <c r="F3326" s="24" t="s">
        <v>982</v>
      </c>
      <c r="G3326" s="24">
        <v>171847</v>
      </c>
    </row>
    <row r="3327" spans="1:7" x14ac:dyDescent="0.25">
      <c r="A3327" s="24" t="s">
        <v>392</v>
      </c>
      <c r="B3327" s="24" t="s">
        <v>39</v>
      </c>
      <c r="C3327" s="24" t="s">
        <v>36</v>
      </c>
      <c r="D3327" s="24">
        <v>1.2</v>
      </c>
      <c r="E3327" s="24" t="s">
        <v>796</v>
      </c>
      <c r="F3327" s="24" t="s">
        <v>982</v>
      </c>
      <c r="G3327" s="24">
        <v>171847</v>
      </c>
    </row>
    <row r="3328" spans="1:7" x14ac:dyDescent="0.25">
      <c r="A3328" s="24" t="s">
        <v>392</v>
      </c>
      <c r="B3328" s="24" t="s">
        <v>40</v>
      </c>
      <c r="C3328" s="24" t="s">
        <v>31</v>
      </c>
      <c r="D3328" s="24">
        <v>0</v>
      </c>
      <c r="E3328" s="24" t="s">
        <v>796</v>
      </c>
      <c r="F3328" s="24" t="s">
        <v>982</v>
      </c>
      <c r="G3328" s="24">
        <v>171847</v>
      </c>
    </row>
    <row r="3329" spans="1:7" x14ac:dyDescent="0.25">
      <c r="A3329" s="24" t="s">
        <v>392</v>
      </c>
      <c r="B3329" s="24" t="s">
        <v>41</v>
      </c>
      <c r="C3329" s="24" t="s">
        <v>31</v>
      </c>
      <c r="D3329" s="24">
        <v>0.1</v>
      </c>
      <c r="E3329" s="24" t="s">
        <v>796</v>
      </c>
      <c r="F3329" s="24" t="s">
        <v>982</v>
      </c>
      <c r="G3329" s="24">
        <v>171847</v>
      </c>
    </row>
    <row r="3330" spans="1:7" x14ac:dyDescent="0.25">
      <c r="A3330" s="24" t="s">
        <v>392</v>
      </c>
      <c r="B3330" s="24" t="s">
        <v>42</v>
      </c>
      <c r="C3330" s="24" t="s">
        <v>43</v>
      </c>
      <c r="D3330" s="24">
        <v>0.2</v>
      </c>
      <c r="E3330" s="24" t="s">
        <v>796</v>
      </c>
      <c r="F3330" s="24" t="s">
        <v>982</v>
      </c>
      <c r="G3330" s="24">
        <v>171847</v>
      </c>
    </row>
    <row r="3331" spans="1:7" x14ac:dyDescent="0.25">
      <c r="A3331" s="24" t="s">
        <v>392</v>
      </c>
      <c r="B3331" s="24" t="s">
        <v>44</v>
      </c>
      <c r="C3331" s="24" t="s">
        <v>31</v>
      </c>
      <c r="D3331" s="24">
        <v>0.1</v>
      </c>
      <c r="E3331" s="24" t="s">
        <v>796</v>
      </c>
      <c r="F3331" s="24" t="s">
        <v>982</v>
      </c>
      <c r="G3331" s="24">
        <v>171847</v>
      </c>
    </row>
    <row r="3332" spans="1:7" x14ac:dyDescent="0.25">
      <c r="A3332" s="24" t="s">
        <v>392</v>
      </c>
      <c r="B3332" s="24" t="s">
        <v>46</v>
      </c>
      <c r="C3332" s="24" t="s">
        <v>36</v>
      </c>
      <c r="D3332" s="24">
        <v>0</v>
      </c>
      <c r="E3332" s="24" t="s">
        <v>796</v>
      </c>
      <c r="F3332" s="24" t="s">
        <v>982</v>
      </c>
      <c r="G3332" s="24">
        <v>171847</v>
      </c>
    </row>
    <row r="3333" spans="1:7" x14ac:dyDescent="0.25">
      <c r="A3333" s="24" t="s">
        <v>392</v>
      </c>
      <c r="B3333" s="24" t="s">
        <v>47</v>
      </c>
      <c r="C3333" s="24" t="s">
        <v>48</v>
      </c>
      <c r="D3333" s="24">
        <v>3.3</v>
      </c>
      <c r="E3333" s="24" t="s">
        <v>796</v>
      </c>
      <c r="F3333" s="24" t="s">
        <v>982</v>
      </c>
      <c r="G3333" s="24">
        <v>171847</v>
      </c>
    </row>
    <row r="3334" spans="1:7" x14ac:dyDescent="0.25">
      <c r="A3334" s="24" t="s">
        <v>392</v>
      </c>
      <c r="B3334" s="24" t="s">
        <v>50</v>
      </c>
      <c r="C3334" s="24" t="s">
        <v>31</v>
      </c>
      <c r="D3334" s="24">
        <v>136.1</v>
      </c>
      <c r="E3334" s="24" t="s">
        <v>796</v>
      </c>
      <c r="F3334" s="24" t="s">
        <v>982</v>
      </c>
      <c r="G3334" s="24">
        <v>171847</v>
      </c>
    </row>
    <row r="3335" spans="1:7" x14ac:dyDescent="0.25">
      <c r="A3335" s="24" t="s">
        <v>392</v>
      </c>
      <c r="B3335" s="24" t="s">
        <v>51</v>
      </c>
      <c r="C3335" s="24" t="s">
        <v>31</v>
      </c>
      <c r="D3335" s="24">
        <v>5.5</v>
      </c>
      <c r="E3335" s="24" t="s">
        <v>796</v>
      </c>
      <c r="F3335" s="24" t="s">
        <v>982</v>
      </c>
      <c r="G3335" s="24">
        <v>171847</v>
      </c>
    </row>
    <row r="3336" spans="1:7" x14ac:dyDescent="0.25">
      <c r="A3336" s="24" t="s">
        <v>392</v>
      </c>
      <c r="B3336" s="24" t="s">
        <v>52</v>
      </c>
      <c r="C3336" s="24" t="s">
        <v>31</v>
      </c>
      <c r="D3336" s="24">
        <v>75.2</v>
      </c>
      <c r="E3336" s="24" t="s">
        <v>796</v>
      </c>
      <c r="F3336" s="24" t="s">
        <v>982</v>
      </c>
      <c r="G3336" s="24">
        <v>171847</v>
      </c>
    </row>
    <row r="3337" spans="1:7" x14ac:dyDescent="0.25">
      <c r="A3337" s="24" t="s">
        <v>392</v>
      </c>
      <c r="B3337" s="24" t="s">
        <v>53</v>
      </c>
      <c r="C3337" s="24" t="s">
        <v>31</v>
      </c>
      <c r="D3337" s="24">
        <v>32.1</v>
      </c>
      <c r="E3337" s="24" t="s">
        <v>796</v>
      </c>
      <c r="F3337" s="24" t="s">
        <v>982</v>
      </c>
      <c r="G3337" s="24">
        <v>171847</v>
      </c>
    </row>
    <row r="3338" spans="1:7" x14ac:dyDescent="0.25">
      <c r="A3338" s="24" t="s">
        <v>392</v>
      </c>
      <c r="B3338" s="24" t="s">
        <v>54</v>
      </c>
      <c r="C3338" s="24" t="s">
        <v>31</v>
      </c>
      <c r="D3338" s="24">
        <v>0.9</v>
      </c>
      <c r="E3338" s="24" t="s">
        <v>796</v>
      </c>
      <c r="F3338" s="24" t="s">
        <v>982</v>
      </c>
      <c r="G3338" s="24">
        <v>171847</v>
      </c>
    </row>
    <row r="3339" spans="1:7" x14ac:dyDescent="0.25">
      <c r="A3339" s="24" t="s">
        <v>392</v>
      </c>
      <c r="B3339" s="24" t="s">
        <v>55</v>
      </c>
      <c r="C3339" s="24" t="s">
        <v>31</v>
      </c>
      <c r="D3339" s="24">
        <v>0.8</v>
      </c>
      <c r="E3339" s="24" t="s">
        <v>796</v>
      </c>
      <c r="F3339" s="24" t="s">
        <v>982</v>
      </c>
      <c r="G3339" s="24">
        <v>171847</v>
      </c>
    </row>
    <row r="3340" spans="1:7" x14ac:dyDescent="0.25">
      <c r="A3340" s="24" t="s">
        <v>392</v>
      </c>
      <c r="B3340" s="24" t="s">
        <v>56</v>
      </c>
      <c r="C3340" s="24" t="s">
        <v>31</v>
      </c>
      <c r="D3340" s="24">
        <v>0.3</v>
      </c>
      <c r="E3340" s="24" t="s">
        <v>796</v>
      </c>
      <c r="F3340" s="24" t="s">
        <v>982</v>
      </c>
      <c r="G3340" s="24">
        <v>171847</v>
      </c>
    </row>
    <row r="3341" spans="1:7" x14ac:dyDescent="0.25">
      <c r="A3341" s="24" t="s">
        <v>392</v>
      </c>
      <c r="B3341" s="24" t="s">
        <v>57</v>
      </c>
      <c r="C3341" s="24" t="s">
        <v>36</v>
      </c>
      <c r="D3341" s="24">
        <v>7.5</v>
      </c>
      <c r="E3341" s="24" t="s">
        <v>796</v>
      </c>
      <c r="F3341" s="24" t="s">
        <v>982</v>
      </c>
      <c r="G3341" s="24">
        <v>171847</v>
      </c>
    </row>
    <row r="3342" spans="1:7" x14ac:dyDescent="0.25">
      <c r="A3342" s="24" t="s">
        <v>392</v>
      </c>
      <c r="B3342" s="24" t="s">
        <v>58</v>
      </c>
      <c r="C3342" s="24" t="s">
        <v>5</v>
      </c>
      <c r="D3342" s="24">
        <v>0</v>
      </c>
      <c r="E3342" s="24" t="s">
        <v>795</v>
      </c>
      <c r="F3342" s="24"/>
      <c r="G3342" s="24"/>
    </row>
    <row r="3343" spans="1:7" x14ac:dyDescent="0.25">
      <c r="A3343" s="24" t="s">
        <v>393</v>
      </c>
      <c r="B3343" s="24" t="s">
        <v>23</v>
      </c>
      <c r="C3343" s="24" t="s">
        <v>5</v>
      </c>
      <c r="D3343" s="24">
        <v>38.4</v>
      </c>
      <c r="E3343" s="24" t="s">
        <v>796</v>
      </c>
      <c r="F3343" s="24" t="s">
        <v>983</v>
      </c>
      <c r="G3343" s="24">
        <v>174973</v>
      </c>
    </row>
    <row r="3344" spans="1:7" x14ac:dyDescent="0.25">
      <c r="A3344" s="24" t="s">
        <v>393</v>
      </c>
      <c r="B3344" s="24" t="s">
        <v>32</v>
      </c>
      <c r="C3344" s="24" t="s">
        <v>33</v>
      </c>
      <c r="D3344" s="24">
        <v>8.1999999999999993</v>
      </c>
      <c r="E3344" s="24" t="s">
        <v>796</v>
      </c>
      <c r="F3344" s="24" t="s">
        <v>983</v>
      </c>
      <c r="G3344" s="24">
        <v>174973</v>
      </c>
    </row>
    <row r="3345" spans="1:7" x14ac:dyDescent="0.25">
      <c r="A3345" s="24" t="s">
        <v>393</v>
      </c>
      <c r="B3345" s="24" t="s">
        <v>34</v>
      </c>
      <c r="C3345" s="24" t="s">
        <v>31</v>
      </c>
      <c r="D3345" s="24">
        <v>0</v>
      </c>
      <c r="E3345" s="24" t="s">
        <v>796</v>
      </c>
      <c r="F3345" s="24" t="s">
        <v>983</v>
      </c>
      <c r="G3345" s="24">
        <v>174973</v>
      </c>
    </row>
    <row r="3346" spans="1:7" x14ac:dyDescent="0.25">
      <c r="A3346" s="24" t="s">
        <v>393</v>
      </c>
      <c r="B3346" s="24" t="s">
        <v>35</v>
      </c>
      <c r="C3346" s="24" t="s">
        <v>36</v>
      </c>
      <c r="D3346" s="24">
        <v>0</v>
      </c>
      <c r="E3346" s="24" t="s">
        <v>796</v>
      </c>
      <c r="F3346" s="24" t="s">
        <v>983</v>
      </c>
      <c r="G3346" s="24">
        <v>174973</v>
      </c>
    </row>
    <row r="3347" spans="1:7" x14ac:dyDescent="0.25">
      <c r="A3347" s="24" t="s">
        <v>393</v>
      </c>
      <c r="B3347" s="24" t="s">
        <v>37</v>
      </c>
      <c r="C3347" s="24" t="s">
        <v>38</v>
      </c>
      <c r="D3347" s="24">
        <v>0.2</v>
      </c>
      <c r="E3347" s="24" t="s">
        <v>796</v>
      </c>
      <c r="F3347" s="24" t="s">
        <v>983</v>
      </c>
      <c r="G3347" s="24">
        <v>174973</v>
      </c>
    </row>
    <row r="3348" spans="1:7" x14ac:dyDescent="0.25">
      <c r="A3348" s="24" t="s">
        <v>393</v>
      </c>
      <c r="B3348" s="24" t="s">
        <v>39</v>
      </c>
      <c r="C3348" s="24" t="s">
        <v>36</v>
      </c>
      <c r="D3348" s="24">
        <v>6.1</v>
      </c>
      <c r="E3348" s="24" t="s">
        <v>796</v>
      </c>
      <c r="F3348" s="24" t="s">
        <v>983</v>
      </c>
      <c r="G3348" s="24">
        <v>174973</v>
      </c>
    </row>
    <row r="3349" spans="1:7" x14ac:dyDescent="0.25">
      <c r="A3349" s="24" t="s">
        <v>393</v>
      </c>
      <c r="B3349" s="24" t="s">
        <v>40</v>
      </c>
      <c r="C3349" s="24" t="s">
        <v>31</v>
      </c>
      <c r="D3349" s="24">
        <v>0.3</v>
      </c>
      <c r="E3349" s="24" t="s">
        <v>796</v>
      </c>
      <c r="F3349" s="24" t="s">
        <v>983</v>
      </c>
      <c r="G3349" s="24">
        <v>174973</v>
      </c>
    </row>
    <row r="3350" spans="1:7" x14ac:dyDescent="0.25">
      <c r="A3350" s="24" t="s">
        <v>393</v>
      </c>
      <c r="B3350" s="24" t="s">
        <v>41</v>
      </c>
      <c r="C3350" s="24" t="s">
        <v>31</v>
      </c>
      <c r="D3350" s="24">
        <v>0.3</v>
      </c>
      <c r="E3350" s="24" t="s">
        <v>796</v>
      </c>
      <c r="F3350" s="24" t="s">
        <v>983</v>
      </c>
      <c r="G3350" s="24">
        <v>174973</v>
      </c>
    </row>
    <row r="3351" spans="1:7" x14ac:dyDescent="0.25">
      <c r="A3351" s="24" t="s">
        <v>393</v>
      </c>
      <c r="B3351" s="24" t="s">
        <v>42</v>
      </c>
      <c r="C3351" s="24" t="s">
        <v>43</v>
      </c>
      <c r="D3351" s="24">
        <v>3.2</v>
      </c>
      <c r="E3351" s="24" t="s">
        <v>796</v>
      </c>
      <c r="F3351" s="24" t="s">
        <v>983</v>
      </c>
      <c r="G3351" s="24">
        <v>174973</v>
      </c>
    </row>
    <row r="3352" spans="1:7" x14ac:dyDescent="0.25">
      <c r="A3352" s="24" t="s">
        <v>393</v>
      </c>
      <c r="B3352" s="24" t="s">
        <v>44</v>
      </c>
      <c r="C3352" s="24" t="s">
        <v>31</v>
      </c>
      <c r="D3352" s="24">
        <v>0.1</v>
      </c>
      <c r="E3352" s="24" t="s">
        <v>796</v>
      </c>
      <c r="F3352" s="24" t="s">
        <v>983</v>
      </c>
      <c r="G3352" s="24">
        <v>174973</v>
      </c>
    </row>
    <row r="3353" spans="1:7" x14ac:dyDescent="0.25">
      <c r="A3353" s="24" t="s">
        <v>393</v>
      </c>
      <c r="B3353" s="24" t="s">
        <v>45</v>
      </c>
      <c r="C3353" s="24" t="s">
        <v>31</v>
      </c>
      <c r="D3353" s="24">
        <v>0.4</v>
      </c>
      <c r="E3353" s="24" t="s">
        <v>796</v>
      </c>
      <c r="F3353" s="24" t="s">
        <v>983</v>
      </c>
      <c r="G3353" s="24">
        <v>174973</v>
      </c>
    </row>
    <row r="3354" spans="1:7" x14ac:dyDescent="0.25">
      <c r="A3354" s="24" t="s">
        <v>393</v>
      </c>
      <c r="B3354" s="24" t="s">
        <v>46</v>
      </c>
      <c r="C3354" s="24" t="s">
        <v>36</v>
      </c>
      <c r="D3354" s="24">
        <v>0.1</v>
      </c>
      <c r="E3354" s="24" t="s">
        <v>796</v>
      </c>
      <c r="F3354" s="24" t="s">
        <v>983</v>
      </c>
      <c r="G3354" s="24">
        <v>174973</v>
      </c>
    </row>
    <row r="3355" spans="1:7" x14ac:dyDescent="0.25">
      <c r="A3355" s="24" t="s">
        <v>393</v>
      </c>
      <c r="B3355" s="24" t="s">
        <v>47</v>
      </c>
      <c r="C3355" s="24" t="s">
        <v>48</v>
      </c>
      <c r="D3355" s="24">
        <v>98.2</v>
      </c>
      <c r="E3355" s="24" t="s">
        <v>796</v>
      </c>
      <c r="F3355" s="24" t="s">
        <v>983</v>
      </c>
      <c r="G3355" s="24">
        <v>174973</v>
      </c>
    </row>
    <row r="3356" spans="1:7" x14ac:dyDescent="0.25">
      <c r="A3356" s="24" t="s">
        <v>393</v>
      </c>
      <c r="B3356" s="24" t="s">
        <v>50</v>
      </c>
      <c r="C3356" s="24" t="s">
        <v>31</v>
      </c>
      <c r="D3356" s="24">
        <v>99.2</v>
      </c>
      <c r="E3356" s="24" t="s">
        <v>796</v>
      </c>
      <c r="F3356" s="24" t="s">
        <v>983</v>
      </c>
      <c r="G3356" s="24">
        <v>174973</v>
      </c>
    </row>
    <row r="3357" spans="1:7" x14ac:dyDescent="0.25">
      <c r="A3357" s="24" t="s">
        <v>393</v>
      </c>
      <c r="B3357" s="24" t="s">
        <v>51</v>
      </c>
      <c r="C3357" s="24" t="s">
        <v>31</v>
      </c>
      <c r="D3357" s="24">
        <v>49.1</v>
      </c>
      <c r="E3357" s="24" t="s">
        <v>796</v>
      </c>
      <c r="F3357" s="24" t="s">
        <v>983</v>
      </c>
      <c r="G3357" s="24">
        <v>174973</v>
      </c>
    </row>
    <row r="3358" spans="1:7" x14ac:dyDescent="0.25">
      <c r="A3358" s="24" t="s">
        <v>393</v>
      </c>
      <c r="B3358" s="24" t="s">
        <v>52</v>
      </c>
      <c r="C3358" s="24" t="s">
        <v>31</v>
      </c>
      <c r="D3358" s="24">
        <v>106.4</v>
      </c>
      <c r="E3358" s="24" t="s">
        <v>796</v>
      </c>
      <c r="F3358" s="24" t="s">
        <v>983</v>
      </c>
      <c r="G3358" s="24">
        <v>174973</v>
      </c>
    </row>
    <row r="3359" spans="1:7" x14ac:dyDescent="0.25">
      <c r="A3359" s="24" t="s">
        <v>393</v>
      </c>
      <c r="B3359" s="24" t="s">
        <v>53</v>
      </c>
      <c r="C3359" s="24" t="s">
        <v>31</v>
      </c>
      <c r="D3359" s="24">
        <v>14.3</v>
      </c>
      <c r="E3359" s="24" t="s">
        <v>796</v>
      </c>
      <c r="F3359" s="24" t="s">
        <v>983</v>
      </c>
      <c r="G3359" s="24">
        <v>174973</v>
      </c>
    </row>
    <row r="3360" spans="1:7" x14ac:dyDescent="0.25">
      <c r="A3360" s="24" t="s">
        <v>393</v>
      </c>
      <c r="B3360" s="24" t="s">
        <v>54</v>
      </c>
      <c r="C3360" s="24" t="s">
        <v>31</v>
      </c>
      <c r="D3360" s="24">
        <v>2.4</v>
      </c>
      <c r="E3360" s="24" t="s">
        <v>796</v>
      </c>
      <c r="F3360" s="24" t="s">
        <v>983</v>
      </c>
      <c r="G3360" s="24">
        <v>174973</v>
      </c>
    </row>
    <row r="3361" spans="1:7" x14ac:dyDescent="0.25">
      <c r="A3361" s="24" t="s">
        <v>393</v>
      </c>
      <c r="B3361" s="24" t="s">
        <v>55</v>
      </c>
      <c r="C3361" s="24" t="s">
        <v>31</v>
      </c>
      <c r="D3361" s="24">
        <v>0.4</v>
      </c>
      <c r="E3361" s="24" t="s">
        <v>796</v>
      </c>
      <c r="F3361" s="24" t="s">
        <v>983</v>
      </c>
      <c r="G3361" s="24">
        <v>174973</v>
      </c>
    </row>
    <row r="3362" spans="1:7" x14ac:dyDescent="0.25">
      <c r="A3362" s="24" t="s">
        <v>393</v>
      </c>
      <c r="B3362" s="24" t="s">
        <v>56</v>
      </c>
      <c r="C3362" s="24" t="s">
        <v>31</v>
      </c>
      <c r="D3362" s="24">
        <v>0.1</v>
      </c>
      <c r="E3362" s="24" t="s">
        <v>796</v>
      </c>
      <c r="F3362" s="24" t="s">
        <v>983</v>
      </c>
      <c r="G3362" s="24">
        <v>174973</v>
      </c>
    </row>
    <row r="3363" spans="1:7" x14ac:dyDescent="0.25">
      <c r="A3363" s="24" t="s">
        <v>393</v>
      </c>
      <c r="B3363" s="24" t="s">
        <v>57</v>
      </c>
      <c r="C3363" s="24" t="s">
        <v>36</v>
      </c>
      <c r="D3363" s="24">
        <v>11.6</v>
      </c>
      <c r="E3363" s="24" t="s">
        <v>796</v>
      </c>
      <c r="F3363" s="24" t="s">
        <v>983</v>
      </c>
      <c r="G3363" s="24">
        <v>174973</v>
      </c>
    </row>
    <row r="3364" spans="1:7" x14ac:dyDescent="0.25">
      <c r="A3364" s="24" t="s">
        <v>393</v>
      </c>
      <c r="B3364" s="24" t="s">
        <v>58</v>
      </c>
      <c r="C3364" s="24" t="s">
        <v>5</v>
      </c>
      <c r="D3364" s="24">
        <v>0</v>
      </c>
      <c r="E3364" s="24" t="s">
        <v>795</v>
      </c>
      <c r="F3364" s="24"/>
      <c r="G3364" s="24"/>
    </row>
    <row r="3365" spans="1:7" x14ac:dyDescent="0.25">
      <c r="A3365" s="24" t="s">
        <v>394</v>
      </c>
      <c r="B3365" s="24" t="s">
        <v>23</v>
      </c>
      <c r="C3365" s="24" t="s">
        <v>5</v>
      </c>
      <c r="D3365" s="24">
        <v>20.6</v>
      </c>
      <c r="E3365" s="24" t="s">
        <v>796</v>
      </c>
      <c r="F3365" s="24" t="s">
        <v>981</v>
      </c>
      <c r="G3365" s="24">
        <v>174950</v>
      </c>
    </row>
    <row r="3366" spans="1:7" x14ac:dyDescent="0.25">
      <c r="A3366" s="24" t="s">
        <v>394</v>
      </c>
      <c r="B3366" s="24" t="s">
        <v>32</v>
      </c>
      <c r="C3366" s="24" t="s">
        <v>33</v>
      </c>
      <c r="D3366" s="24">
        <v>168.1</v>
      </c>
      <c r="E3366" s="24" t="s">
        <v>796</v>
      </c>
      <c r="F3366" s="24" t="s">
        <v>981</v>
      </c>
      <c r="G3366" s="24">
        <v>174950</v>
      </c>
    </row>
    <row r="3367" spans="1:7" x14ac:dyDescent="0.25">
      <c r="A3367" s="24" t="s">
        <v>394</v>
      </c>
      <c r="B3367" s="24" t="s">
        <v>34</v>
      </c>
      <c r="C3367" s="24" t="s">
        <v>31</v>
      </c>
      <c r="D3367" s="24">
        <v>0</v>
      </c>
      <c r="E3367" s="24" t="s">
        <v>796</v>
      </c>
      <c r="F3367" s="24" t="s">
        <v>981</v>
      </c>
      <c r="G3367" s="24">
        <v>174950</v>
      </c>
    </row>
    <row r="3368" spans="1:7" x14ac:dyDescent="0.25">
      <c r="A3368" s="24" t="s">
        <v>394</v>
      </c>
      <c r="B3368" s="24" t="s">
        <v>35</v>
      </c>
      <c r="C3368" s="24" t="s">
        <v>36</v>
      </c>
      <c r="D3368" s="24">
        <v>0.4</v>
      </c>
      <c r="E3368" s="24" t="s">
        <v>796</v>
      </c>
      <c r="F3368" s="24" t="s">
        <v>981</v>
      </c>
      <c r="G3368" s="24">
        <v>174950</v>
      </c>
    </row>
    <row r="3369" spans="1:7" x14ac:dyDescent="0.25">
      <c r="A3369" s="24" t="s">
        <v>394</v>
      </c>
      <c r="B3369" s="24" t="s">
        <v>37</v>
      </c>
      <c r="C3369" s="24" t="s">
        <v>38</v>
      </c>
      <c r="D3369" s="24">
        <v>0.6</v>
      </c>
      <c r="E3369" s="24" t="s">
        <v>796</v>
      </c>
      <c r="F3369" s="24" t="s">
        <v>981</v>
      </c>
      <c r="G3369" s="24">
        <v>174950</v>
      </c>
    </row>
    <row r="3370" spans="1:7" x14ac:dyDescent="0.25">
      <c r="A3370" s="24" t="s">
        <v>394</v>
      </c>
      <c r="B3370" s="24" t="s">
        <v>39</v>
      </c>
      <c r="C3370" s="24" t="s">
        <v>36</v>
      </c>
      <c r="D3370" s="24">
        <v>1.7</v>
      </c>
      <c r="E3370" s="24" t="s">
        <v>796</v>
      </c>
      <c r="F3370" s="24" t="s">
        <v>981</v>
      </c>
      <c r="G3370" s="24">
        <v>174950</v>
      </c>
    </row>
    <row r="3371" spans="1:7" x14ac:dyDescent="0.25">
      <c r="A3371" s="24" t="s">
        <v>394</v>
      </c>
      <c r="B3371" s="24" t="s">
        <v>40</v>
      </c>
      <c r="C3371" s="24" t="s">
        <v>31</v>
      </c>
      <c r="D3371" s="24">
        <v>0.4</v>
      </c>
      <c r="E3371" s="24" t="s">
        <v>796</v>
      </c>
      <c r="F3371" s="24" t="s">
        <v>981</v>
      </c>
      <c r="G3371" s="24">
        <v>174950</v>
      </c>
    </row>
    <row r="3372" spans="1:7" x14ac:dyDescent="0.25">
      <c r="A3372" s="24" t="s">
        <v>394</v>
      </c>
      <c r="B3372" s="24" t="s">
        <v>41</v>
      </c>
      <c r="C3372" s="24" t="s">
        <v>31</v>
      </c>
      <c r="D3372" s="24">
        <v>0.3</v>
      </c>
      <c r="E3372" s="24" t="s">
        <v>796</v>
      </c>
      <c r="F3372" s="24" t="s">
        <v>981</v>
      </c>
      <c r="G3372" s="24">
        <v>174950</v>
      </c>
    </row>
    <row r="3373" spans="1:7" x14ac:dyDescent="0.25">
      <c r="A3373" s="24" t="s">
        <v>394</v>
      </c>
      <c r="B3373" s="24" t="s">
        <v>42</v>
      </c>
      <c r="C3373" s="24" t="s">
        <v>43</v>
      </c>
      <c r="D3373" s="24">
        <v>3.3</v>
      </c>
      <c r="E3373" s="24" t="s">
        <v>796</v>
      </c>
      <c r="F3373" s="24" t="s">
        <v>981</v>
      </c>
      <c r="G3373" s="24">
        <v>174950</v>
      </c>
    </row>
    <row r="3374" spans="1:7" x14ac:dyDescent="0.25">
      <c r="A3374" s="24" t="s">
        <v>394</v>
      </c>
      <c r="B3374" s="24" t="s">
        <v>44</v>
      </c>
      <c r="C3374" s="24" t="s">
        <v>31</v>
      </c>
      <c r="D3374" s="24">
        <v>0</v>
      </c>
      <c r="E3374" s="24" t="s">
        <v>796</v>
      </c>
      <c r="F3374" s="24" t="s">
        <v>981</v>
      </c>
      <c r="G3374" s="24">
        <v>174950</v>
      </c>
    </row>
    <row r="3375" spans="1:7" x14ac:dyDescent="0.25">
      <c r="A3375" s="24" t="s">
        <v>394</v>
      </c>
      <c r="B3375" s="24" t="s">
        <v>45</v>
      </c>
      <c r="C3375" s="24" t="s">
        <v>31</v>
      </c>
      <c r="D3375" s="24">
        <v>0.5</v>
      </c>
      <c r="E3375" s="24" t="s">
        <v>796</v>
      </c>
      <c r="F3375" s="24" t="s">
        <v>981</v>
      </c>
      <c r="G3375" s="24">
        <v>174950</v>
      </c>
    </row>
    <row r="3376" spans="1:7" x14ac:dyDescent="0.25">
      <c r="A3376" s="24" t="s">
        <v>394</v>
      </c>
      <c r="B3376" s="24" t="s">
        <v>46</v>
      </c>
      <c r="C3376" s="24" t="s">
        <v>36</v>
      </c>
      <c r="D3376" s="24">
        <v>0.4</v>
      </c>
      <c r="E3376" s="24" t="s">
        <v>796</v>
      </c>
      <c r="F3376" s="24" t="s">
        <v>981</v>
      </c>
      <c r="G3376" s="24">
        <v>174950</v>
      </c>
    </row>
    <row r="3377" spans="1:7" x14ac:dyDescent="0.25">
      <c r="A3377" s="24" t="s">
        <v>394</v>
      </c>
      <c r="B3377" s="24" t="s">
        <v>47</v>
      </c>
      <c r="C3377" s="24" t="s">
        <v>48</v>
      </c>
      <c r="D3377" s="24">
        <v>127.4</v>
      </c>
      <c r="E3377" s="24" t="s">
        <v>796</v>
      </c>
      <c r="F3377" s="24" t="s">
        <v>981</v>
      </c>
      <c r="G3377" s="24">
        <v>174950</v>
      </c>
    </row>
    <row r="3378" spans="1:7" x14ac:dyDescent="0.25">
      <c r="A3378" s="24" t="s">
        <v>394</v>
      </c>
      <c r="B3378" s="24" t="s">
        <v>50</v>
      </c>
      <c r="C3378" s="24" t="s">
        <v>31</v>
      </c>
      <c r="D3378" s="24">
        <v>113.1</v>
      </c>
      <c r="E3378" s="24" t="s">
        <v>796</v>
      </c>
      <c r="F3378" s="24" t="s">
        <v>981</v>
      </c>
      <c r="G3378" s="24">
        <v>174950</v>
      </c>
    </row>
    <row r="3379" spans="1:7" x14ac:dyDescent="0.25">
      <c r="A3379" s="24" t="s">
        <v>394</v>
      </c>
      <c r="B3379" s="24" t="s">
        <v>51</v>
      </c>
      <c r="C3379" s="24" t="s">
        <v>31</v>
      </c>
      <c r="D3379" s="24">
        <v>29.5</v>
      </c>
      <c r="E3379" s="24" t="s">
        <v>796</v>
      </c>
      <c r="F3379" s="24" t="s">
        <v>981</v>
      </c>
      <c r="G3379" s="24">
        <v>174950</v>
      </c>
    </row>
    <row r="3380" spans="1:7" x14ac:dyDescent="0.25">
      <c r="A3380" s="24" t="s">
        <v>394</v>
      </c>
      <c r="B3380" s="24" t="s">
        <v>52</v>
      </c>
      <c r="C3380" s="24" t="s">
        <v>31</v>
      </c>
      <c r="D3380" s="24">
        <v>103.9</v>
      </c>
      <c r="E3380" s="24" t="s">
        <v>796</v>
      </c>
      <c r="F3380" s="24" t="s">
        <v>981</v>
      </c>
      <c r="G3380" s="24">
        <v>174950</v>
      </c>
    </row>
    <row r="3381" spans="1:7" x14ac:dyDescent="0.25">
      <c r="A3381" s="24" t="s">
        <v>394</v>
      </c>
      <c r="B3381" s="24" t="s">
        <v>53</v>
      </c>
      <c r="C3381" s="24" t="s">
        <v>31</v>
      </c>
      <c r="D3381" s="24">
        <v>12.2</v>
      </c>
      <c r="E3381" s="24" t="s">
        <v>796</v>
      </c>
      <c r="F3381" s="24" t="s">
        <v>981</v>
      </c>
      <c r="G3381" s="24">
        <v>174950</v>
      </c>
    </row>
    <row r="3382" spans="1:7" x14ac:dyDescent="0.25">
      <c r="A3382" s="24" t="s">
        <v>394</v>
      </c>
      <c r="B3382" s="24" t="s">
        <v>54</v>
      </c>
      <c r="C3382" s="24" t="s">
        <v>31</v>
      </c>
      <c r="D3382" s="24">
        <v>2.2999999999999998</v>
      </c>
      <c r="E3382" s="24" t="s">
        <v>796</v>
      </c>
      <c r="F3382" s="24" t="s">
        <v>981</v>
      </c>
      <c r="G3382" s="24">
        <v>174950</v>
      </c>
    </row>
    <row r="3383" spans="1:7" x14ac:dyDescent="0.25">
      <c r="A3383" s="24" t="s">
        <v>394</v>
      </c>
      <c r="B3383" s="24" t="s">
        <v>55</v>
      </c>
      <c r="C3383" s="24" t="s">
        <v>31</v>
      </c>
      <c r="D3383" s="24">
        <v>0.4</v>
      </c>
      <c r="E3383" s="24" t="s">
        <v>796</v>
      </c>
      <c r="F3383" s="24" t="s">
        <v>981</v>
      </c>
      <c r="G3383" s="24">
        <v>174950</v>
      </c>
    </row>
    <row r="3384" spans="1:7" x14ac:dyDescent="0.25">
      <c r="A3384" s="24" t="s">
        <v>394</v>
      </c>
      <c r="B3384" s="24" t="s">
        <v>56</v>
      </c>
      <c r="C3384" s="24" t="s">
        <v>31</v>
      </c>
      <c r="D3384" s="24">
        <v>0.2</v>
      </c>
      <c r="E3384" s="24" t="s">
        <v>796</v>
      </c>
      <c r="F3384" s="24" t="s">
        <v>981</v>
      </c>
      <c r="G3384" s="24">
        <v>174950</v>
      </c>
    </row>
    <row r="3385" spans="1:7" x14ac:dyDescent="0.25">
      <c r="A3385" s="24" t="s">
        <v>394</v>
      </c>
      <c r="B3385" s="24" t="s">
        <v>57</v>
      </c>
      <c r="C3385" s="24" t="s">
        <v>36</v>
      </c>
      <c r="D3385" s="24">
        <v>8.6</v>
      </c>
      <c r="E3385" s="24" t="s">
        <v>796</v>
      </c>
      <c r="F3385" s="24" t="s">
        <v>981</v>
      </c>
      <c r="G3385" s="24">
        <v>174950</v>
      </c>
    </row>
    <row r="3386" spans="1:7" x14ac:dyDescent="0.25">
      <c r="A3386" s="24" t="s">
        <v>394</v>
      </c>
      <c r="B3386" s="24" t="s">
        <v>58</v>
      </c>
      <c r="C3386" s="24" t="s">
        <v>5</v>
      </c>
      <c r="D3386" s="24">
        <v>0</v>
      </c>
      <c r="E3386" s="24" t="s">
        <v>795</v>
      </c>
      <c r="F3386" s="24"/>
      <c r="G3386" s="24"/>
    </row>
    <row r="3387" spans="1:7" x14ac:dyDescent="0.25">
      <c r="A3387" s="24" t="s">
        <v>395</v>
      </c>
      <c r="B3387" s="24" t="s">
        <v>23</v>
      </c>
      <c r="C3387" s="24" t="s">
        <v>5</v>
      </c>
      <c r="D3387" s="24">
        <v>22.1</v>
      </c>
      <c r="E3387" s="24" t="s">
        <v>796</v>
      </c>
      <c r="F3387" s="24" t="s">
        <v>984</v>
      </c>
      <c r="G3387" s="24">
        <v>174967</v>
      </c>
    </row>
    <row r="3388" spans="1:7" x14ac:dyDescent="0.25">
      <c r="A3388" s="24" t="s">
        <v>395</v>
      </c>
      <c r="B3388" s="24" t="s">
        <v>32</v>
      </c>
      <c r="C3388" s="24" t="s">
        <v>33</v>
      </c>
      <c r="D3388" s="24">
        <v>0</v>
      </c>
      <c r="E3388" s="24" t="s">
        <v>796</v>
      </c>
      <c r="F3388" s="24" t="s">
        <v>984</v>
      </c>
      <c r="G3388" s="24">
        <v>174967</v>
      </c>
    </row>
    <row r="3389" spans="1:7" x14ac:dyDescent="0.25">
      <c r="A3389" s="24" t="s">
        <v>395</v>
      </c>
      <c r="B3389" s="24" t="s">
        <v>34</v>
      </c>
      <c r="C3389" s="24" t="s">
        <v>31</v>
      </c>
      <c r="D3389" s="24">
        <v>0</v>
      </c>
      <c r="E3389" s="24" t="s">
        <v>796</v>
      </c>
      <c r="F3389" s="24" t="s">
        <v>984</v>
      </c>
      <c r="G3389" s="24">
        <v>174967</v>
      </c>
    </row>
    <row r="3390" spans="1:7" x14ac:dyDescent="0.25">
      <c r="A3390" s="24" t="s">
        <v>395</v>
      </c>
      <c r="B3390" s="24" t="s">
        <v>35</v>
      </c>
      <c r="C3390" s="24" t="s">
        <v>36</v>
      </c>
      <c r="D3390" s="24">
        <v>0</v>
      </c>
      <c r="E3390" s="24" t="s">
        <v>796</v>
      </c>
      <c r="F3390" s="24" t="s">
        <v>984</v>
      </c>
      <c r="G3390" s="24">
        <v>174967</v>
      </c>
    </row>
    <row r="3391" spans="1:7" x14ac:dyDescent="0.25">
      <c r="A3391" s="24" t="s">
        <v>395</v>
      </c>
      <c r="B3391" s="24" t="s">
        <v>37</v>
      </c>
      <c r="C3391" s="24" t="s">
        <v>38</v>
      </c>
      <c r="D3391" s="24">
        <v>2.5</v>
      </c>
      <c r="E3391" s="24" t="s">
        <v>796</v>
      </c>
      <c r="F3391" s="24" t="s">
        <v>984</v>
      </c>
      <c r="G3391" s="24">
        <v>174967</v>
      </c>
    </row>
    <row r="3392" spans="1:7" x14ac:dyDescent="0.25">
      <c r="A3392" s="24" t="s">
        <v>395</v>
      </c>
      <c r="B3392" s="24" t="s">
        <v>39</v>
      </c>
      <c r="C3392" s="24" t="s">
        <v>36</v>
      </c>
      <c r="D3392" s="24">
        <v>11.2</v>
      </c>
      <c r="E3392" s="24" t="s">
        <v>796</v>
      </c>
      <c r="F3392" s="24" t="s">
        <v>984</v>
      </c>
      <c r="G3392" s="24">
        <v>174967</v>
      </c>
    </row>
    <row r="3393" spans="1:7" x14ac:dyDescent="0.25">
      <c r="A3393" s="24" t="s">
        <v>395</v>
      </c>
      <c r="B3393" s="24" t="s">
        <v>40</v>
      </c>
      <c r="C3393" s="24" t="s">
        <v>31</v>
      </c>
      <c r="D3393" s="24">
        <v>0.4</v>
      </c>
      <c r="E3393" s="24" t="s">
        <v>796</v>
      </c>
      <c r="F3393" s="24" t="s">
        <v>984</v>
      </c>
      <c r="G3393" s="24">
        <v>174967</v>
      </c>
    </row>
    <row r="3394" spans="1:7" x14ac:dyDescent="0.25">
      <c r="A3394" s="24" t="s">
        <v>395</v>
      </c>
      <c r="B3394" s="24" t="s">
        <v>41</v>
      </c>
      <c r="C3394" s="24" t="s">
        <v>31</v>
      </c>
      <c r="D3394" s="24">
        <v>0.3</v>
      </c>
      <c r="E3394" s="24" t="s">
        <v>796</v>
      </c>
      <c r="F3394" s="24" t="s">
        <v>984</v>
      </c>
      <c r="G3394" s="24">
        <v>174967</v>
      </c>
    </row>
    <row r="3395" spans="1:7" x14ac:dyDescent="0.25">
      <c r="A3395" s="24" t="s">
        <v>395</v>
      </c>
      <c r="B3395" s="24" t="s">
        <v>42</v>
      </c>
      <c r="C3395" s="24" t="s">
        <v>43</v>
      </c>
      <c r="D3395" s="24">
        <v>3.3</v>
      </c>
      <c r="E3395" s="24" t="s">
        <v>796</v>
      </c>
      <c r="F3395" s="24" t="s">
        <v>984</v>
      </c>
      <c r="G3395" s="24">
        <v>174967</v>
      </c>
    </row>
    <row r="3396" spans="1:7" x14ac:dyDescent="0.25">
      <c r="A3396" s="24" t="s">
        <v>395</v>
      </c>
      <c r="B3396" s="24" t="s">
        <v>44</v>
      </c>
      <c r="C3396" s="24" t="s">
        <v>31</v>
      </c>
      <c r="D3396" s="24">
        <v>0.1</v>
      </c>
      <c r="E3396" s="24" t="s">
        <v>796</v>
      </c>
      <c r="F3396" s="24" t="s">
        <v>984</v>
      </c>
      <c r="G3396" s="24">
        <v>174967</v>
      </c>
    </row>
    <row r="3397" spans="1:7" x14ac:dyDescent="0.25">
      <c r="A3397" s="24" t="s">
        <v>395</v>
      </c>
      <c r="B3397" s="24" t="s">
        <v>45</v>
      </c>
      <c r="C3397" s="24" t="s">
        <v>31</v>
      </c>
      <c r="D3397" s="24">
        <v>0.3</v>
      </c>
      <c r="E3397" s="24" t="s">
        <v>796</v>
      </c>
      <c r="F3397" s="24" t="s">
        <v>984</v>
      </c>
      <c r="G3397" s="24">
        <v>174967</v>
      </c>
    </row>
    <row r="3398" spans="1:7" x14ac:dyDescent="0.25">
      <c r="A3398" s="24" t="s">
        <v>395</v>
      </c>
      <c r="B3398" s="24" t="s">
        <v>46</v>
      </c>
      <c r="C3398" s="24" t="s">
        <v>36</v>
      </c>
      <c r="D3398" s="24">
        <v>0</v>
      </c>
      <c r="E3398" s="24" t="s">
        <v>796</v>
      </c>
      <c r="F3398" s="24" t="s">
        <v>984</v>
      </c>
      <c r="G3398" s="24">
        <v>174967</v>
      </c>
    </row>
    <row r="3399" spans="1:7" x14ac:dyDescent="0.25">
      <c r="A3399" s="24" t="s">
        <v>395</v>
      </c>
      <c r="B3399" s="24" t="s">
        <v>47</v>
      </c>
      <c r="C3399" s="24" t="s">
        <v>48</v>
      </c>
      <c r="D3399" s="24">
        <v>126.7</v>
      </c>
      <c r="E3399" s="24" t="s">
        <v>796</v>
      </c>
      <c r="F3399" s="24" t="s">
        <v>984</v>
      </c>
      <c r="G3399" s="24">
        <v>174967</v>
      </c>
    </row>
    <row r="3400" spans="1:7" x14ac:dyDescent="0.25">
      <c r="A3400" s="24" t="s">
        <v>395</v>
      </c>
      <c r="B3400" s="24" t="s">
        <v>50</v>
      </c>
      <c r="C3400" s="24" t="s">
        <v>31</v>
      </c>
      <c r="D3400" s="24">
        <v>89.9</v>
      </c>
      <c r="E3400" s="24" t="s">
        <v>796</v>
      </c>
      <c r="F3400" s="24" t="s">
        <v>984</v>
      </c>
      <c r="G3400" s="24">
        <v>174967</v>
      </c>
    </row>
    <row r="3401" spans="1:7" x14ac:dyDescent="0.25">
      <c r="A3401" s="24" t="s">
        <v>395</v>
      </c>
      <c r="B3401" s="24" t="s">
        <v>51</v>
      </c>
      <c r="C3401" s="24" t="s">
        <v>31</v>
      </c>
      <c r="D3401" s="24">
        <v>13.3</v>
      </c>
      <c r="E3401" s="24" t="s">
        <v>796</v>
      </c>
      <c r="F3401" s="24" t="s">
        <v>984</v>
      </c>
      <c r="G3401" s="24">
        <v>174967</v>
      </c>
    </row>
    <row r="3402" spans="1:7" x14ac:dyDescent="0.25">
      <c r="A3402" s="24" t="s">
        <v>395</v>
      </c>
      <c r="B3402" s="24" t="s">
        <v>52</v>
      </c>
      <c r="C3402" s="24" t="s">
        <v>31</v>
      </c>
      <c r="D3402" s="24">
        <v>67.400000000000006</v>
      </c>
      <c r="E3402" s="24" t="s">
        <v>796</v>
      </c>
      <c r="F3402" s="24" t="s">
        <v>984</v>
      </c>
      <c r="G3402" s="24">
        <v>174967</v>
      </c>
    </row>
    <row r="3403" spans="1:7" x14ac:dyDescent="0.25">
      <c r="A3403" s="24" t="s">
        <v>395</v>
      </c>
      <c r="B3403" s="24" t="s">
        <v>53</v>
      </c>
      <c r="C3403" s="24" t="s">
        <v>31</v>
      </c>
      <c r="D3403" s="24">
        <v>14.3</v>
      </c>
      <c r="E3403" s="24" t="s">
        <v>796</v>
      </c>
      <c r="F3403" s="24" t="s">
        <v>984</v>
      </c>
      <c r="G3403" s="24">
        <v>174967</v>
      </c>
    </row>
    <row r="3404" spans="1:7" x14ac:dyDescent="0.25">
      <c r="A3404" s="24" t="s">
        <v>395</v>
      </c>
      <c r="B3404" s="24" t="s">
        <v>54</v>
      </c>
      <c r="C3404" s="24" t="s">
        <v>31</v>
      </c>
      <c r="D3404" s="24">
        <v>3</v>
      </c>
      <c r="E3404" s="24" t="s">
        <v>796</v>
      </c>
      <c r="F3404" s="24" t="s">
        <v>984</v>
      </c>
      <c r="G3404" s="24">
        <v>174967</v>
      </c>
    </row>
    <row r="3405" spans="1:7" x14ac:dyDescent="0.25">
      <c r="A3405" s="24" t="s">
        <v>395</v>
      </c>
      <c r="B3405" s="24" t="s">
        <v>55</v>
      </c>
      <c r="C3405" s="24" t="s">
        <v>31</v>
      </c>
      <c r="D3405" s="24">
        <v>0.5</v>
      </c>
      <c r="E3405" s="24" t="s">
        <v>796</v>
      </c>
      <c r="F3405" s="24" t="s">
        <v>984</v>
      </c>
      <c r="G3405" s="24">
        <v>174967</v>
      </c>
    </row>
    <row r="3406" spans="1:7" x14ac:dyDescent="0.25">
      <c r="A3406" s="24" t="s">
        <v>395</v>
      </c>
      <c r="B3406" s="24" t="s">
        <v>56</v>
      </c>
      <c r="C3406" s="24" t="s">
        <v>31</v>
      </c>
      <c r="D3406" s="24">
        <v>0.1</v>
      </c>
      <c r="E3406" s="24" t="s">
        <v>796</v>
      </c>
      <c r="F3406" s="24" t="s">
        <v>984</v>
      </c>
      <c r="G3406" s="24">
        <v>174967</v>
      </c>
    </row>
    <row r="3407" spans="1:7" x14ac:dyDescent="0.25">
      <c r="A3407" s="24" t="s">
        <v>395</v>
      </c>
      <c r="B3407" s="24" t="s">
        <v>57</v>
      </c>
      <c r="C3407" s="24" t="s">
        <v>36</v>
      </c>
      <c r="D3407" s="24">
        <v>6.3</v>
      </c>
      <c r="E3407" s="24" t="s">
        <v>796</v>
      </c>
      <c r="F3407" s="24" t="s">
        <v>984</v>
      </c>
      <c r="G3407" s="24">
        <v>174967</v>
      </c>
    </row>
    <row r="3408" spans="1:7" x14ac:dyDescent="0.25">
      <c r="A3408" s="24" t="s">
        <v>395</v>
      </c>
      <c r="B3408" s="24" t="s">
        <v>58</v>
      </c>
      <c r="C3408" s="24" t="s">
        <v>5</v>
      </c>
      <c r="D3408" s="24">
        <v>0</v>
      </c>
      <c r="E3408" s="24" t="s">
        <v>795</v>
      </c>
      <c r="F3408" s="24"/>
      <c r="G3408" s="24"/>
    </row>
    <row r="3409" spans="1:7" x14ac:dyDescent="0.25">
      <c r="A3409" s="24" t="s">
        <v>396</v>
      </c>
      <c r="B3409" s="24" t="s">
        <v>20</v>
      </c>
      <c r="C3409" s="24" t="s">
        <v>5</v>
      </c>
      <c r="D3409" s="24">
        <v>2.8</v>
      </c>
      <c r="E3409" s="24" t="s">
        <v>796</v>
      </c>
      <c r="F3409" s="24" t="s">
        <v>985</v>
      </c>
      <c r="G3409" s="24">
        <v>172746</v>
      </c>
    </row>
    <row r="3410" spans="1:7" x14ac:dyDescent="0.25">
      <c r="A3410" s="24" t="s">
        <v>396</v>
      </c>
      <c r="B3410" s="24" t="s">
        <v>24</v>
      </c>
      <c r="C3410" s="24" t="s">
        <v>5</v>
      </c>
      <c r="D3410" s="24">
        <v>2.8</v>
      </c>
      <c r="E3410" s="24" t="s">
        <v>801</v>
      </c>
      <c r="F3410" s="24" t="s">
        <v>985</v>
      </c>
      <c r="G3410" s="24">
        <v>172746</v>
      </c>
    </row>
    <row r="3411" spans="1:7" x14ac:dyDescent="0.25">
      <c r="A3411" s="24" t="s">
        <v>396</v>
      </c>
      <c r="B3411" s="24" t="s">
        <v>32</v>
      </c>
      <c r="C3411" s="24" t="s">
        <v>33</v>
      </c>
      <c r="D3411" s="24">
        <v>1</v>
      </c>
      <c r="E3411" s="24" t="s">
        <v>801</v>
      </c>
      <c r="F3411" s="24" t="s">
        <v>985</v>
      </c>
      <c r="G3411" s="24">
        <v>172746</v>
      </c>
    </row>
    <row r="3412" spans="1:7" x14ac:dyDescent="0.25">
      <c r="A3412" s="24" t="s">
        <v>396</v>
      </c>
      <c r="B3412" s="24" t="s">
        <v>34</v>
      </c>
      <c r="C3412" s="24" t="s">
        <v>31</v>
      </c>
      <c r="D3412" s="24">
        <v>0</v>
      </c>
      <c r="E3412" s="24" t="s">
        <v>801</v>
      </c>
      <c r="F3412" s="24" t="s">
        <v>985</v>
      </c>
      <c r="G3412" s="24">
        <v>172746</v>
      </c>
    </row>
    <row r="3413" spans="1:7" x14ac:dyDescent="0.25">
      <c r="A3413" s="24" t="s">
        <v>396</v>
      </c>
      <c r="B3413" s="24" t="s">
        <v>35</v>
      </c>
      <c r="C3413" s="24" t="s">
        <v>36</v>
      </c>
      <c r="D3413" s="24">
        <v>0</v>
      </c>
      <c r="E3413" s="24" t="s">
        <v>801</v>
      </c>
      <c r="F3413" s="24" t="s">
        <v>985</v>
      </c>
      <c r="G3413" s="24">
        <v>172746</v>
      </c>
    </row>
    <row r="3414" spans="1:7" x14ac:dyDescent="0.25">
      <c r="A3414" s="24" t="s">
        <v>396</v>
      </c>
      <c r="B3414" s="24" t="s">
        <v>37</v>
      </c>
      <c r="C3414" s="24" t="s">
        <v>38</v>
      </c>
      <c r="D3414" s="24">
        <v>1.1000000000000001</v>
      </c>
      <c r="E3414" s="24" t="s">
        <v>801</v>
      </c>
      <c r="F3414" s="24" t="s">
        <v>985</v>
      </c>
      <c r="G3414" s="24">
        <v>172746</v>
      </c>
    </row>
    <row r="3415" spans="1:7" x14ac:dyDescent="0.25">
      <c r="A3415" s="24" t="s">
        <v>396</v>
      </c>
      <c r="B3415" s="24" t="s">
        <v>39</v>
      </c>
      <c r="C3415" s="24" t="s">
        <v>36</v>
      </c>
      <c r="D3415" s="24">
        <v>25.4</v>
      </c>
      <c r="E3415" s="24" t="s">
        <v>801</v>
      </c>
      <c r="F3415" s="24" t="s">
        <v>985</v>
      </c>
      <c r="G3415" s="24">
        <v>172746</v>
      </c>
    </row>
    <row r="3416" spans="1:7" x14ac:dyDescent="0.25">
      <c r="A3416" s="24" t="s">
        <v>396</v>
      </c>
      <c r="B3416" s="24" t="s">
        <v>40</v>
      </c>
      <c r="C3416" s="24" t="s">
        <v>31</v>
      </c>
      <c r="D3416" s="24">
        <v>0.7</v>
      </c>
      <c r="E3416" s="24" t="s">
        <v>801</v>
      </c>
      <c r="F3416" s="24" t="s">
        <v>985</v>
      </c>
      <c r="G3416" s="24">
        <v>172746</v>
      </c>
    </row>
    <row r="3417" spans="1:7" x14ac:dyDescent="0.25">
      <c r="A3417" s="24" t="s">
        <v>396</v>
      </c>
      <c r="B3417" s="24" t="s">
        <v>41</v>
      </c>
      <c r="C3417" s="24" t="s">
        <v>31</v>
      </c>
      <c r="D3417" s="24">
        <v>0.5</v>
      </c>
      <c r="E3417" s="24" t="s">
        <v>801</v>
      </c>
      <c r="F3417" s="24" t="s">
        <v>985</v>
      </c>
      <c r="G3417" s="24">
        <v>172746</v>
      </c>
    </row>
    <row r="3418" spans="1:7" x14ac:dyDescent="0.25">
      <c r="A3418" s="24" t="s">
        <v>396</v>
      </c>
      <c r="B3418" s="24" t="s">
        <v>42</v>
      </c>
      <c r="C3418" s="24" t="s">
        <v>43</v>
      </c>
      <c r="D3418" s="24">
        <v>6.4</v>
      </c>
      <c r="E3418" s="24" t="s">
        <v>801</v>
      </c>
      <c r="F3418" s="24" t="s">
        <v>985</v>
      </c>
      <c r="G3418" s="24">
        <v>172746</v>
      </c>
    </row>
    <row r="3419" spans="1:7" x14ac:dyDescent="0.25">
      <c r="A3419" s="24" t="s">
        <v>396</v>
      </c>
      <c r="B3419" s="24" t="s">
        <v>44</v>
      </c>
      <c r="C3419" s="24" t="s">
        <v>31</v>
      </c>
      <c r="D3419" s="24">
        <v>0.1</v>
      </c>
      <c r="E3419" s="24" t="s">
        <v>801</v>
      </c>
      <c r="F3419" s="24" t="s">
        <v>985</v>
      </c>
      <c r="G3419" s="24">
        <v>172746</v>
      </c>
    </row>
    <row r="3420" spans="1:7" x14ac:dyDescent="0.25">
      <c r="A3420" s="24" t="s">
        <v>396</v>
      </c>
      <c r="B3420" s="24" t="s">
        <v>45</v>
      </c>
      <c r="C3420" s="24" t="s">
        <v>31</v>
      </c>
      <c r="D3420" s="24">
        <v>0.5</v>
      </c>
      <c r="E3420" s="24" t="s">
        <v>801</v>
      </c>
      <c r="F3420" s="24" t="s">
        <v>985</v>
      </c>
      <c r="G3420" s="24">
        <v>172746</v>
      </c>
    </row>
    <row r="3421" spans="1:7" x14ac:dyDescent="0.25">
      <c r="A3421" s="24" t="s">
        <v>396</v>
      </c>
      <c r="B3421" s="24" t="s">
        <v>46</v>
      </c>
      <c r="C3421" s="24" t="s">
        <v>36</v>
      </c>
      <c r="D3421" s="24">
        <v>0.1</v>
      </c>
      <c r="E3421" s="24" t="s">
        <v>801</v>
      </c>
      <c r="F3421" s="24" t="s">
        <v>985</v>
      </c>
      <c r="G3421" s="24">
        <v>172746</v>
      </c>
    </row>
    <row r="3422" spans="1:7" x14ac:dyDescent="0.25">
      <c r="A3422" s="24" t="s">
        <v>396</v>
      </c>
      <c r="B3422" s="24" t="s">
        <v>47</v>
      </c>
      <c r="C3422" s="24" t="s">
        <v>48</v>
      </c>
      <c r="D3422" s="24">
        <v>216</v>
      </c>
      <c r="E3422" s="24" t="s">
        <v>801</v>
      </c>
      <c r="F3422" s="24" t="s">
        <v>985</v>
      </c>
      <c r="G3422" s="24">
        <v>172746</v>
      </c>
    </row>
    <row r="3423" spans="1:7" x14ac:dyDescent="0.25">
      <c r="A3423" s="24" t="s">
        <v>396</v>
      </c>
      <c r="B3423" s="24" t="s">
        <v>50</v>
      </c>
      <c r="C3423" s="24" t="s">
        <v>31</v>
      </c>
      <c r="D3423" s="24">
        <v>152</v>
      </c>
      <c r="E3423" s="24" t="s">
        <v>801</v>
      </c>
      <c r="F3423" s="24" t="s">
        <v>985</v>
      </c>
      <c r="G3423" s="24">
        <v>172746</v>
      </c>
    </row>
    <row r="3424" spans="1:7" x14ac:dyDescent="0.25">
      <c r="A3424" s="24" t="s">
        <v>396</v>
      </c>
      <c r="B3424" s="24" t="s">
        <v>51</v>
      </c>
      <c r="C3424" s="24" t="s">
        <v>31</v>
      </c>
      <c r="D3424" s="24">
        <v>19</v>
      </c>
      <c r="E3424" s="24" t="s">
        <v>801</v>
      </c>
      <c r="F3424" s="24" t="s">
        <v>985</v>
      </c>
      <c r="G3424" s="24">
        <v>172746</v>
      </c>
    </row>
    <row r="3425" spans="1:7" x14ac:dyDescent="0.25">
      <c r="A3425" s="24" t="s">
        <v>396</v>
      </c>
      <c r="B3425" s="24" t="s">
        <v>52</v>
      </c>
      <c r="C3425" s="24" t="s">
        <v>31</v>
      </c>
      <c r="D3425" s="24">
        <v>102</v>
      </c>
      <c r="E3425" s="24" t="s">
        <v>801</v>
      </c>
      <c r="F3425" s="24" t="s">
        <v>985</v>
      </c>
      <c r="G3425" s="24">
        <v>172746</v>
      </c>
    </row>
    <row r="3426" spans="1:7" x14ac:dyDescent="0.25">
      <c r="A3426" s="24" t="s">
        <v>396</v>
      </c>
      <c r="B3426" s="24" t="s">
        <v>53</v>
      </c>
      <c r="C3426" s="24" t="s">
        <v>31</v>
      </c>
      <c r="D3426" s="24">
        <v>23</v>
      </c>
      <c r="E3426" s="24" t="s">
        <v>801</v>
      </c>
      <c r="F3426" s="24" t="s">
        <v>985</v>
      </c>
      <c r="G3426" s="24">
        <v>172746</v>
      </c>
    </row>
    <row r="3427" spans="1:7" x14ac:dyDescent="0.25">
      <c r="A3427" s="24" t="s">
        <v>396</v>
      </c>
      <c r="B3427" s="24" t="s">
        <v>54</v>
      </c>
      <c r="C3427" s="24" t="s">
        <v>31</v>
      </c>
      <c r="D3427" s="24">
        <v>5.6</v>
      </c>
      <c r="E3427" s="24" t="s">
        <v>801</v>
      </c>
      <c r="F3427" s="24" t="s">
        <v>985</v>
      </c>
      <c r="G3427" s="24">
        <v>172746</v>
      </c>
    </row>
    <row r="3428" spans="1:7" x14ac:dyDescent="0.25">
      <c r="A3428" s="24" t="s">
        <v>396</v>
      </c>
      <c r="B3428" s="24" t="s">
        <v>55</v>
      </c>
      <c r="C3428" s="24" t="s">
        <v>31</v>
      </c>
      <c r="D3428" s="24">
        <v>0.7</v>
      </c>
      <c r="E3428" s="24" t="s">
        <v>801</v>
      </c>
      <c r="F3428" s="24" t="s">
        <v>985</v>
      </c>
      <c r="G3428" s="24">
        <v>172746</v>
      </c>
    </row>
    <row r="3429" spans="1:7" x14ac:dyDescent="0.25">
      <c r="A3429" s="24" t="s">
        <v>396</v>
      </c>
      <c r="B3429" s="24" t="s">
        <v>56</v>
      </c>
      <c r="C3429" s="24" t="s">
        <v>31</v>
      </c>
      <c r="D3429" s="24">
        <v>0.1</v>
      </c>
      <c r="E3429" s="24" t="s">
        <v>801</v>
      </c>
      <c r="F3429" s="24" t="s">
        <v>985</v>
      </c>
      <c r="G3429" s="24">
        <v>172746</v>
      </c>
    </row>
    <row r="3430" spans="1:7" x14ac:dyDescent="0.25">
      <c r="A3430" s="24" t="s">
        <v>396</v>
      </c>
      <c r="B3430" s="24" t="s">
        <v>57</v>
      </c>
      <c r="C3430" s="24" t="s">
        <v>36</v>
      </c>
      <c r="D3430" s="24">
        <v>10.3</v>
      </c>
      <c r="E3430" s="24" t="s">
        <v>801</v>
      </c>
      <c r="F3430" s="24" t="s">
        <v>985</v>
      </c>
      <c r="G3430" s="24">
        <v>172746</v>
      </c>
    </row>
    <row r="3431" spans="1:7" x14ac:dyDescent="0.25">
      <c r="A3431" s="24" t="s">
        <v>396</v>
      </c>
      <c r="B3431" s="24" t="s">
        <v>58</v>
      </c>
      <c r="C3431" s="24" t="s">
        <v>5</v>
      </c>
      <c r="D3431" s="24">
        <v>0</v>
      </c>
      <c r="E3431" s="24" t="s">
        <v>795</v>
      </c>
      <c r="F3431" s="24"/>
      <c r="G3431" s="24"/>
    </row>
    <row r="3432" spans="1:7" x14ac:dyDescent="0.25">
      <c r="A3432" s="24" t="s">
        <v>396</v>
      </c>
      <c r="B3432" s="24" t="s">
        <v>18</v>
      </c>
      <c r="C3432" s="24" t="s">
        <v>5</v>
      </c>
      <c r="D3432" s="24">
        <v>1.6</v>
      </c>
      <c r="E3432" s="24" t="s">
        <v>803</v>
      </c>
      <c r="F3432" s="24"/>
      <c r="G3432" s="24"/>
    </row>
    <row r="3433" spans="1:7" x14ac:dyDescent="0.25">
      <c r="A3433" s="24" t="s">
        <v>397</v>
      </c>
      <c r="B3433" s="24" t="s">
        <v>23</v>
      </c>
      <c r="C3433" s="24" t="s">
        <v>5</v>
      </c>
      <c r="D3433" s="24">
        <v>35.6</v>
      </c>
      <c r="E3433" s="24" t="s">
        <v>796</v>
      </c>
      <c r="F3433" s="24" t="s">
        <v>986</v>
      </c>
      <c r="G3433" s="24">
        <v>174974</v>
      </c>
    </row>
    <row r="3434" spans="1:7" x14ac:dyDescent="0.25">
      <c r="A3434" s="24" t="s">
        <v>397</v>
      </c>
      <c r="B3434" s="24" t="s">
        <v>30</v>
      </c>
      <c r="C3434" s="24" t="s">
        <v>31</v>
      </c>
      <c r="D3434" s="24">
        <v>9</v>
      </c>
      <c r="E3434" s="24" t="s">
        <v>801</v>
      </c>
      <c r="F3434" s="24" t="s">
        <v>986</v>
      </c>
      <c r="G3434" s="24">
        <v>174974</v>
      </c>
    </row>
    <row r="3435" spans="1:7" x14ac:dyDescent="0.25">
      <c r="A3435" s="24" t="s">
        <v>397</v>
      </c>
      <c r="B3435" s="24" t="s">
        <v>32</v>
      </c>
      <c r="C3435" s="24" t="s">
        <v>33</v>
      </c>
      <c r="D3435" s="24">
        <v>0</v>
      </c>
      <c r="E3435" s="24" t="s">
        <v>796</v>
      </c>
      <c r="F3435" s="24" t="s">
        <v>986</v>
      </c>
      <c r="G3435" s="24">
        <v>174974</v>
      </c>
    </row>
    <row r="3436" spans="1:7" x14ac:dyDescent="0.25">
      <c r="A3436" s="24" t="s">
        <v>397</v>
      </c>
      <c r="B3436" s="24" t="s">
        <v>34</v>
      </c>
      <c r="C3436" s="24" t="s">
        <v>31</v>
      </c>
      <c r="D3436" s="24">
        <v>0</v>
      </c>
      <c r="E3436" s="24" t="s">
        <v>796</v>
      </c>
      <c r="F3436" s="24" t="s">
        <v>986</v>
      </c>
      <c r="G3436" s="24">
        <v>174974</v>
      </c>
    </row>
    <row r="3437" spans="1:7" x14ac:dyDescent="0.25">
      <c r="A3437" s="24" t="s">
        <v>397</v>
      </c>
      <c r="B3437" s="24" t="s">
        <v>35</v>
      </c>
      <c r="C3437" s="24" t="s">
        <v>36</v>
      </c>
      <c r="D3437" s="24">
        <v>0</v>
      </c>
      <c r="E3437" s="24" t="s">
        <v>796</v>
      </c>
      <c r="F3437" s="24" t="s">
        <v>986</v>
      </c>
      <c r="G3437" s="24">
        <v>174974</v>
      </c>
    </row>
    <row r="3438" spans="1:7" x14ac:dyDescent="0.25">
      <c r="A3438" s="24" t="s">
        <v>397</v>
      </c>
      <c r="B3438" s="24" t="s">
        <v>37</v>
      </c>
      <c r="C3438" s="24" t="s">
        <v>38</v>
      </c>
      <c r="D3438" s="24">
        <v>2.2999999999999998</v>
      </c>
      <c r="E3438" s="24" t="s">
        <v>796</v>
      </c>
      <c r="F3438" s="24" t="s">
        <v>986</v>
      </c>
      <c r="G3438" s="24">
        <v>174974</v>
      </c>
    </row>
    <row r="3439" spans="1:7" x14ac:dyDescent="0.25">
      <c r="A3439" s="24" t="s">
        <v>397</v>
      </c>
      <c r="B3439" s="24" t="s">
        <v>39</v>
      </c>
      <c r="C3439" s="24" t="s">
        <v>36</v>
      </c>
      <c r="D3439" s="24">
        <v>29.4</v>
      </c>
      <c r="E3439" s="24" t="s">
        <v>796</v>
      </c>
      <c r="F3439" s="24" t="s">
        <v>986</v>
      </c>
      <c r="G3439" s="24">
        <v>174974</v>
      </c>
    </row>
    <row r="3440" spans="1:7" x14ac:dyDescent="0.25">
      <c r="A3440" s="24" t="s">
        <v>397</v>
      </c>
      <c r="B3440" s="24" t="s">
        <v>40</v>
      </c>
      <c r="C3440" s="24" t="s">
        <v>31</v>
      </c>
      <c r="D3440" s="24">
        <v>0.3</v>
      </c>
      <c r="E3440" s="24" t="s">
        <v>796</v>
      </c>
      <c r="F3440" s="24" t="s">
        <v>986</v>
      </c>
      <c r="G3440" s="24">
        <v>174974</v>
      </c>
    </row>
    <row r="3441" spans="1:7" x14ac:dyDescent="0.25">
      <c r="A3441" s="24" t="s">
        <v>397</v>
      </c>
      <c r="B3441" s="24" t="s">
        <v>41</v>
      </c>
      <c r="C3441" s="24" t="s">
        <v>31</v>
      </c>
      <c r="D3441" s="24">
        <v>0.3</v>
      </c>
      <c r="E3441" s="24" t="s">
        <v>796</v>
      </c>
      <c r="F3441" s="24" t="s">
        <v>986</v>
      </c>
      <c r="G3441" s="24">
        <v>174974</v>
      </c>
    </row>
    <row r="3442" spans="1:7" x14ac:dyDescent="0.25">
      <c r="A3442" s="24" t="s">
        <v>397</v>
      </c>
      <c r="B3442" s="24" t="s">
        <v>42</v>
      </c>
      <c r="C3442" s="24" t="s">
        <v>43</v>
      </c>
      <c r="D3442" s="24">
        <v>3.4</v>
      </c>
      <c r="E3442" s="24" t="s">
        <v>796</v>
      </c>
      <c r="F3442" s="24" t="s">
        <v>986</v>
      </c>
      <c r="G3442" s="24">
        <v>174974</v>
      </c>
    </row>
    <row r="3443" spans="1:7" x14ac:dyDescent="0.25">
      <c r="A3443" s="24" t="s">
        <v>397</v>
      </c>
      <c r="B3443" s="24" t="s">
        <v>44</v>
      </c>
      <c r="C3443" s="24" t="s">
        <v>31</v>
      </c>
      <c r="D3443" s="24">
        <v>0.1</v>
      </c>
      <c r="E3443" s="24" t="s">
        <v>796</v>
      </c>
      <c r="F3443" s="24" t="s">
        <v>986</v>
      </c>
      <c r="G3443" s="24">
        <v>174974</v>
      </c>
    </row>
    <row r="3444" spans="1:7" x14ac:dyDescent="0.25">
      <c r="A3444" s="24" t="s">
        <v>397</v>
      </c>
      <c r="B3444" s="24" t="s">
        <v>45</v>
      </c>
      <c r="C3444" s="24" t="s">
        <v>31</v>
      </c>
      <c r="D3444" s="24">
        <v>0.4</v>
      </c>
      <c r="E3444" s="24" t="s">
        <v>796</v>
      </c>
      <c r="F3444" s="24" t="s">
        <v>986</v>
      </c>
      <c r="G3444" s="24">
        <v>174974</v>
      </c>
    </row>
    <row r="3445" spans="1:7" x14ac:dyDescent="0.25">
      <c r="A3445" s="24" t="s">
        <v>397</v>
      </c>
      <c r="B3445" s="24" t="s">
        <v>46</v>
      </c>
      <c r="C3445" s="24" t="s">
        <v>36</v>
      </c>
      <c r="D3445" s="24">
        <v>0</v>
      </c>
      <c r="E3445" s="24" t="s">
        <v>796</v>
      </c>
      <c r="F3445" s="24" t="s">
        <v>986</v>
      </c>
      <c r="G3445" s="24">
        <v>174974</v>
      </c>
    </row>
    <row r="3446" spans="1:7" x14ac:dyDescent="0.25">
      <c r="A3446" s="24" t="s">
        <v>397</v>
      </c>
      <c r="B3446" s="24" t="s">
        <v>47</v>
      </c>
      <c r="C3446" s="24" t="s">
        <v>48</v>
      </c>
      <c r="D3446" s="24">
        <v>109.6</v>
      </c>
      <c r="E3446" s="24" t="s">
        <v>796</v>
      </c>
      <c r="F3446" s="24" t="s">
        <v>986</v>
      </c>
      <c r="G3446" s="24">
        <v>174974</v>
      </c>
    </row>
    <row r="3447" spans="1:7" x14ac:dyDescent="0.25">
      <c r="A3447" s="24" t="s">
        <v>397</v>
      </c>
      <c r="B3447" s="24" t="s">
        <v>50</v>
      </c>
      <c r="C3447" s="24" t="s">
        <v>31</v>
      </c>
      <c r="D3447" s="24">
        <v>100.4</v>
      </c>
      <c r="E3447" s="24" t="s">
        <v>796</v>
      </c>
      <c r="F3447" s="24" t="s">
        <v>986</v>
      </c>
      <c r="G3447" s="24">
        <v>174974</v>
      </c>
    </row>
    <row r="3448" spans="1:7" x14ac:dyDescent="0.25">
      <c r="A3448" s="24" t="s">
        <v>397</v>
      </c>
      <c r="B3448" s="24" t="s">
        <v>51</v>
      </c>
      <c r="C3448" s="24" t="s">
        <v>31</v>
      </c>
      <c r="D3448" s="24">
        <v>36.5</v>
      </c>
      <c r="E3448" s="24" t="s">
        <v>796</v>
      </c>
      <c r="F3448" s="24" t="s">
        <v>986</v>
      </c>
      <c r="G3448" s="24">
        <v>174974</v>
      </c>
    </row>
    <row r="3449" spans="1:7" x14ac:dyDescent="0.25">
      <c r="A3449" s="24" t="s">
        <v>397</v>
      </c>
      <c r="B3449" s="24" t="s">
        <v>52</v>
      </c>
      <c r="C3449" s="24" t="s">
        <v>31</v>
      </c>
      <c r="D3449" s="24">
        <v>89.3</v>
      </c>
      <c r="E3449" s="24" t="s">
        <v>796</v>
      </c>
      <c r="F3449" s="24" t="s">
        <v>986</v>
      </c>
      <c r="G3449" s="24">
        <v>174974</v>
      </c>
    </row>
    <row r="3450" spans="1:7" x14ac:dyDescent="0.25">
      <c r="A3450" s="24" t="s">
        <v>397</v>
      </c>
      <c r="B3450" s="24" t="s">
        <v>53</v>
      </c>
      <c r="C3450" s="24" t="s">
        <v>31</v>
      </c>
      <c r="D3450" s="24">
        <v>12.2</v>
      </c>
      <c r="E3450" s="24" t="s">
        <v>796</v>
      </c>
      <c r="F3450" s="24" t="s">
        <v>986</v>
      </c>
      <c r="G3450" s="24">
        <v>174974</v>
      </c>
    </row>
    <row r="3451" spans="1:7" x14ac:dyDescent="0.25">
      <c r="A3451" s="24" t="s">
        <v>397</v>
      </c>
      <c r="B3451" s="24" t="s">
        <v>54</v>
      </c>
      <c r="C3451" s="24" t="s">
        <v>31</v>
      </c>
      <c r="D3451" s="24">
        <v>2.8</v>
      </c>
      <c r="E3451" s="24" t="s">
        <v>796</v>
      </c>
      <c r="F3451" s="24" t="s">
        <v>986</v>
      </c>
      <c r="G3451" s="24">
        <v>174974</v>
      </c>
    </row>
    <row r="3452" spans="1:7" x14ac:dyDescent="0.25">
      <c r="A3452" s="24" t="s">
        <v>397</v>
      </c>
      <c r="B3452" s="24" t="s">
        <v>55</v>
      </c>
      <c r="C3452" s="24" t="s">
        <v>31</v>
      </c>
      <c r="D3452" s="24">
        <v>0.4</v>
      </c>
      <c r="E3452" s="24" t="s">
        <v>796</v>
      </c>
      <c r="F3452" s="24" t="s">
        <v>986</v>
      </c>
      <c r="G3452" s="24">
        <v>174974</v>
      </c>
    </row>
    <row r="3453" spans="1:7" x14ac:dyDescent="0.25">
      <c r="A3453" s="24" t="s">
        <v>397</v>
      </c>
      <c r="B3453" s="24" t="s">
        <v>56</v>
      </c>
      <c r="C3453" s="24" t="s">
        <v>31</v>
      </c>
      <c r="D3453" s="24">
        <v>0.1</v>
      </c>
      <c r="E3453" s="24" t="s">
        <v>796</v>
      </c>
      <c r="F3453" s="24" t="s">
        <v>986</v>
      </c>
      <c r="G3453" s="24">
        <v>174974</v>
      </c>
    </row>
    <row r="3454" spans="1:7" x14ac:dyDescent="0.25">
      <c r="A3454" s="24" t="s">
        <v>397</v>
      </c>
      <c r="B3454" s="24" t="s">
        <v>57</v>
      </c>
      <c r="C3454" s="24" t="s">
        <v>36</v>
      </c>
      <c r="D3454" s="24">
        <v>5.7</v>
      </c>
      <c r="E3454" s="24" t="s">
        <v>796</v>
      </c>
      <c r="F3454" s="24" t="s">
        <v>986</v>
      </c>
      <c r="G3454" s="24">
        <v>174974</v>
      </c>
    </row>
    <row r="3455" spans="1:7" x14ac:dyDescent="0.25">
      <c r="A3455" s="24" t="s">
        <v>397</v>
      </c>
      <c r="B3455" s="24" t="s">
        <v>58</v>
      </c>
      <c r="C3455" s="24" t="s">
        <v>5</v>
      </c>
      <c r="D3455" s="24">
        <v>0</v>
      </c>
      <c r="E3455" s="24" t="s">
        <v>795</v>
      </c>
      <c r="F3455" s="24"/>
      <c r="G3455" s="24"/>
    </row>
    <row r="3456" spans="1:7" x14ac:dyDescent="0.25">
      <c r="A3456" s="24" t="s">
        <v>398</v>
      </c>
      <c r="B3456" s="24" t="s">
        <v>23</v>
      </c>
      <c r="C3456" s="24" t="s">
        <v>5</v>
      </c>
      <c r="D3456" s="24">
        <v>22.1</v>
      </c>
      <c r="E3456" s="24" t="s">
        <v>796</v>
      </c>
      <c r="F3456" s="24" t="s">
        <v>984</v>
      </c>
      <c r="G3456" s="24">
        <v>174967</v>
      </c>
    </row>
    <row r="3457" spans="1:7" x14ac:dyDescent="0.25">
      <c r="A3457" s="24" t="s">
        <v>398</v>
      </c>
      <c r="B3457" s="24" t="s">
        <v>32</v>
      </c>
      <c r="C3457" s="24" t="s">
        <v>33</v>
      </c>
      <c r="D3457" s="24">
        <v>0</v>
      </c>
      <c r="E3457" s="24" t="s">
        <v>796</v>
      </c>
      <c r="F3457" s="24" t="s">
        <v>984</v>
      </c>
      <c r="G3457" s="24">
        <v>174967</v>
      </c>
    </row>
    <row r="3458" spans="1:7" x14ac:dyDescent="0.25">
      <c r="A3458" s="24" t="s">
        <v>398</v>
      </c>
      <c r="B3458" s="24" t="s">
        <v>34</v>
      </c>
      <c r="C3458" s="24" t="s">
        <v>31</v>
      </c>
      <c r="D3458" s="24">
        <v>0</v>
      </c>
      <c r="E3458" s="24" t="s">
        <v>796</v>
      </c>
      <c r="F3458" s="24" t="s">
        <v>984</v>
      </c>
      <c r="G3458" s="24">
        <v>174967</v>
      </c>
    </row>
    <row r="3459" spans="1:7" x14ac:dyDescent="0.25">
      <c r="A3459" s="24" t="s">
        <v>398</v>
      </c>
      <c r="B3459" s="24" t="s">
        <v>35</v>
      </c>
      <c r="C3459" s="24" t="s">
        <v>36</v>
      </c>
      <c r="D3459" s="24">
        <v>0</v>
      </c>
      <c r="E3459" s="24" t="s">
        <v>796</v>
      </c>
      <c r="F3459" s="24" t="s">
        <v>984</v>
      </c>
      <c r="G3459" s="24">
        <v>174967</v>
      </c>
    </row>
    <row r="3460" spans="1:7" x14ac:dyDescent="0.25">
      <c r="A3460" s="24" t="s">
        <v>398</v>
      </c>
      <c r="B3460" s="24" t="s">
        <v>37</v>
      </c>
      <c r="C3460" s="24" t="s">
        <v>38</v>
      </c>
      <c r="D3460" s="24">
        <v>2.5</v>
      </c>
      <c r="E3460" s="24" t="s">
        <v>796</v>
      </c>
      <c r="F3460" s="24" t="s">
        <v>984</v>
      </c>
      <c r="G3460" s="24">
        <v>174967</v>
      </c>
    </row>
    <row r="3461" spans="1:7" x14ac:dyDescent="0.25">
      <c r="A3461" s="24" t="s">
        <v>398</v>
      </c>
      <c r="B3461" s="24" t="s">
        <v>39</v>
      </c>
      <c r="C3461" s="24" t="s">
        <v>36</v>
      </c>
      <c r="D3461" s="24">
        <v>11.2</v>
      </c>
      <c r="E3461" s="24" t="s">
        <v>796</v>
      </c>
      <c r="F3461" s="24" t="s">
        <v>984</v>
      </c>
      <c r="G3461" s="24">
        <v>174967</v>
      </c>
    </row>
    <row r="3462" spans="1:7" x14ac:dyDescent="0.25">
      <c r="A3462" s="24" t="s">
        <v>398</v>
      </c>
      <c r="B3462" s="24" t="s">
        <v>40</v>
      </c>
      <c r="C3462" s="24" t="s">
        <v>31</v>
      </c>
      <c r="D3462" s="24">
        <v>0.4</v>
      </c>
      <c r="E3462" s="24" t="s">
        <v>796</v>
      </c>
      <c r="F3462" s="24" t="s">
        <v>984</v>
      </c>
      <c r="G3462" s="24">
        <v>174967</v>
      </c>
    </row>
    <row r="3463" spans="1:7" x14ac:dyDescent="0.25">
      <c r="A3463" s="24" t="s">
        <v>398</v>
      </c>
      <c r="B3463" s="24" t="s">
        <v>41</v>
      </c>
      <c r="C3463" s="24" t="s">
        <v>31</v>
      </c>
      <c r="D3463" s="24">
        <v>0.3</v>
      </c>
      <c r="E3463" s="24" t="s">
        <v>796</v>
      </c>
      <c r="F3463" s="24" t="s">
        <v>984</v>
      </c>
      <c r="G3463" s="24">
        <v>174967</v>
      </c>
    </row>
    <row r="3464" spans="1:7" x14ac:dyDescent="0.25">
      <c r="A3464" s="24" t="s">
        <v>398</v>
      </c>
      <c r="B3464" s="24" t="s">
        <v>42</v>
      </c>
      <c r="C3464" s="24" t="s">
        <v>43</v>
      </c>
      <c r="D3464" s="24">
        <v>3.3</v>
      </c>
      <c r="E3464" s="24" t="s">
        <v>796</v>
      </c>
      <c r="F3464" s="24" t="s">
        <v>984</v>
      </c>
      <c r="G3464" s="24">
        <v>174967</v>
      </c>
    </row>
    <row r="3465" spans="1:7" x14ac:dyDescent="0.25">
      <c r="A3465" s="24" t="s">
        <v>398</v>
      </c>
      <c r="B3465" s="24" t="s">
        <v>44</v>
      </c>
      <c r="C3465" s="24" t="s">
        <v>31</v>
      </c>
      <c r="D3465" s="24">
        <v>0.1</v>
      </c>
      <c r="E3465" s="24" t="s">
        <v>796</v>
      </c>
      <c r="F3465" s="24" t="s">
        <v>984</v>
      </c>
      <c r="G3465" s="24">
        <v>174967</v>
      </c>
    </row>
    <row r="3466" spans="1:7" x14ac:dyDescent="0.25">
      <c r="A3466" s="24" t="s">
        <v>398</v>
      </c>
      <c r="B3466" s="24" t="s">
        <v>45</v>
      </c>
      <c r="C3466" s="24" t="s">
        <v>31</v>
      </c>
      <c r="D3466" s="24">
        <v>0.3</v>
      </c>
      <c r="E3466" s="24" t="s">
        <v>796</v>
      </c>
      <c r="F3466" s="24" t="s">
        <v>984</v>
      </c>
      <c r="G3466" s="24">
        <v>174967</v>
      </c>
    </row>
    <row r="3467" spans="1:7" x14ac:dyDescent="0.25">
      <c r="A3467" s="24" t="s">
        <v>398</v>
      </c>
      <c r="B3467" s="24" t="s">
        <v>46</v>
      </c>
      <c r="C3467" s="24" t="s">
        <v>36</v>
      </c>
      <c r="D3467" s="24">
        <v>0</v>
      </c>
      <c r="E3467" s="24" t="s">
        <v>796</v>
      </c>
      <c r="F3467" s="24" t="s">
        <v>984</v>
      </c>
      <c r="G3467" s="24">
        <v>174967</v>
      </c>
    </row>
    <row r="3468" spans="1:7" x14ac:dyDescent="0.25">
      <c r="A3468" s="24" t="s">
        <v>398</v>
      </c>
      <c r="B3468" s="24" t="s">
        <v>47</v>
      </c>
      <c r="C3468" s="24" t="s">
        <v>48</v>
      </c>
      <c r="D3468" s="24">
        <v>126.6</v>
      </c>
      <c r="E3468" s="24" t="s">
        <v>796</v>
      </c>
      <c r="F3468" s="24" t="s">
        <v>984</v>
      </c>
      <c r="G3468" s="24">
        <v>174967</v>
      </c>
    </row>
    <row r="3469" spans="1:7" x14ac:dyDescent="0.25">
      <c r="A3469" s="24" t="s">
        <v>398</v>
      </c>
      <c r="B3469" s="24" t="s">
        <v>50</v>
      </c>
      <c r="C3469" s="24" t="s">
        <v>31</v>
      </c>
      <c r="D3469" s="24">
        <v>89.8</v>
      </c>
      <c r="E3469" s="24" t="s">
        <v>796</v>
      </c>
      <c r="F3469" s="24" t="s">
        <v>984</v>
      </c>
      <c r="G3469" s="24">
        <v>174967</v>
      </c>
    </row>
    <row r="3470" spans="1:7" x14ac:dyDescent="0.25">
      <c r="A3470" s="24" t="s">
        <v>398</v>
      </c>
      <c r="B3470" s="24" t="s">
        <v>51</v>
      </c>
      <c r="C3470" s="24" t="s">
        <v>31</v>
      </c>
      <c r="D3470" s="24">
        <v>13.3</v>
      </c>
      <c r="E3470" s="24" t="s">
        <v>796</v>
      </c>
      <c r="F3470" s="24" t="s">
        <v>984</v>
      </c>
      <c r="G3470" s="24">
        <v>174967</v>
      </c>
    </row>
    <row r="3471" spans="1:7" x14ac:dyDescent="0.25">
      <c r="A3471" s="24" t="s">
        <v>398</v>
      </c>
      <c r="B3471" s="24" t="s">
        <v>52</v>
      </c>
      <c r="C3471" s="24" t="s">
        <v>31</v>
      </c>
      <c r="D3471" s="24">
        <v>67.400000000000006</v>
      </c>
      <c r="E3471" s="24" t="s">
        <v>796</v>
      </c>
      <c r="F3471" s="24" t="s">
        <v>984</v>
      </c>
      <c r="G3471" s="24">
        <v>174967</v>
      </c>
    </row>
    <row r="3472" spans="1:7" x14ac:dyDescent="0.25">
      <c r="A3472" s="24" t="s">
        <v>398</v>
      </c>
      <c r="B3472" s="24" t="s">
        <v>53</v>
      </c>
      <c r="C3472" s="24" t="s">
        <v>31</v>
      </c>
      <c r="D3472" s="24">
        <v>14.3</v>
      </c>
      <c r="E3472" s="24" t="s">
        <v>796</v>
      </c>
      <c r="F3472" s="24" t="s">
        <v>984</v>
      </c>
      <c r="G3472" s="24">
        <v>174967</v>
      </c>
    </row>
    <row r="3473" spans="1:7" x14ac:dyDescent="0.25">
      <c r="A3473" s="24" t="s">
        <v>398</v>
      </c>
      <c r="B3473" s="24" t="s">
        <v>54</v>
      </c>
      <c r="C3473" s="24" t="s">
        <v>31</v>
      </c>
      <c r="D3473" s="24">
        <v>3</v>
      </c>
      <c r="E3473" s="24" t="s">
        <v>796</v>
      </c>
      <c r="F3473" s="24" t="s">
        <v>984</v>
      </c>
      <c r="G3473" s="24">
        <v>174967</v>
      </c>
    </row>
    <row r="3474" spans="1:7" x14ac:dyDescent="0.25">
      <c r="A3474" s="24" t="s">
        <v>398</v>
      </c>
      <c r="B3474" s="24" t="s">
        <v>55</v>
      </c>
      <c r="C3474" s="24" t="s">
        <v>31</v>
      </c>
      <c r="D3474" s="24">
        <v>0.5</v>
      </c>
      <c r="E3474" s="24" t="s">
        <v>796</v>
      </c>
      <c r="F3474" s="24" t="s">
        <v>984</v>
      </c>
      <c r="G3474" s="24">
        <v>174967</v>
      </c>
    </row>
    <row r="3475" spans="1:7" x14ac:dyDescent="0.25">
      <c r="A3475" s="24" t="s">
        <v>398</v>
      </c>
      <c r="B3475" s="24" t="s">
        <v>56</v>
      </c>
      <c r="C3475" s="24" t="s">
        <v>31</v>
      </c>
      <c r="D3475" s="24">
        <v>0.1</v>
      </c>
      <c r="E3475" s="24" t="s">
        <v>796</v>
      </c>
      <c r="F3475" s="24" t="s">
        <v>984</v>
      </c>
      <c r="G3475" s="24">
        <v>174967</v>
      </c>
    </row>
    <row r="3476" spans="1:7" x14ac:dyDescent="0.25">
      <c r="A3476" s="24" t="s">
        <v>398</v>
      </c>
      <c r="B3476" s="24" t="s">
        <v>57</v>
      </c>
      <c r="C3476" s="24" t="s">
        <v>36</v>
      </c>
      <c r="D3476" s="24">
        <v>6.3</v>
      </c>
      <c r="E3476" s="24" t="s">
        <v>796</v>
      </c>
      <c r="F3476" s="24" t="s">
        <v>984</v>
      </c>
      <c r="G3476" s="24">
        <v>174967</v>
      </c>
    </row>
    <row r="3477" spans="1:7" x14ac:dyDescent="0.25">
      <c r="A3477" s="24" t="s">
        <v>398</v>
      </c>
      <c r="B3477" s="24" t="s">
        <v>58</v>
      </c>
      <c r="C3477" s="24" t="s">
        <v>5</v>
      </c>
      <c r="D3477" s="24">
        <v>0</v>
      </c>
      <c r="E3477" s="24" t="s">
        <v>795</v>
      </c>
      <c r="F3477" s="24"/>
      <c r="G3477" s="24"/>
    </row>
    <row r="3478" spans="1:7" x14ac:dyDescent="0.25">
      <c r="A3478" s="24" t="s">
        <v>399</v>
      </c>
      <c r="B3478" s="24" t="s">
        <v>29</v>
      </c>
      <c r="C3478" s="24" t="s">
        <v>5</v>
      </c>
      <c r="D3478" s="24">
        <v>0.23</v>
      </c>
      <c r="E3478" s="24" t="s">
        <v>799</v>
      </c>
      <c r="F3478" s="24" t="s">
        <v>987</v>
      </c>
      <c r="G3478" s="24">
        <v>174982</v>
      </c>
    </row>
    <row r="3479" spans="1:7" x14ac:dyDescent="0.25">
      <c r="A3479" s="24" t="s">
        <v>399</v>
      </c>
      <c r="B3479" s="24" t="s">
        <v>45</v>
      </c>
      <c r="C3479" s="24" t="s">
        <v>31</v>
      </c>
      <c r="D3479" s="24">
        <v>0.4</v>
      </c>
      <c r="E3479" s="24" t="s">
        <v>796</v>
      </c>
      <c r="F3479" s="24" t="s">
        <v>987</v>
      </c>
      <c r="G3479" s="24">
        <v>174982</v>
      </c>
    </row>
    <row r="3480" spans="1:7" x14ac:dyDescent="0.25">
      <c r="A3480" s="24" t="s">
        <v>399</v>
      </c>
      <c r="B3480" s="24" t="s">
        <v>58</v>
      </c>
      <c r="C3480" s="24" t="s">
        <v>5</v>
      </c>
      <c r="D3480" s="24">
        <v>0</v>
      </c>
      <c r="E3480" s="24" t="s">
        <v>795</v>
      </c>
      <c r="F3480" s="24"/>
      <c r="G3480" s="24"/>
    </row>
    <row r="3481" spans="1:7" x14ac:dyDescent="0.25">
      <c r="A3481" s="24" t="s">
        <v>400</v>
      </c>
      <c r="B3481" s="24" t="s">
        <v>20</v>
      </c>
      <c r="C3481" s="24" t="s">
        <v>5</v>
      </c>
      <c r="D3481" s="24">
        <v>2.6</v>
      </c>
      <c r="E3481" s="24" t="s">
        <v>809</v>
      </c>
      <c r="F3481" s="24"/>
      <c r="G3481" s="24"/>
    </row>
    <row r="3482" spans="1:7" x14ac:dyDescent="0.25">
      <c r="A3482" s="24" t="s">
        <v>400</v>
      </c>
      <c r="B3482" s="24" t="s">
        <v>23</v>
      </c>
      <c r="C3482" s="24" t="s">
        <v>5</v>
      </c>
      <c r="D3482" s="24">
        <v>0.3</v>
      </c>
      <c r="E3482" s="24" t="s">
        <v>796</v>
      </c>
      <c r="F3482" s="24" t="s">
        <v>988</v>
      </c>
      <c r="G3482" s="24">
        <v>172740</v>
      </c>
    </row>
    <row r="3483" spans="1:7" x14ac:dyDescent="0.25">
      <c r="A3483" s="24" t="s">
        <v>400</v>
      </c>
      <c r="B3483" s="24" t="s">
        <v>35</v>
      </c>
      <c r="C3483" s="24" t="s">
        <v>36</v>
      </c>
      <c r="D3483" s="24">
        <v>0</v>
      </c>
      <c r="E3483" s="24" t="s">
        <v>796</v>
      </c>
      <c r="F3483" s="24" t="s">
        <v>988</v>
      </c>
      <c r="G3483" s="24">
        <v>172740</v>
      </c>
    </row>
    <row r="3484" spans="1:7" x14ac:dyDescent="0.25">
      <c r="A3484" s="24" t="s">
        <v>400</v>
      </c>
      <c r="B3484" s="24" t="s">
        <v>39</v>
      </c>
      <c r="C3484" s="24" t="s">
        <v>36</v>
      </c>
      <c r="D3484" s="24">
        <v>0.3</v>
      </c>
      <c r="E3484" s="24" t="s">
        <v>796</v>
      </c>
      <c r="F3484" s="24" t="s">
        <v>988</v>
      </c>
      <c r="G3484" s="24">
        <v>172740</v>
      </c>
    </row>
    <row r="3485" spans="1:7" x14ac:dyDescent="0.25">
      <c r="A3485" s="24" t="s">
        <v>400</v>
      </c>
      <c r="B3485" s="24" t="s">
        <v>58</v>
      </c>
      <c r="C3485" s="24" t="s">
        <v>5</v>
      </c>
      <c r="D3485" s="24">
        <v>0</v>
      </c>
      <c r="E3485" s="24" t="s">
        <v>795</v>
      </c>
      <c r="F3485" s="24"/>
      <c r="G3485" s="24"/>
    </row>
    <row r="3486" spans="1:7" x14ac:dyDescent="0.25">
      <c r="A3486" s="24" t="s">
        <v>401</v>
      </c>
      <c r="B3486" s="24" t="s">
        <v>20</v>
      </c>
      <c r="C3486" s="24" t="s">
        <v>5</v>
      </c>
      <c r="D3486" s="24">
        <v>1.7</v>
      </c>
      <c r="E3486" s="24" t="s">
        <v>796</v>
      </c>
      <c r="F3486" s="24" t="s">
        <v>978</v>
      </c>
      <c r="G3486" s="24">
        <v>170250</v>
      </c>
    </row>
    <row r="3487" spans="1:7" x14ac:dyDescent="0.25">
      <c r="A3487" s="24" t="s">
        <v>401</v>
      </c>
      <c r="B3487" s="24" t="s">
        <v>27</v>
      </c>
      <c r="C3487" s="24" t="s">
        <v>5</v>
      </c>
      <c r="D3487" s="24">
        <v>0.88</v>
      </c>
      <c r="E3487" s="24" t="s">
        <v>799</v>
      </c>
      <c r="F3487" s="24" t="s">
        <v>978</v>
      </c>
      <c r="G3487" s="24">
        <v>170250</v>
      </c>
    </row>
    <row r="3488" spans="1:7" x14ac:dyDescent="0.25">
      <c r="A3488" s="24" t="s">
        <v>401</v>
      </c>
      <c r="B3488" s="24" t="s">
        <v>28</v>
      </c>
      <c r="C3488" s="24" t="s">
        <v>5</v>
      </c>
      <c r="D3488" s="24">
        <v>0.85</v>
      </c>
      <c r="E3488" s="24" t="s">
        <v>799</v>
      </c>
      <c r="F3488" s="24" t="s">
        <v>978</v>
      </c>
      <c r="G3488" s="24">
        <v>170250</v>
      </c>
    </row>
    <row r="3489" spans="1:7" x14ac:dyDescent="0.25">
      <c r="A3489" s="24" t="s">
        <v>401</v>
      </c>
      <c r="B3489" s="24" t="s">
        <v>32</v>
      </c>
      <c r="C3489" s="24" t="s">
        <v>33</v>
      </c>
      <c r="D3489" s="24">
        <v>0</v>
      </c>
      <c r="E3489" s="24" t="s">
        <v>801</v>
      </c>
      <c r="F3489" s="24" t="s">
        <v>978</v>
      </c>
      <c r="G3489" s="24">
        <v>170250</v>
      </c>
    </row>
    <row r="3490" spans="1:7" x14ac:dyDescent="0.25">
      <c r="A3490" s="24" t="s">
        <v>401</v>
      </c>
      <c r="B3490" s="24" t="s">
        <v>34</v>
      </c>
      <c r="C3490" s="24" t="s">
        <v>31</v>
      </c>
      <c r="D3490" s="24">
        <v>0</v>
      </c>
      <c r="E3490" s="24" t="s">
        <v>801</v>
      </c>
      <c r="F3490" s="24" t="s">
        <v>978</v>
      </c>
      <c r="G3490" s="24">
        <v>170250</v>
      </c>
    </row>
    <row r="3491" spans="1:7" x14ac:dyDescent="0.25">
      <c r="A3491" s="24" t="s">
        <v>401</v>
      </c>
      <c r="B3491" s="24" t="s">
        <v>35</v>
      </c>
      <c r="C3491" s="24" t="s">
        <v>36</v>
      </c>
      <c r="D3491" s="24">
        <v>0</v>
      </c>
      <c r="E3491" s="24" t="s">
        <v>801</v>
      </c>
      <c r="F3491" s="24" t="s">
        <v>978</v>
      </c>
      <c r="G3491" s="24">
        <v>170250</v>
      </c>
    </row>
    <row r="3492" spans="1:7" x14ac:dyDescent="0.25">
      <c r="A3492" s="24" t="s">
        <v>401</v>
      </c>
      <c r="B3492" s="24" t="s">
        <v>37</v>
      </c>
      <c r="C3492" s="24" t="s">
        <v>38</v>
      </c>
      <c r="D3492" s="24">
        <v>1.2</v>
      </c>
      <c r="E3492" s="24" t="s">
        <v>801</v>
      </c>
      <c r="F3492" s="24" t="s">
        <v>978</v>
      </c>
      <c r="G3492" s="24">
        <v>170250</v>
      </c>
    </row>
    <row r="3493" spans="1:7" x14ac:dyDescent="0.25">
      <c r="A3493" s="24" t="s">
        <v>401</v>
      </c>
      <c r="B3493" s="24" t="s">
        <v>39</v>
      </c>
      <c r="C3493" s="24" t="s">
        <v>36</v>
      </c>
      <c r="D3493" s="24">
        <v>1.9</v>
      </c>
      <c r="E3493" s="24" t="s">
        <v>801</v>
      </c>
      <c r="F3493" s="24" t="s">
        <v>978</v>
      </c>
      <c r="G3493" s="24">
        <v>170250</v>
      </c>
    </row>
    <row r="3494" spans="1:7" x14ac:dyDescent="0.25">
      <c r="A3494" s="24" t="s">
        <v>401</v>
      </c>
      <c r="B3494" s="24" t="s">
        <v>40</v>
      </c>
      <c r="C3494" s="24" t="s">
        <v>31</v>
      </c>
      <c r="D3494" s="24">
        <v>0.1</v>
      </c>
      <c r="E3494" s="24" t="s">
        <v>801</v>
      </c>
      <c r="F3494" s="24" t="s">
        <v>978</v>
      </c>
      <c r="G3494" s="24">
        <v>170250</v>
      </c>
    </row>
    <row r="3495" spans="1:7" x14ac:dyDescent="0.25">
      <c r="A3495" s="24" t="s">
        <v>401</v>
      </c>
      <c r="B3495" s="24" t="s">
        <v>41</v>
      </c>
      <c r="C3495" s="24" t="s">
        <v>31</v>
      </c>
      <c r="D3495" s="24">
        <v>0.2</v>
      </c>
      <c r="E3495" s="24" t="s">
        <v>801</v>
      </c>
      <c r="F3495" s="24" t="s">
        <v>978</v>
      </c>
      <c r="G3495" s="24">
        <v>170250</v>
      </c>
    </row>
    <row r="3496" spans="1:7" x14ac:dyDescent="0.25">
      <c r="A3496" s="24" t="s">
        <v>401</v>
      </c>
      <c r="B3496" s="24" t="s">
        <v>42</v>
      </c>
      <c r="C3496" s="24" t="s">
        <v>43</v>
      </c>
      <c r="D3496" s="24">
        <v>7.8</v>
      </c>
      <c r="E3496" s="24" t="s">
        <v>801</v>
      </c>
      <c r="F3496" s="24" t="s">
        <v>978</v>
      </c>
      <c r="G3496" s="24">
        <v>170250</v>
      </c>
    </row>
    <row r="3497" spans="1:7" x14ac:dyDescent="0.25">
      <c r="A3497" s="24" t="s">
        <v>401</v>
      </c>
      <c r="B3497" s="24" t="s">
        <v>44</v>
      </c>
      <c r="C3497" s="24" t="s">
        <v>31</v>
      </c>
      <c r="D3497" s="24">
        <v>0.1</v>
      </c>
      <c r="E3497" s="24" t="s">
        <v>801</v>
      </c>
      <c r="F3497" s="24" t="s">
        <v>978</v>
      </c>
      <c r="G3497" s="24">
        <v>170250</v>
      </c>
    </row>
    <row r="3498" spans="1:7" x14ac:dyDescent="0.25">
      <c r="A3498" s="24" t="s">
        <v>401</v>
      </c>
      <c r="B3498" s="24" t="s">
        <v>45</v>
      </c>
      <c r="C3498" s="24" t="s">
        <v>31</v>
      </c>
      <c r="D3498" s="24">
        <v>1</v>
      </c>
      <c r="E3498" s="24" t="s">
        <v>801</v>
      </c>
      <c r="F3498" s="24" t="s">
        <v>978</v>
      </c>
      <c r="G3498" s="24">
        <v>170250</v>
      </c>
    </row>
    <row r="3499" spans="1:7" x14ac:dyDescent="0.25">
      <c r="A3499" s="24" t="s">
        <v>401</v>
      </c>
      <c r="B3499" s="24" t="s">
        <v>46</v>
      </c>
      <c r="C3499" s="24" t="s">
        <v>36</v>
      </c>
      <c r="D3499" s="24">
        <v>0</v>
      </c>
      <c r="E3499" s="24" t="s">
        <v>801</v>
      </c>
      <c r="F3499" s="24" t="s">
        <v>978</v>
      </c>
      <c r="G3499" s="24">
        <v>170250</v>
      </c>
    </row>
    <row r="3500" spans="1:7" x14ac:dyDescent="0.25">
      <c r="A3500" s="24" t="s">
        <v>401</v>
      </c>
      <c r="B3500" s="24" t="s">
        <v>47</v>
      </c>
      <c r="C3500" s="24" t="s">
        <v>48</v>
      </c>
      <c r="D3500" s="24">
        <v>21</v>
      </c>
      <c r="E3500" s="24" t="s">
        <v>801</v>
      </c>
      <c r="F3500" s="24" t="s">
        <v>978</v>
      </c>
      <c r="G3500" s="24">
        <v>170250</v>
      </c>
    </row>
    <row r="3501" spans="1:7" x14ac:dyDescent="0.25">
      <c r="A3501" s="24" t="s">
        <v>401</v>
      </c>
      <c r="B3501" s="24" t="s">
        <v>50</v>
      </c>
      <c r="C3501" s="24" t="s">
        <v>31</v>
      </c>
      <c r="D3501" s="24">
        <v>290</v>
      </c>
      <c r="E3501" s="24" t="s">
        <v>801</v>
      </c>
      <c r="F3501" s="24" t="s">
        <v>978</v>
      </c>
      <c r="G3501" s="24">
        <v>170250</v>
      </c>
    </row>
    <row r="3502" spans="1:7" x14ac:dyDescent="0.25">
      <c r="A3502" s="24" t="s">
        <v>401</v>
      </c>
      <c r="B3502" s="24" t="s">
        <v>51</v>
      </c>
      <c r="C3502" s="24" t="s">
        <v>31</v>
      </c>
      <c r="D3502" s="24">
        <v>11</v>
      </c>
      <c r="E3502" s="24" t="s">
        <v>801</v>
      </c>
      <c r="F3502" s="24" t="s">
        <v>978</v>
      </c>
      <c r="G3502" s="24">
        <v>170250</v>
      </c>
    </row>
    <row r="3503" spans="1:7" x14ac:dyDescent="0.25">
      <c r="A3503" s="24" t="s">
        <v>401</v>
      </c>
      <c r="B3503" s="24" t="s">
        <v>52</v>
      </c>
      <c r="C3503" s="24" t="s">
        <v>31</v>
      </c>
      <c r="D3503" s="24">
        <v>360</v>
      </c>
      <c r="E3503" s="24" t="s">
        <v>801</v>
      </c>
      <c r="F3503" s="24" t="s">
        <v>978</v>
      </c>
      <c r="G3503" s="24">
        <v>170250</v>
      </c>
    </row>
    <row r="3504" spans="1:7" x14ac:dyDescent="0.25">
      <c r="A3504" s="24" t="s">
        <v>401</v>
      </c>
      <c r="B3504" s="24" t="s">
        <v>53</v>
      </c>
      <c r="C3504" s="24" t="s">
        <v>31</v>
      </c>
      <c r="D3504" s="24">
        <v>131</v>
      </c>
      <c r="E3504" s="24" t="s">
        <v>801</v>
      </c>
      <c r="F3504" s="24" t="s">
        <v>978</v>
      </c>
      <c r="G3504" s="24">
        <v>170250</v>
      </c>
    </row>
    <row r="3505" spans="1:7" x14ac:dyDescent="0.25">
      <c r="A3505" s="24" t="s">
        <v>401</v>
      </c>
      <c r="B3505" s="24" t="s">
        <v>54</v>
      </c>
      <c r="C3505" s="24" t="s">
        <v>31</v>
      </c>
      <c r="D3505" s="24">
        <v>1.5</v>
      </c>
      <c r="E3505" s="24" t="s">
        <v>801</v>
      </c>
      <c r="F3505" s="24" t="s">
        <v>978</v>
      </c>
      <c r="G3505" s="24">
        <v>170250</v>
      </c>
    </row>
    <row r="3506" spans="1:7" x14ac:dyDescent="0.25">
      <c r="A3506" s="24" t="s">
        <v>401</v>
      </c>
      <c r="B3506" s="24" t="s">
        <v>55</v>
      </c>
      <c r="C3506" s="24" t="s">
        <v>31</v>
      </c>
      <c r="D3506" s="24">
        <v>3</v>
      </c>
      <c r="E3506" s="24" t="s">
        <v>801</v>
      </c>
      <c r="F3506" s="24" t="s">
        <v>978</v>
      </c>
      <c r="G3506" s="24">
        <v>170250</v>
      </c>
    </row>
    <row r="3507" spans="1:7" x14ac:dyDescent="0.25">
      <c r="A3507" s="24" t="s">
        <v>401</v>
      </c>
      <c r="B3507" s="24" t="s">
        <v>56</v>
      </c>
      <c r="C3507" s="24" t="s">
        <v>31</v>
      </c>
      <c r="D3507" s="24">
        <v>0.4</v>
      </c>
      <c r="E3507" s="24" t="s">
        <v>801</v>
      </c>
      <c r="F3507" s="24" t="s">
        <v>978</v>
      </c>
      <c r="G3507" s="24">
        <v>170250</v>
      </c>
    </row>
    <row r="3508" spans="1:7" x14ac:dyDescent="0.25">
      <c r="A3508" s="24" t="s">
        <v>401</v>
      </c>
      <c r="B3508" s="24" t="s">
        <v>57</v>
      </c>
      <c r="C3508" s="24" t="s">
        <v>36</v>
      </c>
      <c r="D3508" s="24">
        <v>24.6</v>
      </c>
      <c r="E3508" s="24" t="s">
        <v>801</v>
      </c>
      <c r="F3508" s="24" t="s">
        <v>978</v>
      </c>
      <c r="G3508" s="24">
        <v>170250</v>
      </c>
    </row>
    <row r="3509" spans="1:7" x14ac:dyDescent="0.25">
      <c r="A3509" s="24" t="s">
        <v>401</v>
      </c>
      <c r="B3509" s="24" t="s">
        <v>58</v>
      </c>
      <c r="C3509" s="24" t="s">
        <v>5</v>
      </c>
      <c r="D3509" s="24">
        <v>0</v>
      </c>
      <c r="E3509" s="24" t="s">
        <v>795</v>
      </c>
      <c r="F3509" s="24"/>
      <c r="G3509" s="24"/>
    </row>
    <row r="3510" spans="1:7" x14ac:dyDescent="0.25">
      <c r="A3510" s="24" t="s">
        <v>401</v>
      </c>
      <c r="B3510" s="24" t="s">
        <v>18</v>
      </c>
      <c r="C3510" s="24" t="s">
        <v>5</v>
      </c>
      <c r="D3510" s="24">
        <v>5</v>
      </c>
      <c r="E3510" s="24" t="s">
        <v>803</v>
      </c>
      <c r="F3510" s="24"/>
      <c r="G3510" s="24"/>
    </row>
    <row r="3511" spans="1:7" x14ac:dyDescent="0.25">
      <c r="A3511" s="24" t="s">
        <v>402</v>
      </c>
      <c r="B3511" s="24" t="s">
        <v>29</v>
      </c>
      <c r="C3511" s="24" t="s">
        <v>5</v>
      </c>
      <c r="D3511" s="24">
        <v>0</v>
      </c>
      <c r="E3511" s="24" t="s">
        <v>799</v>
      </c>
      <c r="F3511" s="24" t="s">
        <v>989</v>
      </c>
      <c r="G3511" s="24">
        <v>168886</v>
      </c>
    </row>
    <row r="3512" spans="1:7" x14ac:dyDescent="0.25">
      <c r="A3512" s="24" t="s">
        <v>402</v>
      </c>
      <c r="B3512" s="24" t="s">
        <v>58</v>
      </c>
      <c r="C3512" s="24" t="s">
        <v>5</v>
      </c>
      <c r="D3512" s="24">
        <v>0</v>
      </c>
      <c r="E3512" s="24" t="s">
        <v>795</v>
      </c>
      <c r="F3512" s="24"/>
      <c r="G3512" s="24"/>
    </row>
    <row r="3513" spans="1:7" x14ac:dyDescent="0.25">
      <c r="A3513" s="24" t="s">
        <v>403</v>
      </c>
      <c r="B3513" s="24" t="s">
        <v>58</v>
      </c>
      <c r="C3513" s="24" t="s">
        <v>5</v>
      </c>
      <c r="D3513" s="24">
        <v>0</v>
      </c>
      <c r="E3513" s="24" t="s">
        <v>795</v>
      </c>
      <c r="F3513" s="24"/>
      <c r="G3513" s="24"/>
    </row>
    <row r="3514" spans="1:7" x14ac:dyDescent="0.25">
      <c r="A3514" s="24" t="s">
        <v>404</v>
      </c>
      <c r="B3514" s="24" t="s">
        <v>23</v>
      </c>
      <c r="C3514" s="24" t="s">
        <v>5</v>
      </c>
      <c r="D3514" s="24">
        <v>3.8</v>
      </c>
      <c r="E3514" s="24" t="s">
        <v>796</v>
      </c>
      <c r="F3514" s="24" t="s">
        <v>990</v>
      </c>
      <c r="G3514" s="24">
        <v>169985</v>
      </c>
    </row>
    <row r="3515" spans="1:7" x14ac:dyDescent="0.25">
      <c r="A3515" s="24" t="s">
        <v>404</v>
      </c>
      <c r="B3515" s="24" t="s">
        <v>26</v>
      </c>
      <c r="C3515" s="24" t="s">
        <v>5</v>
      </c>
      <c r="D3515" s="24">
        <v>0.03</v>
      </c>
      <c r="E3515" s="24" t="s">
        <v>799</v>
      </c>
      <c r="F3515" s="24" t="s">
        <v>990</v>
      </c>
      <c r="G3515" s="24">
        <v>169985</v>
      </c>
    </row>
    <row r="3516" spans="1:7" x14ac:dyDescent="0.25">
      <c r="A3516" s="24" t="s">
        <v>404</v>
      </c>
      <c r="B3516" s="24" t="s">
        <v>27</v>
      </c>
      <c r="C3516" s="24" t="s">
        <v>5</v>
      </c>
      <c r="D3516" s="24">
        <v>0.03</v>
      </c>
      <c r="E3516" s="24" t="s">
        <v>799</v>
      </c>
      <c r="F3516" s="24" t="s">
        <v>990</v>
      </c>
      <c r="G3516" s="24">
        <v>169985</v>
      </c>
    </row>
    <row r="3517" spans="1:7" x14ac:dyDescent="0.25">
      <c r="A3517" s="24" t="s">
        <v>404</v>
      </c>
      <c r="B3517" s="24" t="s">
        <v>28</v>
      </c>
      <c r="C3517" s="24" t="s">
        <v>5</v>
      </c>
      <c r="D3517" s="24">
        <v>0.02</v>
      </c>
      <c r="E3517" s="24" t="s">
        <v>799</v>
      </c>
      <c r="F3517" s="24" t="s">
        <v>990</v>
      </c>
      <c r="G3517" s="24">
        <v>169985</v>
      </c>
    </row>
    <row r="3518" spans="1:7" x14ac:dyDescent="0.25">
      <c r="A3518" s="24" t="s">
        <v>404</v>
      </c>
      <c r="B3518" s="24" t="s">
        <v>29</v>
      </c>
      <c r="C3518" s="24" t="s">
        <v>5</v>
      </c>
      <c r="D3518" s="24">
        <v>0</v>
      </c>
      <c r="E3518" s="24" t="s">
        <v>799</v>
      </c>
      <c r="F3518" s="24" t="s">
        <v>990</v>
      </c>
      <c r="G3518" s="24">
        <v>169985</v>
      </c>
    </row>
    <row r="3519" spans="1:7" x14ac:dyDescent="0.25">
      <c r="A3519" s="24" t="s">
        <v>404</v>
      </c>
      <c r="B3519" s="24" t="s">
        <v>30</v>
      </c>
      <c r="C3519" s="24" t="s">
        <v>31</v>
      </c>
      <c r="D3519" s="24">
        <v>0</v>
      </c>
      <c r="E3519" s="24" t="s">
        <v>801</v>
      </c>
      <c r="F3519" s="24" t="s">
        <v>990</v>
      </c>
      <c r="G3519" s="24">
        <v>169985</v>
      </c>
    </row>
    <row r="3520" spans="1:7" x14ac:dyDescent="0.25">
      <c r="A3520" s="24" t="s">
        <v>404</v>
      </c>
      <c r="B3520" s="24" t="s">
        <v>32</v>
      </c>
      <c r="C3520" s="24" t="s">
        <v>33</v>
      </c>
      <c r="D3520" s="24">
        <v>2.2999999999999998</v>
      </c>
      <c r="E3520" s="24" t="s">
        <v>796</v>
      </c>
      <c r="F3520" s="24" t="s">
        <v>990</v>
      </c>
      <c r="G3520" s="24">
        <v>169985</v>
      </c>
    </row>
    <row r="3521" spans="1:7" x14ac:dyDescent="0.25">
      <c r="A3521" s="24" t="s">
        <v>404</v>
      </c>
      <c r="B3521" s="24" t="s">
        <v>34</v>
      </c>
      <c r="C3521" s="24" t="s">
        <v>31</v>
      </c>
      <c r="D3521" s="24">
        <v>46.6</v>
      </c>
      <c r="E3521" s="24" t="s">
        <v>796</v>
      </c>
      <c r="F3521" s="24" t="s">
        <v>990</v>
      </c>
      <c r="G3521" s="24">
        <v>169985</v>
      </c>
    </row>
    <row r="3522" spans="1:7" x14ac:dyDescent="0.25">
      <c r="A3522" s="24" t="s">
        <v>404</v>
      </c>
      <c r="B3522" s="24" t="s">
        <v>35</v>
      </c>
      <c r="C3522" s="24" t="s">
        <v>36</v>
      </c>
      <c r="D3522" s="24">
        <v>0</v>
      </c>
      <c r="E3522" s="24" t="s">
        <v>796</v>
      </c>
      <c r="F3522" s="24" t="s">
        <v>990</v>
      </c>
      <c r="G3522" s="24">
        <v>169985</v>
      </c>
    </row>
    <row r="3523" spans="1:7" x14ac:dyDescent="0.25">
      <c r="A3523" s="24" t="s">
        <v>404</v>
      </c>
      <c r="B3523" s="24" t="s">
        <v>37</v>
      </c>
      <c r="C3523" s="24" t="s">
        <v>38</v>
      </c>
      <c r="D3523" s="24">
        <v>0.4</v>
      </c>
      <c r="E3523" s="24" t="s">
        <v>796</v>
      </c>
      <c r="F3523" s="24" t="s">
        <v>990</v>
      </c>
      <c r="G3523" s="24">
        <v>169985</v>
      </c>
    </row>
    <row r="3524" spans="1:7" x14ac:dyDescent="0.25">
      <c r="A3524" s="24" t="s">
        <v>404</v>
      </c>
      <c r="B3524" s="24" t="s">
        <v>39</v>
      </c>
      <c r="C3524" s="24" t="s">
        <v>36</v>
      </c>
      <c r="D3524" s="24">
        <v>4.3</v>
      </c>
      <c r="E3524" s="24" t="s">
        <v>796</v>
      </c>
      <c r="F3524" s="24" t="s">
        <v>990</v>
      </c>
      <c r="G3524" s="24">
        <v>169985</v>
      </c>
    </row>
    <row r="3525" spans="1:7" x14ac:dyDescent="0.25">
      <c r="A3525" s="24" t="s">
        <v>404</v>
      </c>
      <c r="B3525" s="24" t="s">
        <v>40</v>
      </c>
      <c r="C3525" s="24" t="s">
        <v>31</v>
      </c>
      <c r="D3525" s="24">
        <v>0.2</v>
      </c>
      <c r="E3525" s="24" t="s">
        <v>796</v>
      </c>
      <c r="F3525" s="24" t="s">
        <v>990</v>
      </c>
      <c r="G3525" s="24">
        <v>169985</v>
      </c>
    </row>
    <row r="3526" spans="1:7" x14ac:dyDescent="0.25">
      <c r="A3526" s="24" t="s">
        <v>404</v>
      </c>
      <c r="B3526" s="24" t="s">
        <v>41</v>
      </c>
      <c r="C3526" s="24" t="s">
        <v>31</v>
      </c>
      <c r="D3526" s="24">
        <v>0.1</v>
      </c>
      <c r="E3526" s="24" t="s">
        <v>796</v>
      </c>
      <c r="F3526" s="24" t="s">
        <v>990</v>
      </c>
      <c r="G3526" s="24">
        <v>169985</v>
      </c>
    </row>
    <row r="3527" spans="1:7" x14ac:dyDescent="0.25">
      <c r="A3527" s="24" t="s">
        <v>404</v>
      </c>
      <c r="B3527" s="24" t="s">
        <v>42</v>
      </c>
      <c r="C3527" s="24" t="s">
        <v>43</v>
      </c>
      <c r="D3527" s="24">
        <v>1.9</v>
      </c>
      <c r="E3527" s="24" t="s">
        <v>796</v>
      </c>
      <c r="F3527" s="24" t="s">
        <v>990</v>
      </c>
      <c r="G3527" s="24">
        <v>169985</v>
      </c>
    </row>
    <row r="3528" spans="1:7" x14ac:dyDescent="0.25">
      <c r="A3528" s="24" t="s">
        <v>404</v>
      </c>
      <c r="B3528" s="24" t="s">
        <v>44</v>
      </c>
      <c r="C3528" s="24" t="s">
        <v>31</v>
      </c>
      <c r="D3528" s="24">
        <v>0.2</v>
      </c>
      <c r="E3528" s="24" t="s">
        <v>796</v>
      </c>
      <c r="F3528" s="24" t="s">
        <v>990</v>
      </c>
      <c r="G3528" s="24">
        <v>169985</v>
      </c>
    </row>
    <row r="3529" spans="1:7" x14ac:dyDescent="0.25">
      <c r="A3529" s="24" t="s">
        <v>404</v>
      </c>
      <c r="B3529" s="24" t="s">
        <v>45</v>
      </c>
      <c r="C3529" s="24" t="s">
        <v>31</v>
      </c>
      <c r="D3529" s="24">
        <v>0.2</v>
      </c>
      <c r="E3529" s="24" t="s">
        <v>796</v>
      </c>
      <c r="F3529" s="24" t="s">
        <v>990</v>
      </c>
      <c r="G3529" s="24">
        <v>169985</v>
      </c>
    </row>
    <row r="3530" spans="1:7" x14ac:dyDescent="0.25">
      <c r="A3530" s="24" t="s">
        <v>404</v>
      </c>
      <c r="B3530" s="24" t="s">
        <v>46</v>
      </c>
      <c r="C3530" s="24" t="s">
        <v>36</v>
      </c>
      <c r="D3530" s="24">
        <v>0</v>
      </c>
      <c r="E3530" s="24" t="s">
        <v>796</v>
      </c>
      <c r="F3530" s="24" t="s">
        <v>990</v>
      </c>
      <c r="G3530" s="24">
        <v>169985</v>
      </c>
    </row>
    <row r="3531" spans="1:7" x14ac:dyDescent="0.25">
      <c r="A3531" s="24" t="s">
        <v>404</v>
      </c>
      <c r="B3531" s="24" t="s">
        <v>47</v>
      </c>
      <c r="C3531" s="24" t="s">
        <v>48</v>
      </c>
      <c r="D3531" s="24">
        <v>61.1</v>
      </c>
      <c r="E3531" s="24" t="s">
        <v>796</v>
      </c>
      <c r="F3531" s="24" t="s">
        <v>990</v>
      </c>
      <c r="G3531" s="24">
        <v>169985</v>
      </c>
    </row>
    <row r="3532" spans="1:7" x14ac:dyDescent="0.25">
      <c r="A3532" s="24" t="s">
        <v>404</v>
      </c>
      <c r="B3532" s="24" t="s">
        <v>50</v>
      </c>
      <c r="C3532" s="24" t="s">
        <v>31</v>
      </c>
      <c r="D3532" s="24">
        <v>613</v>
      </c>
      <c r="E3532" s="24" t="s">
        <v>796</v>
      </c>
      <c r="F3532" s="24" t="s">
        <v>990</v>
      </c>
      <c r="G3532" s="24">
        <v>169985</v>
      </c>
    </row>
    <row r="3533" spans="1:7" x14ac:dyDescent="0.25">
      <c r="A3533" s="24" t="s">
        <v>404</v>
      </c>
      <c r="B3533" s="24" t="s">
        <v>51</v>
      </c>
      <c r="C3533" s="24" t="s">
        <v>31</v>
      </c>
      <c r="D3533" s="24">
        <v>36.200000000000003</v>
      </c>
      <c r="E3533" s="24" t="s">
        <v>796</v>
      </c>
      <c r="F3533" s="24" t="s">
        <v>990</v>
      </c>
      <c r="G3533" s="24">
        <v>169985</v>
      </c>
    </row>
    <row r="3534" spans="1:7" x14ac:dyDescent="0.25">
      <c r="A3534" s="24" t="s">
        <v>404</v>
      </c>
      <c r="B3534" s="24" t="s">
        <v>52</v>
      </c>
      <c r="C3534" s="24" t="s">
        <v>31</v>
      </c>
      <c r="D3534" s="24">
        <v>61.1</v>
      </c>
      <c r="E3534" s="24" t="s">
        <v>796</v>
      </c>
      <c r="F3534" s="24" t="s">
        <v>990</v>
      </c>
      <c r="G3534" s="24">
        <v>169985</v>
      </c>
    </row>
    <row r="3535" spans="1:7" x14ac:dyDescent="0.25">
      <c r="A3535" s="24" t="s">
        <v>404</v>
      </c>
      <c r="B3535" s="24" t="s">
        <v>53</v>
      </c>
      <c r="C3535" s="24" t="s">
        <v>31</v>
      </c>
      <c r="D3535" s="24">
        <v>47.5</v>
      </c>
      <c r="E3535" s="24" t="s">
        <v>796</v>
      </c>
      <c r="F3535" s="24" t="s">
        <v>990</v>
      </c>
      <c r="G3535" s="24">
        <v>169985</v>
      </c>
    </row>
    <row r="3536" spans="1:7" x14ac:dyDescent="0.25">
      <c r="A3536" s="24" t="s">
        <v>404</v>
      </c>
      <c r="B3536" s="24" t="s">
        <v>54</v>
      </c>
      <c r="C3536" s="24" t="s">
        <v>31</v>
      </c>
      <c r="D3536" s="24">
        <v>0.6</v>
      </c>
      <c r="E3536" s="24" t="s">
        <v>796</v>
      </c>
      <c r="F3536" s="24" t="s">
        <v>990</v>
      </c>
      <c r="G3536" s="24">
        <v>169985</v>
      </c>
    </row>
    <row r="3537" spans="1:7" x14ac:dyDescent="0.25">
      <c r="A3537" s="24" t="s">
        <v>404</v>
      </c>
      <c r="B3537" s="24" t="s">
        <v>55</v>
      </c>
      <c r="C3537" s="24" t="s">
        <v>31</v>
      </c>
      <c r="D3537" s="24">
        <v>0.8</v>
      </c>
      <c r="E3537" s="24" t="s">
        <v>796</v>
      </c>
      <c r="F3537" s="24" t="s">
        <v>990</v>
      </c>
      <c r="G3537" s="24">
        <v>169985</v>
      </c>
    </row>
    <row r="3538" spans="1:7" x14ac:dyDescent="0.25">
      <c r="A3538" s="24" t="s">
        <v>404</v>
      </c>
      <c r="B3538" s="24" t="s">
        <v>56</v>
      </c>
      <c r="C3538" s="24" t="s">
        <v>31</v>
      </c>
      <c r="D3538" s="24">
        <v>0.2</v>
      </c>
      <c r="E3538" s="24" t="s">
        <v>796</v>
      </c>
      <c r="F3538" s="24" t="s">
        <v>990</v>
      </c>
      <c r="G3538" s="24">
        <v>169985</v>
      </c>
    </row>
    <row r="3539" spans="1:7" x14ac:dyDescent="0.25">
      <c r="A3539" s="24" t="s">
        <v>404</v>
      </c>
      <c r="B3539" s="24" t="s">
        <v>57</v>
      </c>
      <c r="C3539" s="24" t="s">
        <v>36</v>
      </c>
      <c r="D3539" s="24">
        <v>1.6</v>
      </c>
      <c r="E3539" s="24" t="s">
        <v>796</v>
      </c>
      <c r="F3539" s="24" t="s">
        <v>990</v>
      </c>
      <c r="G3539" s="24">
        <v>169985</v>
      </c>
    </row>
    <row r="3540" spans="1:7" x14ac:dyDescent="0.25">
      <c r="A3540" s="24" t="s">
        <v>404</v>
      </c>
      <c r="B3540" s="24" t="s">
        <v>58</v>
      </c>
      <c r="C3540" s="24" t="s">
        <v>5</v>
      </c>
      <c r="D3540" s="24">
        <v>0</v>
      </c>
      <c r="E3540" s="24" t="s">
        <v>795</v>
      </c>
      <c r="F3540" s="24"/>
      <c r="G3540" s="24"/>
    </row>
    <row r="3541" spans="1:7" x14ac:dyDescent="0.25">
      <c r="A3541" s="24" t="s">
        <v>405</v>
      </c>
      <c r="B3541" s="24" t="s">
        <v>23</v>
      </c>
      <c r="C3541" s="24" t="s">
        <v>5</v>
      </c>
      <c r="D3541" s="24">
        <v>1.1000000000000001</v>
      </c>
      <c r="E3541" s="24" t="s">
        <v>796</v>
      </c>
      <c r="F3541" s="24" t="s">
        <v>991</v>
      </c>
      <c r="G3541" s="24">
        <v>168944</v>
      </c>
    </row>
    <row r="3542" spans="1:7" x14ac:dyDescent="0.25">
      <c r="A3542" s="24" t="s">
        <v>405</v>
      </c>
      <c r="B3542" s="24" t="s">
        <v>26</v>
      </c>
      <c r="C3542" s="24" t="s">
        <v>5</v>
      </c>
      <c r="D3542" s="24">
        <v>0.42</v>
      </c>
      <c r="E3542" s="24" t="s">
        <v>799</v>
      </c>
      <c r="F3542" s="24" t="s">
        <v>991</v>
      </c>
      <c r="G3542" s="24">
        <v>168944</v>
      </c>
    </row>
    <row r="3543" spans="1:7" x14ac:dyDescent="0.25">
      <c r="A3543" s="24" t="s">
        <v>405</v>
      </c>
      <c r="B3543" s="24" t="s">
        <v>27</v>
      </c>
      <c r="C3543" s="24" t="s">
        <v>5</v>
      </c>
      <c r="D3543" s="24">
        <v>0.28000000000000003</v>
      </c>
      <c r="E3543" s="24" t="s">
        <v>799</v>
      </c>
      <c r="F3543" s="24" t="s">
        <v>991</v>
      </c>
      <c r="G3543" s="24">
        <v>168944</v>
      </c>
    </row>
    <row r="3544" spans="1:7" x14ac:dyDescent="0.25">
      <c r="A3544" s="24" t="s">
        <v>405</v>
      </c>
      <c r="B3544" s="24" t="s">
        <v>28</v>
      </c>
      <c r="C3544" s="24" t="s">
        <v>5</v>
      </c>
      <c r="D3544" s="24">
        <v>1.1399999999999999</v>
      </c>
      <c r="E3544" s="24" t="s">
        <v>799</v>
      </c>
      <c r="F3544" s="24" t="s">
        <v>991</v>
      </c>
      <c r="G3544" s="24">
        <v>168944</v>
      </c>
    </row>
    <row r="3545" spans="1:7" x14ac:dyDescent="0.25">
      <c r="A3545" s="24" t="s">
        <v>405</v>
      </c>
      <c r="B3545" s="24" t="s">
        <v>30</v>
      </c>
      <c r="C3545" s="24" t="s">
        <v>31</v>
      </c>
      <c r="D3545" s="24">
        <v>0</v>
      </c>
      <c r="E3545" s="24" t="s">
        <v>801</v>
      </c>
      <c r="F3545" s="24" t="s">
        <v>991</v>
      </c>
      <c r="G3545" s="24">
        <v>168944</v>
      </c>
    </row>
    <row r="3546" spans="1:7" x14ac:dyDescent="0.25">
      <c r="A3546" s="24" t="s">
        <v>405</v>
      </c>
      <c r="B3546" s="24" t="s">
        <v>32</v>
      </c>
      <c r="C3546" s="24" t="s">
        <v>33</v>
      </c>
      <c r="D3546" s="24">
        <v>0</v>
      </c>
      <c r="E3546" s="24" t="s">
        <v>796</v>
      </c>
      <c r="F3546" s="24" t="s">
        <v>991</v>
      </c>
      <c r="G3546" s="24">
        <v>168944</v>
      </c>
    </row>
    <row r="3547" spans="1:7" x14ac:dyDescent="0.25">
      <c r="A3547" s="24" t="s">
        <v>405</v>
      </c>
      <c r="B3547" s="24" t="s">
        <v>34</v>
      </c>
      <c r="C3547" s="24" t="s">
        <v>31</v>
      </c>
      <c r="D3547" s="24">
        <v>0</v>
      </c>
      <c r="E3547" s="24" t="s">
        <v>796</v>
      </c>
      <c r="F3547" s="24" t="s">
        <v>991</v>
      </c>
      <c r="G3547" s="24">
        <v>168944</v>
      </c>
    </row>
    <row r="3548" spans="1:7" x14ac:dyDescent="0.25">
      <c r="A3548" s="24" t="s">
        <v>405</v>
      </c>
      <c r="B3548" s="24" t="s">
        <v>35</v>
      </c>
      <c r="C3548" s="24" t="s">
        <v>36</v>
      </c>
      <c r="D3548" s="24">
        <v>0</v>
      </c>
      <c r="E3548" s="24" t="s">
        <v>796</v>
      </c>
      <c r="F3548" s="24" t="s">
        <v>991</v>
      </c>
      <c r="G3548" s="24">
        <v>168944</v>
      </c>
    </row>
    <row r="3549" spans="1:7" x14ac:dyDescent="0.25">
      <c r="A3549" s="24" t="s">
        <v>405</v>
      </c>
      <c r="B3549" s="24" t="s">
        <v>37</v>
      </c>
      <c r="C3549" s="24" t="s">
        <v>38</v>
      </c>
      <c r="D3549" s="24">
        <v>0.6</v>
      </c>
      <c r="E3549" s="24" t="s">
        <v>796</v>
      </c>
      <c r="F3549" s="24" t="s">
        <v>991</v>
      </c>
      <c r="G3549" s="24">
        <v>168944</v>
      </c>
    </row>
    <row r="3550" spans="1:7" x14ac:dyDescent="0.25">
      <c r="A3550" s="24" t="s">
        <v>405</v>
      </c>
      <c r="B3550" s="24" t="s">
        <v>39</v>
      </c>
      <c r="C3550" s="24" t="s">
        <v>36</v>
      </c>
      <c r="D3550" s="24">
        <v>2.1</v>
      </c>
      <c r="E3550" s="24" t="s">
        <v>796</v>
      </c>
      <c r="F3550" s="24" t="s">
        <v>991</v>
      </c>
      <c r="G3550" s="24">
        <v>168944</v>
      </c>
    </row>
    <row r="3551" spans="1:7" x14ac:dyDescent="0.25">
      <c r="A3551" s="24" t="s">
        <v>405</v>
      </c>
      <c r="B3551" s="24" t="s">
        <v>44</v>
      </c>
      <c r="C3551" s="24" t="s">
        <v>31</v>
      </c>
      <c r="D3551" s="24">
        <v>0.2</v>
      </c>
      <c r="E3551" s="24" t="s">
        <v>796</v>
      </c>
      <c r="F3551" s="24" t="s">
        <v>991</v>
      </c>
      <c r="G3551" s="24">
        <v>168944</v>
      </c>
    </row>
    <row r="3552" spans="1:7" x14ac:dyDescent="0.25">
      <c r="A3552" s="24" t="s">
        <v>405</v>
      </c>
      <c r="B3552" s="24" t="s">
        <v>45</v>
      </c>
      <c r="C3552" s="24" t="s">
        <v>31</v>
      </c>
      <c r="D3552" s="24">
        <v>1.1000000000000001</v>
      </c>
      <c r="E3552" s="24" t="s">
        <v>796</v>
      </c>
      <c r="F3552" s="24" t="s">
        <v>991</v>
      </c>
      <c r="G3552" s="24">
        <v>168944</v>
      </c>
    </row>
    <row r="3553" spans="1:7" x14ac:dyDescent="0.25">
      <c r="A3553" s="24" t="s">
        <v>405</v>
      </c>
      <c r="B3553" s="24" t="s">
        <v>47</v>
      </c>
      <c r="C3553" s="24" t="s">
        <v>48</v>
      </c>
      <c r="D3553" s="24">
        <v>30.5</v>
      </c>
      <c r="E3553" s="24" t="s">
        <v>796</v>
      </c>
      <c r="F3553" s="24" t="s">
        <v>991</v>
      </c>
      <c r="G3553" s="24">
        <v>168944</v>
      </c>
    </row>
    <row r="3554" spans="1:7" x14ac:dyDescent="0.25">
      <c r="A3554" s="24" t="s">
        <v>405</v>
      </c>
      <c r="B3554" s="24" t="s">
        <v>49</v>
      </c>
      <c r="C3554" s="24" t="s">
        <v>31</v>
      </c>
      <c r="D3554" s="24">
        <v>3.3</v>
      </c>
      <c r="E3554" s="24" t="s">
        <v>796</v>
      </c>
      <c r="F3554" s="24" t="s">
        <v>991</v>
      </c>
      <c r="G3554" s="24">
        <v>168944</v>
      </c>
    </row>
    <row r="3555" spans="1:7" x14ac:dyDescent="0.25">
      <c r="A3555" s="24" t="s">
        <v>405</v>
      </c>
      <c r="B3555" s="24" t="s">
        <v>50</v>
      </c>
      <c r="C3555" s="24" t="s">
        <v>31</v>
      </c>
      <c r="D3555" s="24">
        <v>428.7</v>
      </c>
      <c r="E3555" s="24" t="s">
        <v>796</v>
      </c>
      <c r="F3555" s="24" t="s">
        <v>991</v>
      </c>
      <c r="G3555" s="24">
        <v>168944</v>
      </c>
    </row>
    <row r="3556" spans="1:7" x14ac:dyDescent="0.25">
      <c r="A3556" s="24" t="s">
        <v>405</v>
      </c>
      <c r="B3556" s="24" t="s">
        <v>53</v>
      </c>
      <c r="C3556" s="24" t="s">
        <v>31</v>
      </c>
      <c r="D3556" s="24">
        <v>127.3</v>
      </c>
      <c r="E3556" s="24" t="s">
        <v>796</v>
      </c>
      <c r="F3556" s="24" t="s">
        <v>991</v>
      </c>
      <c r="G3556" s="24">
        <v>168944</v>
      </c>
    </row>
    <row r="3557" spans="1:7" x14ac:dyDescent="0.25">
      <c r="A3557" s="24" t="s">
        <v>405</v>
      </c>
      <c r="B3557" s="24" t="s">
        <v>55</v>
      </c>
      <c r="C3557" s="24" t="s">
        <v>31</v>
      </c>
      <c r="D3557" s="24">
        <v>3.2</v>
      </c>
      <c r="E3557" s="24" t="s">
        <v>796</v>
      </c>
      <c r="F3557" s="24" t="s">
        <v>991</v>
      </c>
      <c r="G3557" s="24">
        <v>168944</v>
      </c>
    </row>
    <row r="3558" spans="1:7" x14ac:dyDescent="0.25">
      <c r="A3558" s="24" t="s">
        <v>405</v>
      </c>
      <c r="B3558" s="24" t="s">
        <v>56</v>
      </c>
      <c r="C3558" s="24" t="s">
        <v>31</v>
      </c>
      <c r="D3558" s="24">
        <v>0.5</v>
      </c>
      <c r="E3558" s="24" t="s">
        <v>796</v>
      </c>
      <c r="F3558" s="24" t="s">
        <v>991</v>
      </c>
      <c r="G3558" s="24">
        <v>168944</v>
      </c>
    </row>
    <row r="3559" spans="1:7" x14ac:dyDescent="0.25">
      <c r="A3559" s="24" t="s">
        <v>405</v>
      </c>
      <c r="B3559" s="24" t="s">
        <v>57</v>
      </c>
      <c r="C3559" s="24" t="s">
        <v>36</v>
      </c>
      <c r="D3559" s="24">
        <v>13.8</v>
      </c>
      <c r="E3559" s="24" t="s">
        <v>796</v>
      </c>
      <c r="F3559" s="24" t="s">
        <v>991</v>
      </c>
      <c r="G3559" s="24">
        <v>168944</v>
      </c>
    </row>
    <row r="3560" spans="1:7" x14ac:dyDescent="0.25">
      <c r="A3560" s="24" t="s">
        <v>405</v>
      </c>
      <c r="B3560" s="24" t="s">
        <v>58</v>
      </c>
      <c r="C3560" s="24" t="s">
        <v>5</v>
      </c>
      <c r="D3560" s="24">
        <v>0</v>
      </c>
      <c r="E3560" s="24" t="s">
        <v>795</v>
      </c>
      <c r="F3560" s="24"/>
      <c r="G3560" s="24"/>
    </row>
    <row r="3561" spans="1:7" x14ac:dyDescent="0.25">
      <c r="A3561" s="24" t="s">
        <v>406</v>
      </c>
      <c r="B3561" s="24" t="s">
        <v>58</v>
      </c>
      <c r="C3561" s="24" t="s">
        <v>5</v>
      </c>
      <c r="D3561" s="24">
        <v>0</v>
      </c>
      <c r="E3561" s="24" t="s">
        <v>795</v>
      </c>
      <c r="F3561" s="24"/>
      <c r="G3561" s="24"/>
    </row>
    <row r="3562" spans="1:7" x14ac:dyDescent="0.25">
      <c r="A3562" s="24" t="s">
        <v>407</v>
      </c>
      <c r="B3562" s="24" t="s">
        <v>29</v>
      </c>
      <c r="C3562" s="24" t="s">
        <v>5</v>
      </c>
      <c r="D3562" s="24">
        <v>0</v>
      </c>
      <c r="E3562" s="24" t="s">
        <v>799</v>
      </c>
      <c r="F3562" s="24" t="s">
        <v>992</v>
      </c>
      <c r="G3562" s="24">
        <v>168446</v>
      </c>
    </row>
    <row r="3563" spans="1:7" x14ac:dyDescent="0.25">
      <c r="A3563" s="24" t="s">
        <v>407</v>
      </c>
      <c r="B3563" s="24" t="s">
        <v>35</v>
      </c>
      <c r="C3563" s="24" t="s">
        <v>36</v>
      </c>
      <c r="D3563" s="24">
        <v>0</v>
      </c>
      <c r="E3563" s="24" t="s">
        <v>796</v>
      </c>
      <c r="F3563" s="24" t="s">
        <v>992</v>
      </c>
      <c r="G3563" s="24">
        <v>168446</v>
      </c>
    </row>
    <row r="3564" spans="1:7" x14ac:dyDescent="0.25">
      <c r="A3564" s="24" t="s">
        <v>407</v>
      </c>
      <c r="B3564" s="24" t="s">
        <v>39</v>
      </c>
      <c r="C3564" s="24" t="s">
        <v>36</v>
      </c>
      <c r="D3564" s="24">
        <v>0</v>
      </c>
      <c r="E3564" s="24" t="s">
        <v>796</v>
      </c>
      <c r="F3564" s="24" t="s">
        <v>992</v>
      </c>
      <c r="G3564" s="24">
        <v>168446</v>
      </c>
    </row>
    <row r="3565" spans="1:7" x14ac:dyDescent="0.25">
      <c r="A3565" s="24" t="s">
        <v>407</v>
      </c>
      <c r="B3565" s="24" t="s">
        <v>58</v>
      </c>
      <c r="C3565" s="24" t="s">
        <v>5</v>
      </c>
      <c r="D3565" s="24">
        <v>0</v>
      </c>
      <c r="E3565" s="24" t="s">
        <v>795</v>
      </c>
      <c r="F3565" s="24"/>
      <c r="G3565" s="24"/>
    </row>
    <row r="3566" spans="1:7" x14ac:dyDescent="0.25">
      <c r="A3566" s="24" t="s">
        <v>408</v>
      </c>
      <c r="B3566" s="24" t="s">
        <v>58</v>
      </c>
      <c r="C3566" s="24" t="s">
        <v>5</v>
      </c>
      <c r="D3566" s="24">
        <v>0</v>
      </c>
      <c r="E3566" s="24" t="s">
        <v>795</v>
      </c>
      <c r="F3566" s="24"/>
      <c r="G3566" s="24"/>
    </row>
    <row r="3567" spans="1:7" x14ac:dyDescent="0.25">
      <c r="A3567" s="24" t="s">
        <v>409</v>
      </c>
      <c r="B3567" s="24" t="s">
        <v>37</v>
      </c>
      <c r="C3567" s="24" t="s">
        <v>38</v>
      </c>
      <c r="D3567" s="24">
        <v>0.3</v>
      </c>
      <c r="E3567" s="24" t="s">
        <v>796</v>
      </c>
      <c r="F3567" s="24" t="s">
        <v>993</v>
      </c>
      <c r="G3567" s="24">
        <v>169715</v>
      </c>
    </row>
    <row r="3568" spans="1:7" x14ac:dyDescent="0.25">
      <c r="A3568" s="24" t="s">
        <v>409</v>
      </c>
      <c r="B3568" s="24" t="s">
        <v>57</v>
      </c>
      <c r="C3568" s="24" t="s">
        <v>36</v>
      </c>
      <c r="D3568" s="24">
        <v>89.4</v>
      </c>
      <c r="E3568" s="24" t="s">
        <v>796</v>
      </c>
      <c r="F3568" s="24" t="s">
        <v>993</v>
      </c>
      <c r="G3568" s="24">
        <v>169715</v>
      </c>
    </row>
    <row r="3569" spans="1:7" x14ac:dyDescent="0.25">
      <c r="A3569" s="24" t="s">
        <v>409</v>
      </c>
      <c r="B3569" s="24" t="s">
        <v>58</v>
      </c>
      <c r="C3569" s="24" t="s">
        <v>5</v>
      </c>
      <c r="D3569" s="24">
        <v>0</v>
      </c>
      <c r="E3569" s="24" t="s">
        <v>795</v>
      </c>
      <c r="F3569" s="24"/>
      <c r="G3569" s="24"/>
    </row>
    <row r="3570" spans="1:7" x14ac:dyDescent="0.25">
      <c r="A3570" s="24" t="s">
        <v>410</v>
      </c>
      <c r="B3570" s="24" t="s">
        <v>20</v>
      </c>
      <c r="C3570" s="24" t="s">
        <v>5</v>
      </c>
      <c r="D3570" s="24">
        <v>0.8</v>
      </c>
      <c r="E3570" s="24" t="s">
        <v>796</v>
      </c>
      <c r="F3570" s="24" t="s">
        <v>993</v>
      </c>
      <c r="G3570" s="24">
        <v>169715</v>
      </c>
    </row>
    <row r="3571" spans="1:7" x14ac:dyDescent="0.25">
      <c r="A3571" s="24" t="s">
        <v>410</v>
      </c>
      <c r="B3571" s="24" t="s">
        <v>24</v>
      </c>
      <c r="C3571" s="24" t="s">
        <v>5</v>
      </c>
      <c r="D3571" s="24">
        <v>3.9</v>
      </c>
      <c r="E3571" s="24" t="s">
        <v>801</v>
      </c>
      <c r="F3571" s="24" t="s">
        <v>993</v>
      </c>
      <c r="G3571" s="24">
        <v>169715</v>
      </c>
    </row>
    <row r="3572" spans="1:7" x14ac:dyDescent="0.25">
      <c r="A3572" s="24" t="s">
        <v>410</v>
      </c>
      <c r="B3572" s="24" t="s">
        <v>27</v>
      </c>
      <c r="C3572" s="24" t="s">
        <v>5</v>
      </c>
      <c r="D3572" s="24">
        <v>0.24</v>
      </c>
      <c r="E3572" s="24" t="s">
        <v>799</v>
      </c>
      <c r="F3572" s="24" t="s">
        <v>993</v>
      </c>
      <c r="G3572" s="24">
        <v>169715</v>
      </c>
    </row>
    <row r="3573" spans="1:7" x14ac:dyDescent="0.25">
      <c r="A3573" s="24" t="s">
        <v>410</v>
      </c>
      <c r="B3573" s="24" t="s">
        <v>28</v>
      </c>
      <c r="C3573" s="24" t="s">
        <v>5</v>
      </c>
      <c r="D3573" s="24">
        <v>0.82</v>
      </c>
      <c r="E3573" s="24" t="s">
        <v>799</v>
      </c>
      <c r="F3573" s="24" t="s">
        <v>993</v>
      </c>
      <c r="G3573" s="24">
        <v>169715</v>
      </c>
    </row>
    <row r="3574" spans="1:7" x14ac:dyDescent="0.25">
      <c r="A3574" s="24" t="s">
        <v>410</v>
      </c>
      <c r="B3574" s="24" t="s">
        <v>32</v>
      </c>
      <c r="C3574" s="24" t="s">
        <v>33</v>
      </c>
      <c r="D3574" s="24">
        <v>0</v>
      </c>
      <c r="E3574" s="24" t="s">
        <v>801</v>
      </c>
      <c r="F3574" s="24" t="s">
        <v>993</v>
      </c>
      <c r="G3574" s="24">
        <v>169715</v>
      </c>
    </row>
    <row r="3575" spans="1:7" x14ac:dyDescent="0.25">
      <c r="A3575" s="24" t="s">
        <v>410</v>
      </c>
      <c r="B3575" s="24" t="s">
        <v>34</v>
      </c>
      <c r="C3575" s="24" t="s">
        <v>31</v>
      </c>
      <c r="D3575" s="24">
        <v>0</v>
      </c>
      <c r="E3575" s="24" t="s">
        <v>801</v>
      </c>
      <c r="F3575" s="24" t="s">
        <v>993</v>
      </c>
      <c r="G3575" s="24">
        <v>169715</v>
      </c>
    </row>
    <row r="3576" spans="1:7" x14ac:dyDescent="0.25">
      <c r="A3576" s="24" t="s">
        <v>410</v>
      </c>
      <c r="B3576" s="24" t="s">
        <v>35</v>
      </c>
      <c r="C3576" s="24" t="s">
        <v>36</v>
      </c>
      <c r="D3576" s="24">
        <v>0</v>
      </c>
      <c r="E3576" s="24" t="s">
        <v>801</v>
      </c>
      <c r="F3576" s="24" t="s">
        <v>993</v>
      </c>
      <c r="G3576" s="24">
        <v>169715</v>
      </c>
    </row>
    <row r="3577" spans="1:7" x14ac:dyDescent="0.25">
      <c r="A3577" s="24" t="s">
        <v>410</v>
      </c>
      <c r="B3577" s="24" t="s">
        <v>37</v>
      </c>
      <c r="C3577" s="24" t="s">
        <v>38</v>
      </c>
      <c r="D3577" s="24">
        <v>0.3</v>
      </c>
      <c r="E3577" s="24" t="s">
        <v>801</v>
      </c>
      <c r="F3577" s="24" t="s">
        <v>993</v>
      </c>
      <c r="G3577" s="24">
        <v>169715</v>
      </c>
    </row>
    <row r="3578" spans="1:7" x14ac:dyDescent="0.25">
      <c r="A3578" s="24" t="s">
        <v>410</v>
      </c>
      <c r="B3578" s="24" t="s">
        <v>40</v>
      </c>
      <c r="C3578" s="24" t="s">
        <v>31</v>
      </c>
      <c r="D3578" s="24">
        <v>0.8</v>
      </c>
      <c r="E3578" s="24" t="s">
        <v>801</v>
      </c>
      <c r="F3578" s="24" t="s">
        <v>993</v>
      </c>
      <c r="G3578" s="24">
        <v>169715</v>
      </c>
    </row>
    <row r="3579" spans="1:7" x14ac:dyDescent="0.25">
      <c r="A3579" s="24" t="s">
        <v>410</v>
      </c>
      <c r="B3579" s="24" t="s">
        <v>41</v>
      </c>
      <c r="C3579" s="24" t="s">
        <v>31</v>
      </c>
      <c r="D3579" s="24">
        <v>0.6</v>
      </c>
      <c r="E3579" s="24" t="s">
        <v>801</v>
      </c>
      <c r="F3579" s="24" t="s">
        <v>993</v>
      </c>
      <c r="G3579" s="24">
        <v>169715</v>
      </c>
    </row>
    <row r="3580" spans="1:7" x14ac:dyDescent="0.25">
      <c r="A3580" s="24" t="s">
        <v>410</v>
      </c>
      <c r="B3580" s="24" t="s">
        <v>42</v>
      </c>
      <c r="C3580" s="24" t="s">
        <v>43</v>
      </c>
      <c r="D3580" s="24">
        <v>6</v>
      </c>
      <c r="E3580" s="24" t="s">
        <v>801</v>
      </c>
      <c r="F3580" s="24" t="s">
        <v>993</v>
      </c>
      <c r="G3580" s="24">
        <v>169715</v>
      </c>
    </row>
    <row r="3581" spans="1:7" x14ac:dyDescent="0.25">
      <c r="A3581" s="24" t="s">
        <v>410</v>
      </c>
      <c r="B3581" s="24" t="s">
        <v>44</v>
      </c>
      <c r="C3581" s="24" t="s">
        <v>31</v>
      </c>
      <c r="D3581" s="24">
        <v>0.1</v>
      </c>
      <c r="E3581" s="24" t="s">
        <v>801</v>
      </c>
      <c r="F3581" s="24" t="s">
        <v>993</v>
      </c>
      <c r="G3581" s="24">
        <v>169715</v>
      </c>
    </row>
    <row r="3582" spans="1:7" x14ac:dyDescent="0.25">
      <c r="A3582" s="24" t="s">
        <v>410</v>
      </c>
      <c r="B3582" s="24" t="s">
        <v>45</v>
      </c>
      <c r="C3582" s="24" t="s">
        <v>31</v>
      </c>
      <c r="D3582" s="24">
        <v>0.6</v>
      </c>
      <c r="E3582" s="24" t="s">
        <v>801</v>
      </c>
      <c r="F3582" s="24" t="s">
        <v>993</v>
      </c>
      <c r="G3582" s="24">
        <v>169715</v>
      </c>
    </row>
    <row r="3583" spans="1:7" x14ac:dyDescent="0.25">
      <c r="A3583" s="24" t="s">
        <v>410</v>
      </c>
      <c r="B3583" s="24" t="s">
        <v>46</v>
      </c>
      <c r="C3583" s="24" t="s">
        <v>36</v>
      </c>
      <c r="D3583" s="24">
        <v>0</v>
      </c>
      <c r="E3583" s="24" t="s">
        <v>801</v>
      </c>
      <c r="F3583" s="24" t="s">
        <v>993</v>
      </c>
      <c r="G3583" s="24">
        <v>169715</v>
      </c>
    </row>
    <row r="3584" spans="1:7" x14ac:dyDescent="0.25">
      <c r="A3584" s="24" t="s">
        <v>410</v>
      </c>
      <c r="B3584" s="24" t="s">
        <v>47</v>
      </c>
      <c r="C3584" s="24" t="s">
        <v>48</v>
      </c>
      <c r="D3584" s="24">
        <v>261</v>
      </c>
      <c r="E3584" s="24" t="s">
        <v>801</v>
      </c>
      <c r="F3584" s="24" t="s">
        <v>993</v>
      </c>
      <c r="G3584" s="24">
        <v>169715</v>
      </c>
    </row>
    <row r="3585" spans="1:7" x14ac:dyDescent="0.25">
      <c r="A3585" s="24" t="s">
        <v>410</v>
      </c>
      <c r="B3585" s="24" t="s">
        <v>50</v>
      </c>
      <c r="C3585" s="24" t="s">
        <v>31</v>
      </c>
      <c r="D3585" s="24">
        <v>186</v>
      </c>
      <c r="E3585" s="24" t="s">
        <v>801</v>
      </c>
      <c r="F3585" s="24" t="s">
        <v>993</v>
      </c>
      <c r="G3585" s="24">
        <v>169715</v>
      </c>
    </row>
    <row r="3586" spans="1:7" x14ac:dyDescent="0.25">
      <c r="A3586" s="24" t="s">
        <v>410</v>
      </c>
      <c r="B3586" s="24" t="s">
        <v>51</v>
      </c>
      <c r="C3586" s="24" t="s">
        <v>31</v>
      </c>
      <c r="D3586" s="24">
        <v>17</v>
      </c>
      <c r="E3586" s="24" t="s">
        <v>801</v>
      </c>
      <c r="F3586" s="24" t="s">
        <v>993</v>
      </c>
      <c r="G3586" s="24">
        <v>169715</v>
      </c>
    </row>
    <row r="3587" spans="1:7" x14ac:dyDescent="0.25">
      <c r="A3587" s="24" t="s">
        <v>410</v>
      </c>
      <c r="B3587" s="24" t="s">
        <v>52</v>
      </c>
      <c r="C3587" s="24" t="s">
        <v>31</v>
      </c>
      <c r="D3587" s="24">
        <v>136</v>
      </c>
      <c r="E3587" s="24" t="s">
        <v>801</v>
      </c>
      <c r="F3587" s="24" t="s">
        <v>993</v>
      </c>
      <c r="G3587" s="24">
        <v>169715</v>
      </c>
    </row>
    <row r="3588" spans="1:7" x14ac:dyDescent="0.25">
      <c r="A3588" s="24" t="s">
        <v>410</v>
      </c>
      <c r="B3588" s="24" t="s">
        <v>53</v>
      </c>
      <c r="C3588" s="24" t="s">
        <v>31</v>
      </c>
      <c r="D3588" s="24">
        <v>47</v>
      </c>
      <c r="E3588" s="24" t="s">
        <v>801</v>
      </c>
      <c r="F3588" s="24" t="s">
        <v>993</v>
      </c>
      <c r="G3588" s="24">
        <v>169715</v>
      </c>
    </row>
    <row r="3589" spans="1:7" x14ac:dyDescent="0.25">
      <c r="A3589" s="24" t="s">
        <v>410</v>
      </c>
      <c r="B3589" s="24" t="s">
        <v>54</v>
      </c>
      <c r="C3589" s="24" t="s">
        <v>31</v>
      </c>
      <c r="D3589" s="24">
        <v>4.4000000000000004</v>
      </c>
      <c r="E3589" s="24" t="s">
        <v>801</v>
      </c>
      <c r="F3589" s="24" t="s">
        <v>993</v>
      </c>
      <c r="G3589" s="24">
        <v>169715</v>
      </c>
    </row>
    <row r="3590" spans="1:7" x14ac:dyDescent="0.25">
      <c r="A3590" s="24" t="s">
        <v>410</v>
      </c>
      <c r="B3590" s="24" t="s">
        <v>55</v>
      </c>
      <c r="C3590" s="24" t="s">
        <v>31</v>
      </c>
      <c r="D3590" s="24">
        <v>1.1000000000000001</v>
      </c>
      <c r="E3590" s="24" t="s">
        <v>801</v>
      </c>
      <c r="F3590" s="24" t="s">
        <v>993</v>
      </c>
      <c r="G3590" s="24">
        <v>169715</v>
      </c>
    </row>
    <row r="3591" spans="1:7" x14ac:dyDescent="0.25">
      <c r="A3591" s="24" t="s">
        <v>410</v>
      </c>
      <c r="B3591" s="24" t="s">
        <v>56</v>
      </c>
      <c r="C3591" s="24" t="s">
        <v>31</v>
      </c>
      <c r="D3591" s="24">
        <v>0.2</v>
      </c>
      <c r="E3591" s="24" t="s">
        <v>801</v>
      </c>
      <c r="F3591" s="24" t="s">
        <v>993</v>
      </c>
      <c r="G3591" s="24">
        <v>169715</v>
      </c>
    </row>
    <row r="3592" spans="1:7" x14ac:dyDescent="0.25">
      <c r="A3592" s="24" t="s">
        <v>410</v>
      </c>
      <c r="B3592" s="24" t="s">
        <v>57</v>
      </c>
      <c r="C3592" s="24" t="s">
        <v>36</v>
      </c>
      <c r="D3592" s="24">
        <v>89.4</v>
      </c>
      <c r="E3592" s="24" t="s">
        <v>801</v>
      </c>
      <c r="F3592" s="24" t="s">
        <v>993</v>
      </c>
      <c r="G3592" s="24">
        <v>169715</v>
      </c>
    </row>
    <row r="3593" spans="1:7" x14ac:dyDescent="0.25">
      <c r="A3593" s="24" t="s">
        <v>410</v>
      </c>
      <c r="B3593" s="24" t="s">
        <v>58</v>
      </c>
      <c r="C3593" s="24" t="s">
        <v>5</v>
      </c>
      <c r="D3593" s="24">
        <v>0</v>
      </c>
      <c r="E3593" s="24" t="s">
        <v>795</v>
      </c>
      <c r="F3593" s="24"/>
      <c r="G3593" s="24"/>
    </row>
    <row r="3594" spans="1:7" x14ac:dyDescent="0.25">
      <c r="A3594" s="24" t="s">
        <v>410</v>
      </c>
      <c r="B3594" s="24" t="s">
        <v>18</v>
      </c>
      <c r="C3594" s="24" t="s">
        <v>5</v>
      </c>
      <c r="D3594" s="24">
        <v>12.3</v>
      </c>
      <c r="E3594" s="24" t="s">
        <v>803</v>
      </c>
      <c r="F3594" s="24"/>
      <c r="G3594" s="24"/>
    </row>
    <row r="3595" spans="1:7" x14ac:dyDescent="0.25">
      <c r="A3595" s="24" t="s">
        <v>411</v>
      </c>
      <c r="B3595" s="24" t="s">
        <v>29</v>
      </c>
      <c r="C3595" s="24" t="s">
        <v>5</v>
      </c>
      <c r="D3595" s="24">
        <v>0</v>
      </c>
      <c r="E3595" s="24" t="s">
        <v>994</v>
      </c>
      <c r="F3595" s="24"/>
      <c r="G3595" s="24"/>
    </row>
    <row r="3596" spans="1:7" x14ac:dyDescent="0.25">
      <c r="A3596" s="24" t="s">
        <v>411</v>
      </c>
      <c r="B3596" s="24" t="s">
        <v>58</v>
      </c>
      <c r="C3596" s="24" t="s">
        <v>5</v>
      </c>
      <c r="D3596" s="24">
        <v>0</v>
      </c>
      <c r="E3596" s="24" t="s">
        <v>795</v>
      </c>
      <c r="F3596" s="24"/>
      <c r="G3596" s="24"/>
    </row>
    <row r="3597" spans="1:7" x14ac:dyDescent="0.25">
      <c r="A3597" s="24" t="s">
        <v>413</v>
      </c>
      <c r="B3597" s="24" t="s">
        <v>23</v>
      </c>
      <c r="C3597" s="24" t="s">
        <v>5</v>
      </c>
      <c r="D3597" s="24">
        <v>6.2</v>
      </c>
      <c r="E3597" s="24" t="s">
        <v>796</v>
      </c>
      <c r="F3597" s="24" t="s">
        <v>995</v>
      </c>
      <c r="G3597" s="24">
        <v>168482</v>
      </c>
    </row>
    <row r="3598" spans="1:7" x14ac:dyDescent="0.25">
      <c r="A3598" s="24" t="s">
        <v>413</v>
      </c>
      <c r="B3598" s="24" t="s">
        <v>24</v>
      </c>
      <c r="C3598" s="24" t="s">
        <v>5</v>
      </c>
      <c r="D3598" s="24">
        <v>0.7</v>
      </c>
      <c r="E3598" s="24" t="s">
        <v>796</v>
      </c>
      <c r="F3598" s="24" t="s">
        <v>995</v>
      </c>
      <c r="G3598" s="24">
        <v>168482</v>
      </c>
    </row>
    <row r="3599" spans="1:7" x14ac:dyDescent="0.25">
      <c r="A3599" s="24" t="s">
        <v>413</v>
      </c>
      <c r="B3599" s="24" t="s">
        <v>26</v>
      </c>
      <c r="C3599" s="24" t="s">
        <v>5</v>
      </c>
      <c r="D3599" s="24">
        <v>0.14000000000000001</v>
      </c>
      <c r="E3599" s="24" t="s">
        <v>799</v>
      </c>
      <c r="F3599" s="24" t="s">
        <v>995</v>
      </c>
      <c r="G3599" s="24">
        <v>168482</v>
      </c>
    </row>
    <row r="3600" spans="1:7" x14ac:dyDescent="0.25">
      <c r="A3600" s="24" t="s">
        <v>413</v>
      </c>
      <c r="B3600" s="24" t="s">
        <v>27</v>
      </c>
      <c r="C3600" s="24" t="s">
        <v>5</v>
      </c>
      <c r="D3600" s="24">
        <v>0.01</v>
      </c>
      <c r="E3600" s="24" t="s">
        <v>799</v>
      </c>
      <c r="F3600" s="24" t="s">
        <v>995</v>
      </c>
      <c r="G3600" s="24">
        <v>168482</v>
      </c>
    </row>
    <row r="3601" spans="1:7" x14ac:dyDescent="0.25">
      <c r="A3601" s="24" t="s">
        <v>413</v>
      </c>
      <c r="B3601" s="24" t="s">
        <v>28</v>
      </c>
      <c r="C3601" s="24" t="s">
        <v>5</v>
      </c>
      <c r="D3601" s="24">
        <v>0.11</v>
      </c>
      <c r="E3601" s="24" t="s">
        <v>799</v>
      </c>
      <c r="F3601" s="24" t="s">
        <v>995</v>
      </c>
      <c r="G3601" s="24">
        <v>168482</v>
      </c>
    </row>
    <row r="3602" spans="1:7" x14ac:dyDescent="0.25">
      <c r="A3602" s="24" t="s">
        <v>413</v>
      </c>
      <c r="B3602" s="24" t="s">
        <v>29</v>
      </c>
      <c r="C3602" s="24" t="s">
        <v>5</v>
      </c>
      <c r="D3602" s="24">
        <v>0</v>
      </c>
      <c r="E3602" s="24" t="s">
        <v>799</v>
      </c>
      <c r="F3602" s="24" t="s">
        <v>995</v>
      </c>
      <c r="G3602" s="24">
        <v>168482</v>
      </c>
    </row>
    <row r="3603" spans="1:7" x14ac:dyDescent="0.25">
      <c r="A3603" s="24" t="s">
        <v>413</v>
      </c>
      <c r="B3603" s="24" t="s">
        <v>32</v>
      </c>
      <c r="C3603" s="24" t="s">
        <v>33</v>
      </c>
      <c r="D3603" s="24">
        <v>1057.9000000000001</v>
      </c>
      <c r="E3603" s="24" t="s">
        <v>796</v>
      </c>
      <c r="F3603" s="24" t="s">
        <v>995</v>
      </c>
      <c r="G3603" s="24">
        <v>168482</v>
      </c>
    </row>
    <row r="3604" spans="1:7" x14ac:dyDescent="0.25">
      <c r="A3604" s="24" t="s">
        <v>413</v>
      </c>
      <c r="B3604" s="24" t="s">
        <v>34</v>
      </c>
      <c r="C3604" s="24" t="s">
        <v>31</v>
      </c>
      <c r="D3604" s="24">
        <v>3.6</v>
      </c>
      <c r="E3604" s="24" t="s">
        <v>796</v>
      </c>
      <c r="F3604" s="24" t="s">
        <v>995</v>
      </c>
      <c r="G3604" s="24">
        <v>168482</v>
      </c>
    </row>
    <row r="3605" spans="1:7" x14ac:dyDescent="0.25">
      <c r="A3605" s="24" t="s">
        <v>413</v>
      </c>
      <c r="B3605" s="24" t="s">
        <v>35</v>
      </c>
      <c r="C3605" s="24" t="s">
        <v>36</v>
      </c>
      <c r="D3605" s="24">
        <v>0</v>
      </c>
      <c r="E3605" s="24" t="s">
        <v>796</v>
      </c>
      <c r="F3605" s="24" t="s">
        <v>995</v>
      </c>
      <c r="G3605" s="24">
        <v>168482</v>
      </c>
    </row>
    <row r="3606" spans="1:7" x14ac:dyDescent="0.25">
      <c r="A3606" s="24" t="s">
        <v>413</v>
      </c>
      <c r="B3606" s="24" t="s">
        <v>37</v>
      </c>
      <c r="C3606" s="24" t="s">
        <v>38</v>
      </c>
      <c r="D3606" s="24">
        <v>0.4</v>
      </c>
      <c r="E3606" s="24" t="s">
        <v>796</v>
      </c>
      <c r="F3606" s="24" t="s">
        <v>995</v>
      </c>
      <c r="G3606" s="24">
        <v>168482</v>
      </c>
    </row>
    <row r="3607" spans="1:7" x14ac:dyDescent="0.25">
      <c r="A3607" s="24" t="s">
        <v>413</v>
      </c>
      <c r="B3607" s="24" t="s">
        <v>39</v>
      </c>
      <c r="C3607" s="24" t="s">
        <v>36</v>
      </c>
      <c r="D3607" s="24">
        <v>2.7</v>
      </c>
      <c r="E3607" s="24" t="s">
        <v>796</v>
      </c>
      <c r="F3607" s="24" t="s">
        <v>995</v>
      </c>
      <c r="G3607" s="24">
        <v>168482</v>
      </c>
    </row>
    <row r="3608" spans="1:7" x14ac:dyDescent="0.25">
      <c r="A3608" s="24" t="s">
        <v>413</v>
      </c>
      <c r="B3608" s="24" t="s">
        <v>40</v>
      </c>
      <c r="C3608" s="24" t="s">
        <v>31</v>
      </c>
      <c r="D3608" s="24">
        <v>0.1</v>
      </c>
      <c r="E3608" s="24" t="s">
        <v>796</v>
      </c>
      <c r="F3608" s="24" t="s">
        <v>995</v>
      </c>
      <c r="G3608" s="24">
        <v>168482</v>
      </c>
    </row>
    <row r="3609" spans="1:7" x14ac:dyDescent="0.25">
      <c r="A3609" s="24" t="s">
        <v>413</v>
      </c>
      <c r="B3609" s="24" t="s">
        <v>41</v>
      </c>
      <c r="C3609" s="24" t="s">
        <v>31</v>
      </c>
      <c r="D3609" s="24">
        <v>0.1</v>
      </c>
      <c r="E3609" s="24" t="s">
        <v>796</v>
      </c>
      <c r="F3609" s="24" t="s">
        <v>995</v>
      </c>
      <c r="G3609" s="24">
        <v>168482</v>
      </c>
    </row>
    <row r="3610" spans="1:7" x14ac:dyDescent="0.25">
      <c r="A3610" s="24" t="s">
        <v>413</v>
      </c>
      <c r="B3610" s="24" t="s">
        <v>42</v>
      </c>
      <c r="C3610" s="24" t="s">
        <v>43</v>
      </c>
      <c r="D3610" s="24">
        <v>0.8</v>
      </c>
      <c r="E3610" s="24" t="s">
        <v>796</v>
      </c>
      <c r="F3610" s="24" t="s">
        <v>995</v>
      </c>
      <c r="G3610" s="24">
        <v>168482</v>
      </c>
    </row>
    <row r="3611" spans="1:7" x14ac:dyDescent="0.25">
      <c r="A3611" s="24" t="s">
        <v>413</v>
      </c>
      <c r="B3611" s="24" t="s">
        <v>44</v>
      </c>
      <c r="C3611" s="24" t="s">
        <v>31</v>
      </c>
      <c r="D3611" s="24">
        <v>0.3</v>
      </c>
      <c r="E3611" s="24" t="s">
        <v>796</v>
      </c>
      <c r="F3611" s="24" t="s">
        <v>995</v>
      </c>
      <c r="G3611" s="24">
        <v>168482</v>
      </c>
    </row>
    <row r="3612" spans="1:7" x14ac:dyDescent="0.25">
      <c r="A3612" s="24" t="s">
        <v>413</v>
      </c>
      <c r="B3612" s="24" t="s">
        <v>45</v>
      </c>
      <c r="C3612" s="24" t="s">
        <v>31</v>
      </c>
      <c r="D3612" s="24">
        <v>1.2</v>
      </c>
      <c r="E3612" s="24" t="s">
        <v>796</v>
      </c>
      <c r="F3612" s="24" t="s">
        <v>995</v>
      </c>
      <c r="G3612" s="24">
        <v>168482</v>
      </c>
    </row>
    <row r="3613" spans="1:7" x14ac:dyDescent="0.25">
      <c r="A3613" s="24" t="s">
        <v>413</v>
      </c>
      <c r="B3613" s="24" t="s">
        <v>46</v>
      </c>
      <c r="C3613" s="24" t="s">
        <v>36</v>
      </c>
      <c r="D3613" s="24">
        <v>0</v>
      </c>
      <c r="E3613" s="24" t="s">
        <v>796</v>
      </c>
      <c r="F3613" s="24" t="s">
        <v>995</v>
      </c>
      <c r="G3613" s="24">
        <v>168482</v>
      </c>
    </row>
    <row r="3614" spans="1:7" x14ac:dyDescent="0.25">
      <c r="A3614" s="24" t="s">
        <v>413</v>
      </c>
      <c r="B3614" s="24" t="s">
        <v>47</v>
      </c>
      <c r="C3614" s="24" t="s">
        <v>48</v>
      </c>
      <c r="D3614" s="24">
        <v>16.399999999999999</v>
      </c>
      <c r="E3614" s="24" t="s">
        <v>796</v>
      </c>
      <c r="F3614" s="24" t="s">
        <v>995</v>
      </c>
      <c r="G3614" s="24">
        <v>168482</v>
      </c>
    </row>
    <row r="3615" spans="1:7" x14ac:dyDescent="0.25">
      <c r="A3615" s="24" t="s">
        <v>413</v>
      </c>
      <c r="B3615" s="24" t="s">
        <v>49</v>
      </c>
      <c r="C3615" s="24" t="s">
        <v>31</v>
      </c>
      <c r="D3615" s="24">
        <v>82.1</v>
      </c>
      <c r="E3615" s="24" t="s">
        <v>796</v>
      </c>
      <c r="F3615" s="24" t="s">
        <v>995</v>
      </c>
      <c r="G3615" s="24">
        <v>168482</v>
      </c>
    </row>
    <row r="3616" spans="1:7" x14ac:dyDescent="0.25">
      <c r="A3616" s="24" t="s">
        <v>413</v>
      </c>
      <c r="B3616" s="24" t="s">
        <v>50</v>
      </c>
      <c r="C3616" s="24" t="s">
        <v>31</v>
      </c>
      <c r="D3616" s="24">
        <v>502.8</v>
      </c>
      <c r="E3616" s="24" t="s">
        <v>796</v>
      </c>
      <c r="F3616" s="24" t="s">
        <v>995</v>
      </c>
      <c r="G3616" s="24">
        <v>168482</v>
      </c>
    </row>
    <row r="3617" spans="1:7" x14ac:dyDescent="0.25">
      <c r="A3617" s="24" t="s">
        <v>413</v>
      </c>
      <c r="B3617" s="24" t="s">
        <v>53</v>
      </c>
      <c r="C3617" s="24" t="s">
        <v>31</v>
      </c>
      <c r="D3617" s="24">
        <v>37.299999999999997</v>
      </c>
      <c r="E3617" s="24" t="s">
        <v>796</v>
      </c>
      <c r="F3617" s="24" t="s">
        <v>995</v>
      </c>
      <c r="G3617" s="24">
        <v>168482</v>
      </c>
    </row>
    <row r="3618" spans="1:7" x14ac:dyDescent="0.25">
      <c r="A3618" s="24" t="s">
        <v>413</v>
      </c>
      <c r="B3618" s="24" t="s">
        <v>55</v>
      </c>
      <c r="C3618" s="24" t="s">
        <v>31</v>
      </c>
      <c r="D3618" s="24">
        <v>0.4</v>
      </c>
      <c r="E3618" s="24" t="s">
        <v>796</v>
      </c>
      <c r="F3618" s="24" t="s">
        <v>995</v>
      </c>
      <c r="G3618" s="24">
        <v>168482</v>
      </c>
    </row>
    <row r="3619" spans="1:7" x14ac:dyDescent="0.25">
      <c r="A3619" s="24" t="s">
        <v>413</v>
      </c>
      <c r="B3619" s="24" t="s">
        <v>56</v>
      </c>
      <c r="C3619" s="24" t="s">
        <v>31</v>
      </c>
      <c r="D3619" s="24">
        <v>0.2</v>
      </c>
      <c r="E3619" s="24" t="s">
        <v>796</v>
      </c>
      <c r="F3619" s="24" t="s">
        <v>995</v>
      </c>
      <c r="G3619" s="24">
        <v>168482</v>
      </c>
    </row>
    <row r="3620" spans="1:7" x14ac:dyDescent="0.25">
      <c r="A3620" s="24" t="s">
        <v>413</v>
      </c>
      <c r="B3620" s="24" t="s">
        <v>57</v>
      </c>
      <c r="C3620" s="24" t="s">
        <v>36</v>
      </c>
      <c r="D3620" s="24">
        <v>0.9</v>
      </c>
      <c r="E3620" s="24" t="s">
        <v>796</v>
      </c>
      <c r="F3620" s="24" t="s">
        <v>995</v>
      </c>
      <c r="G3620" s="24">
        <v>168482</v>
      </c>
    </row>
    <row r="3621" spans="1:7" x14ac:dyDescent="0.25">
      <c r="A3621" s="24" t="s">
        <v>413</v>
      </c>
      <c r="B3621" s="24" t="s">
        <v>58</v>
      </c>
      <c r="C3621" s="24" t="s">
        <v>5</v>
      </c>
      <c r="D3621" s="24">
        <v>0</v>
      </c>
      <c r="E3621" s="24" t="s">
        <v>795</v>
      </c>
      <c r="F3621" s="24"/>
      <c r="G3621" s="24"/>
    </row>
    <row r="3622" spans="1:7" x14ac:dyDescent="0.25">
      <c r="A3622" s="24" t="s">
        <v>414</v>
      </c>
      <c r="B3622" s="24" t="s">
        <v>29</v>
      </c>
      <c r="C3622" s="24" t="s">
        <v>5</v>
      </c>
      <c r="D3622" s="24">
        <v>0</v>
      </c>
      <c r="E3622" s="24" t="s">
        <v>799</v>
      </c>
      <c r="F3622" s="24" t="s">
        <v>996</v>
      </c>
      <c r="G3622" s="24">
        <v>170440</v>
      </c>
    </row>
    <row r="3623" spans="1:7" x14ac:dyDescent="0.25">
      <c r="A3623" s="24" t="s">
        <v>414</v>
      </c>
      <c r="B3623" s="24" t="s">
        <v>57</v>
      </c>
      <c r="C3623" s="24" t="s">
        <v>36</v>
      </c>
      <c r="D3623" s="24">
        <v>0.3</v>
      </c>
      <c r="E3623" s="24" t="s">
        <v>796</v>
      </c>
      <c r="F3623" s="24" t="s">
        <v>996</v>
      </c>
      <c r="G3623" s="24">
        <v>170440</v>
      </c>
    </row>
    <row r="3624" spans="1:7" x14ac:dyDescent="0.25">
      <c r="A3624" s="24" t="s">
        <v>414</v>
      </c>
      <c r="B3624" s="24" t="s">
        <v>58</v>
      </c>
      <c r="C3624" s="24" t="s">
        <v>5</v>
      </c>
      <c r="D3624" s="24">
        <v>0</v>
      </c>
      <c r="E3624" s="24" t="s">
        <v>795</v>
      </c>
      <c r="F3624" s="24"/>
      <c r="G3624" s="24"/>
    </row>
    <row r="3625" spans="1:7" x14ac:dyDescent="0.25">
      <c r="A3625" s="24" t="s">
        <v>415</v>
      </c>
      <c r="B3625" s="24" t="s">
        <v>23</v>
      </c>
      <c r="C3625" s="24" t="s">
        <v>5</v>
      </c>
      <c r="D3625" s="24">
        <v>0.8</v>
      </c>
      <c r="E3625" s="24" t="s">
        <v>796</v>
      </c>
      <c r="F3625" s="24" t="s">
        <v>997</v>
      </c>
      <c r="G3625" s="24">
        <v>170026</v>
      </c>
    </row>
    <row r="3626" spans="1:7" x14ac:dyDescent="0.25">
      <c r="A3626" s="24" t="s">
        <v>415</v>
      </c>
      <c r="B3626" s="24" t="s">
        <v>24</v>
      </c>
      <c r="C3626" s="24" t="s">
        <v>5</v>
      </c>
      <c r="D3626" s="24">
        <v>0.6</v>
      </c>
      <c r="E3626" s="24" t="s">
        <v>796</v>
      </c>
      <c r="F3626" s="24" t="s">
        <v>997</v>
      </c>
      <c r="G3626" s="24">
        <v>170026</v>
      </c>
    </row>
    <row r="3627" spans="1:7" x14ac:dyDescent="0.25">
      <c r="A3627" s="24" t="s">
        <v>415</v>
      </c>
      <c r="B3627" s="24" t="s">
        <v>26</v>
      </c>
      <c r="C3627" s="24" t="s">
        <v>5</v>
      </c>
      <c r="D3627" s="24">
        <v>0.06</v>
      </c>
      <c r="E3627" s="24" t="s">
        <v>799</v>
      </c>
      <c r="F3627" s="24" t="s">
        <v>997</v>
      </c>
      <c r="G3627" s="24">
        <v>170026</v>
      </c>
    </row>
    <row r="3628" spans="1:7" x14ac:dyDescent="0.25">
      <c r="A3628" s="24" t="s">
        <v>415</v>
      </c>
      <c r="B3628" s="24" t="s">
        <v>27</v>
      </c>
      <c r="C3628" s="24" t="s">
        <v>5</v>
      </c>
      <c r="D3628" s="24">
        <v>0</v>
      </c>
      <c r="E3628" s="24" t="s">
        <v>799</v>
      </c>
      <c r="F3628" s="24" t="s">
        <v>997</v>
      </c>
      <c r="G3628" s="24">
        <v>170026</v>
      </c>
    </row>
    <row r="3629" spans="1:7" x14ac:dyDescent="0.25">
      <c r="A3629" s="24" t="s">
        <v>415</v>
      </c>
      <c r="B3629" s="24" t="s">
        <v>28</v>
      </c>
      <c r="C3629" s="24" t="s">
        <v>5</v>
      </c>
      <c r="D3629" s="24">
        <v>0.09</v>
      </c>
      <c r="E3629" s="24" t="s">
        <v>799</v>
      </c>
      <c r="F3629" s="24" t="s">
        <v>997</v>
      </c>
      <c r="G3629" s="24">
        <v>170026</v>
      </c>
    </row>
    <row r="3630" spans="1:7" x14ac:dyDescent="0.25">
      <c r="A3630" s="24" t="s">
        <v>415</v>
      </c>
      <c r="B3630" s="24" t="s">
        <v>29</v>
      </c>
      <c r="C3630" s="24" t="s">
        <v>5</v>
      </c>
      <c r="D3630" s="24">
        <v>0</v>
      </c>
      <c r="E3630" s="24" t="s">
        <v>799</v>
      </c>
      <c r="F3630" s="24" t="s">
        <v>997</v>
      </c>
      <c r="G3630" s="24">
        <v>170026</v>
      </c>
    </row>
    <row r="3631" spans="1:7" x14ac:dyDescent="0.25">
      <c r="A3631" s="24" t="s">
        <v>415</v>
      </c>
      <c r="B3631" s="24" t="s">
        <v>30</v>
      </c>
      <c r="C3631" s="24" t="s">
        <v>31</v>
      </c>
      <c r="D3631" s="24">
        <v>0</v>
      </c>
      <c r="E3631" s="24" t="s">
        <v>801</v>
      </c>
      <c r="F3631" s="24" t="s">
        <v>997</v>
      </c>
      <c r="G3631" s="24">
        <v>170026</v>
      </c>
    </row>
    <row r="3632" spans="1:7" x14ac:dyDescent="0.25">
      <c r="A3632" s="24" t="s">
        <v>415</v>
      </c>
      <c r="B3632" s="24" t="s">
        <v>32</v>
      </c>
      <c r="C3632" s="24" t="s">
        <v>33</v>
      </c>
      <c r="D3632" s="24">
        <v>0</v>
      </c>
      <c r="E3632" s="24" t="s">
        <v>796</v>
      </c>
      <c r="F3632" s="24" t="s">
        <v>997</v>
      </c>
      <c r="G3632" s="24">
        <v>170026</v>
      </c>
    </row>
    <row r="3633" spans="1:7" x14ac:dyDescent="0.25">
      <c r="A3633" s="24" t="s">
        <v>415</v>
      </c>
      <c r="B3633" s="24" t="s">
        <v>35</v>
      </c>
      <c r="C3633" s="24" t="s">
        <v>36</v>
      </c>
      <c r="D3633" s="24">
        <v>0</v>
      </c>
      <c r="E3633" s="24" t="s">
        <v>796</v>
      </c>
      <c r="F3633" s="24" t="s">
        <v>997</v>
      </c>
      <c r="G3633" s="24">
        <v>170026</v>
      </c>
    </row>
    <row r="3634" spans="1:7" x14ac:dyDescent="0.25">
      <c r="A3634" s="24" t="s">
        <v>415</v>
      </c>
      <c r="B3634" s="24" t="s">
        <v>37</v>
      </c>
      <c r="C3634" s="24" t="s">
        <v>38</v>
      </c>
      <c r="D3634" s="24">
        <v>0</v>
      </c>
      <c r="E3634" s="24" t="s">
        <v>796</v>
      </c>
      <c r="F3634" s="24" t="s">
        <v>997</v>
      </c>
      <c r="G3634" s="24">
        <v>170026</v>
      </c>
    </row>
    <row r="3635" spans="1:7" x14ac:dyDescent="0.25">
      <c r="A3635" s="24" t="s">
        <v>415</v>
      </c>
      <c r="B3635" s="24" t="s">
        <v>39</v>
      </c>
      <c r="C3635" s="24" t="s">
        <v>36</v>
      </c>
      <c r="D3635" s="24">
        <v>2.1</v>
      </c>
      <c r="E3635" s="24" t="s">
        <v>796</v>
      </c>
      <c r="F3635" s="24" t="s">
        <v>997</v>
      </c>
      <c r="G3635" s="24">
        <v>170026</v>
      </c>
    </row>
    <row r="3636" spans="1:7" x14ac:dyDescent="0.25">
      <c r="A3636" s="24" t="s">
        <v>415</v>
      </c>
      <c r="B3636" s="24" t="s">
        <v>44</v>
      </c>
      <c r="C3636" s="24" t="s">
        <v>31</v>
      </c>
      <c r="D3636" s="24">
        <v>0.3</v>
      </c>
      <c r="E3636" s="24" t="s">
        <v>796</v>
      </c>
      <c r="F3636" s="24" t="s">
        <v>997</v>
      </c>
      <c r="G3636" s="24">
        <v>170026</v>
      </c>
    </row>
    <row r="3637" spans="1:7" x14ac:dyDescent="0.25">
      <c r="A3637" s="24" t="s">
        <v>415</v>
      </c>
      <c r="B3637" s="24" t="s">
        <v>45</v>
      </c>
      <c r="C3637" s="24" t="s">
        <v>31</v>
      </c>
      <c r="D3637" s="24">
        <v>0.3</v>
      </c>
      <c r="E3637" s="24" t="s">
        <v>796</v>
      </c>
      <c r="F3637" s="24" t="s">
        <v>997</v>
      </c>
      <c r="G3637" s="24">
        <v>170026</v>
      </c>
    </row>
    <row r="3638" spans="1:7" x14ac:dyDescent="0.25">
      <c r="A3638" s="24" t="s">
        <v>415</v>
      </c>
      <c r="B3638" s="24" t="s">
        <v>46</v>
      </c>
      <c r="C3638" s="24" t="s">
        <v>36</v>
      </c>
      <c r="D3638" s="24">
        <v>0</v>
      </c>
      <c r="E3638" s="24" t="s">
        <v>796</v>
      </c>
      <c r="F3638" s="24" t="s">
        <v>997</v>
      </c>
      <c r="G3638" s="24">
        <v>170026</v>
      </c>
    </row>
    <row r="3639" spans="1:7" x14ac:dyDescent="0.25">
      <c r="A3639" s="24" t="s">
        <v>415</v>
      </c>
      <c r="B3639" s="24" t="s">
        <v>47</v>
      </c>
      <c r="C3639" s="24" t="s">
        <v>48</v>
      </c>
      <c r="D3639" s="24">
        <v>15.4</v>
      </c>
      <c r="E3639" s="24" t="s">
        <v>796</v>
      </c>
      <c r="F3639" s="24" t="s">
        <v>997</v>
      </c>
      <c r="G3639" s="24">
        <v>170026</v>
      </c>
    </row>
    <row r="3640" spans="1:7" x14ac:dyDescent="0.25">
      <c r="A3640" s="24" t="s">
        <v>415</v>
      </c>
      <c r="B3640" s="24" t="s">
        <v>53</v>
      </c>
      <c r="C3640" s="24" t="s">
        <v>31</v>
      </c>
      <c r="D3640" s="24">
        <v>23.6</v>
      </c>
      <c r="E3640" s="24" t="s">
        <v>796</v>
      </c>
      <c r="F3640" s="24" t="s">
        <v>997</v>
      </c>
      <c r="G3640" s="24">
        <v>170026</v>
      </c>
    </row>
    <row r="3641" spans="1:7" x14ac:dyDescent="0.25">
      <c r="A3641" s="24" t="s">
        <v>415</v>
      </c>
      <c r="B3641" s="24" t="s">
        <v>55</v>
      </c>
      <c r="C3641" s="24" t="s">
        <v>31</v>
      </c>
      <c r="D3641" s="24">
        <v>0.3</v>
      </c>
      <c r="E3641" s="24" t="s">
        <v>796</v>
      </c>
      <c r="F3641" s="24" t="s">
        <v>997</v>
      </c>
      <c r="G3641" s="24">
        <v>170026</v>
      </c>
    </row>
    <row r="3642" spans="1:7" x14ac:dyDescent="0.25">
      <c r="A3642" s="24" t="s">
        <v>415</v>
      </c>
      <c r="B3642" s="24" t="s">
        <v>56</v>
      </c>
      <c r="C3642" s="24" t="s">
        <v>31</v>
      </c>
      <c r="D3642" s="24">
        <v>0.1</v>
      </c>
      <c r="E3642" s="24" t="s">
        <v>796</v>
      </c>
      <c r="F3642" s="24" t="s">
        <v>997</v>
      </c>
      <c r="G3642" s="24">
        <v>170026</v>
      </c>
    </row>
    <row r="3643" spans="1:7" x14ac:dyDescent="0.25">
      <c r="A3643" s="24" t="s">
        <v>415</v>
      </c>
      <c r="B3643" s="24" t="s">
        <v>57</v>
      </c>
      <c r="C3643" s="24" t="s">
        <v>36</v>
      </c>
      <c r="D3643" s="24">
        <v>0.4</v>
      </c>
      <c r="E3643" s="24" t="s">
        <v>796</v>
      </c>
      <c r="F3643" s="24" t="s">
        <v>997</v>
      </c>
      <c r="G3643" s="24">
        <v>170026</v>
      </c>
    </row>
    <row r="3644" spans="1:7" x14ac:dyDescent="0.25">
      <c r="A3644" s="24" t="s">
        <v>415</v>
      </c>
      <c r="B3644" s="24" t="s">
        <v>58</v>
      </c>
      <c r="C3644" s="24" t="s">
        <v>5</v>
      </c>
      <c r="D3644" s="24">
        <v>0</v>
      </c>
      <c r="E3644" s="24" t="s">
        <v>795</v>
      </c>
      <c r="F3644" s="24"/>
      <c r="G3644" s="24"/>
    </row>
    <row r="3645" spans="1:7" x14ac:dyDescent="0.25">
      <c r="A3645" s="24" t="s">
        <v>416</v>
      </c>
      <c r="B3645" s="24" t="s">
        <v>29</v>
      </c>
      <c r="C3645" s="24" t="s">
        <v>5</v>
      </c>
      <c r="D3645" s="24">
        <v>0</v>
      </c>
      <c r="E3645" s="24" t="s">
        <v>799</v>
      </c>
      <c r="F3645" s="24" t="s">
        <v>998</v>
      </c>
      <c r="G3645" s="24">
        <v>170029</v>
      </c>
    </row>
    <row r="3646" spans="1:7" x14ac:dyDescent="0.25">
      <c r="A3646" s="24" t="s">
        <v>416</v>
      </c>
      <c r="B3646" s="24" t="s">
        <v>58</v>
      </c>
      <c r="C3646" s="24" t="s">
        <v>5</v>
      </c>
      <c r="D3646" s="24">
        <v>0</v>
      </c>
      <c r="E3646" s="24" t="s">
        <v>795</v>
      </c>
      <c r="F3646" s="24"/>
      <c r="G3646" s="24"/>
    </row>
    <row r="3647" spans="1:7" x14ac:dyDescent="0.25">
      <c r="A3647" s="24" t="s">
        <v>418</v>
      </c>
      <c r="B3647" s="24" t="s">
        <v>29</v>
      </c>
      <c r="C3647" s="24" t="s">
        <v>5</v>
      </c>
      <c r="D3647" s="24">
        <v>0.4</v>
      </c>
      <c r="E3647" s="24" t="s">
        <v>799</v>
      </c>
      <c r="F3647" s="24" t="s">
        <v>999</v>
      </c>
      <c r="G3647" s="24">
        <v>172336</v>
      </c>
    </row>
    <row r="3648" spans="1:7" x14ac:dyDescent="0.25">
      <c r="A3648" s="24" t="s">
        <v>418</v>
      </c>
      <c r="B3648" s="24" t="s">
        <v>35</v>
      </c>
      <c r="C3648" s="24" t="s">
        <v>36</v>
      </c>
      <c r="D3648" s="24">
        <v>0</v>
      </c>
      <c r="E3648" s="24" t="s">
        <v>801</v>
      </c>
      <c r="F3648" s="24" t="s">
        <v>999</v>
      </c>
      <c r="G3648" s="24">
        <v>172336</v>
      </c>
    </row>
    <row r="3649" spans="1:7" x14ac:dyDescent="0.25">
      <c r="A3649" s="24" t="s">
        <v>418</v>
      </c>
      <c r="B3649" s="24" t="s">
        <v>58</v>
      </c>
      <c r="C3649" s="24" t="s">
        <v>5</v>
      </c>
      <c r="D3649" s="24">
        <v>0</v>
      </c>
      <c r="E3649" s="24" t="s">
        <v>795</v>
      </c>
      <c r="F3649" s="24"/>
      <c r="G3649" s="24"/>
    </row>
    <row r="3650" spans="1:7" x14ac:dyDescent="0.25">
      <c r="A3650" s="24" t="s">
        <v>419</v>
      </c>
      <c r="B3650" s="24" t="s">
        <v>29</v>
      </c>
      <c r="C3650" s="24" t="s">
        <v>5</v>
      </c>
      <c r="D3650" s="24">
        <v>0.03</v>
      </c>
      <c r="E3650" s="24" t="s">
        <v>799</v>
      </c>
      <c r="F3650" s="24" t="s">
        <v>1000</v>
      </c>
      <c r="G3650" s="24">
        <v>171412</v>
      </c>
    </row>
    <row r="3651" spans="1:7" x14ac:dyDescent="0.25">
      <c r="A3651" s="24" t="s">
        <v>419</v>
      </c>
      <c r="B3651" s="24" t="s">
        <v>58</v>
      </c>
      <c r="C3651" s="24" t="s">
        <v>5</v>
      </c>
      <c r="D3651" s="24">
        <v>0</v>
      </c>
      <c r="E3651" s="24" t="s">
        <v>795</v>
      </c>
      <c r="F3651" s="24"/>
      <c r="G3651" s="24"/>
    </row>
    <row r="3652" spans="1:7" x14ac:dyDescent="0.25">
      <c r="A3652" s="24" t="s">
        <v>420</v>
      </c>
      <c r="B3652" s="24" t="s">
        <v>23</v>
      </c>
      <c r="C3652" s="24" t="s">
        <v>5</v>
      </c>
      <c r="D3652" s="24">
        <v>0</v>
      </c>
      <c r="E3652" s="24" t="s">
        <v>801</v>
      </c>
      <c r="F3652" s="24" t="s">
        <v>1001</v>
      </c>
      <c r="G3652" s="24">
        <v>171029</v>
      </c>
    </row>
    <row r="3653" spans="1:7" x14ac:dyDescent="0.25">
      <c r="A3653" s="24" t="s">
        <v>420</v>
      </c>
      <c r="B3653" s="24" t="s">
        <v>35</v>
      </c>
      <c r="C3653" s="24" t="s">
        <v>36</v>
      </c>
      <c r="D3653" s="24">
        <v>0</v>
      </c>
      <c r="E3653" s="24" t="s">
        <v>801</v>
      </c>
      <c r="F3653" s="24" t="s">
        <v>1001</v>
      </c>
      <c r="G3653" s="24">
        <v>171029</v>
      </c>
    </row>
    <row r="3654" spans="1:7" x14ac:dyDescent="0.25">
      <c r="A3654" s="24" t="s">
        <v>420</v>
      </c>
      <c r="B3654" s="24" t="s">
        <v>39</v>
      </c>
      <c r="C3654" s="24" t="s">
        <v>36</v>
      </c>
      <c r="D3654" s="24">
        <v>1.9</v>
      </c>
      <c r="E3654" s="24" t="s">
        <v>801</v>
      </c>
      <c r="F3654" s="24" t="s">
        <v>1001</v>
      </c>
      <c r="G3654" s="24">
        <v>171029</v>
      </c>
    </row>
    <row r="3655" spans="1:7" x14ac:dyDescent="0.25">
      <c r="A3655" s="24" t="s">
        <v>420</v>
      </c>
      <c r="B3655" s="24" t="s">
        <v>58</v>
      </c>
      <c r="C3655" s="24" t="s">
        <v>5</v>
      </c>
      <c r="D3655" s="24">
        <v>0</v>
      </c>
      <c r="E3655" s="24" t="s">
        <v>795</v>
      </c>
      <c r="F3655" s="24"/>
      <c r="G3655" s="24"/>
    </row>
    <row r="3656" spans="1:7" x14ac:dyDescent="0.25">
      <c r="A3656" s="24" t="s">
        <v>421</v>
      </c>
      <c r="B3656" s="24" t="s">
        <v>58</v>
      </c>
      <c r="C3656" s="24" t="s">
        <v>5</v>
      </c>
      <c r="D3656" s="24">
        <v>0</v>
      </c>
      <c r="E3656" s="24" t="s">
        <v>795</v>
      </c>
      <c r="F3656" s="24"/>
      <c r="G3656" s="24"/>
    </row>
    <row r="3657" spans="1:7" x14ac:dyDescent="0.25">
      <c r="A3657" s="24" t="s">
        <v>422</v>
      </c>
      <c r="B3657" s="24" t="s">
        <v>23</v>
      </c>
      <c r="C3657" s="24" t="s">
        <v>5</v>
      </c>
      <c r="D3657" s="24">
        <v>0</v>
      </c>
      <c r="E3657" s="24" t="s">
        <v>801</v>
      </c>
      <c r="F3657" s="24" t="s">
        <v>1002</v>
      </c>
      <c r="G3657" s="24">
        <v>171025</v>
      </c>
    </row>
    <row r="3658" spans="1:7" x14ac:dyDescent="0.25">
      <c r="A3658" s="24" t="s">
        <v>422</v>
      </c>
      <c r="B3658" s="24" t="s">
        <v>30</v>
      </c>
      <c r="C3658" s="24" t="s">
        <v>31</v>
      </c>
      <c r="D3658" s="24">
        <v>0</v>
      </c>
      <c r="E3658" s="24" t="s">
        <v>801</v>
      </c>
      <c r="F3658" s="24" t="s">
        <v>1002</v>
      </c>
      <c r="G3658" s="24">
        <v>171025</v>
      </c>
    </row>
    <row r="3659" spans="1:7" x14ac:dyDescent="0.25">
      <c r="A3659" s="24" t="s">
        <v>422</v>
      </c>
      <c r="B3659" s="24" t="s">
        <v>32</v>
      </c>
      <c r="C3659" s="24" t="s">
        <v>33</v>
      </c>
      <c r="D3659" s="24">
        <v>0</v>
      </c>
      <c r="E3659" s="24" t="s">
        <v>801</v>
      </c>
      <c r="F3659" s="24" t="s">
        <v>1002</v>
      </c>
      <c r="G3659" s="24">
        <v>171025</v>
      </c>
    </row>
    <row r="3660" spans="1:7" x14ac:dyDescent="0.25">
      <c r="A3660" s="24" t="s">
        <v>422</v>
      </c>
      <c r="B3660" s="24" t="s">
        <v>34</v>
      </c>
      <c r="C3660" s="24" t="s">
        <v>31</v>
      </c>
      <c r="D3660" s="24">
        <v>0</v>
      </c>
      <c r="E3660" s="24" t="s">
        <v>801</v>
      </c>
      <c r="F3660" s="24" t="s">
        <v>1002</v>
      </c>
      <c r="G3660" s="24">
        <v>171025</v>
      </c>
    </row>
    <row r="3661" spans="1:7" x14ac:dyDescent="0.25">
      <c r="A3661" s="24" t="s">
        <v>422</v>
      </c>
      <c r="B3661" s="24" t="s">
        <v>35</v>
      </c>
      <c r="C3661" s="24" t="s">
        <v>36</v>
      </c>
      <c r="D3661" s="24">
        <v>0</v>
      </c>
      <c r="E3661" s="24" t="s">
        <v>801</v>
      </c>
      <c r="F3661" s="24" t="s">
        <v>1002</v>
      </c>
      <c r="G3661" s="24">
        <v>171025</v>
      </c>
    </row>
    <row r="3662" spans="1:7" x14ac:dyDescent="0.25">
      <c r="A3662" s="24" t="s">
        <v>422</v>
      </c>
      <c r="B3662" s="24" t="s">
        <v>37</v>
      </c>
      <c r="C3662" s="24" t="s">
        <v>38</v>
      </c>
      <c r="D3662" s="24">
        <v>41.1</v>
      </c>
      <c r="E3662" s="24" t="s">
        <v>801</v>
      </c>
      <c r="F3662" s="24" t="s">
        <v>1002</v>
      </c>
      <c r="G3662" s="24">
        <v>171025</v>
      </c>
    </row>
    <row r="3663" spans="1:7" x14ac:dyDescent="0.25">
      <c r="A3663" s="24" t="s">
        <v>422</v>
      </c>
      <c r="B3663" s="24" t="s">
        <v>39</v>
      </c>
      <c r="C3663" s="24" t="s">
        <v>36</v>
      </c>
      <c r="D3663" s="24">
        <v>5.4</v>
      </c>
      <c r="E3663" s="24" t="s">
        <v>801</v>
      </c>
      <c r="F3663" s="24" t="s">
        <v>1002</v>
      </c>
      <c r="G3663" s="24">
        <v>171025</v>
      </c>
    </row>
    <row r="3664" spans="1:7" x14ac:dyDescent="0.25">
      <c r="A3664" s="24" t="s">
        <v>422</v>
      </c>
      <c r="B3664" s="24" t="s">
        <v>40</v>
      </c>
      <c r="C3664" s="24" t="s">
        <v>31</v>
      </c>
      <c r="D3664" s="24">
        <v>0</v>
      </c>
      <c r="E3664" s="24" t="s">
        <v>801</v>
      </c>
      <c r="F3664" s="24" t="s">
        <v>1002</v>
      </c>
      <c r="G3664" s="24">
        <v>171025</v>
      </c>
    </row>
    <row r="3665" spans="1:7" x14ac:dyDescent="0.25">
      <c r="A3665" s="24" t="s">
        <v>422</v>
      </c>
      <c r="B3665" s="24" t="s">
        <v>41</v>
      </c>
      <c r="C3665" s="24" t="s">
        <v>31</v>
      </c>
      <c r="D3665" s="24">
        <v>0</v>
      </c>
      <c r="E3665" s="24" t="s">
        <v>801</v>
      </c>
      <c r="F3665" s="24" t="s">
        <v>1002</v>
      </c>
      <c r="G3665" s="24">
        <v>171025</v>
      </c>
    </row>
    <row r="3666" spans="1:7" x14ac:dyDescent="0.25">
      <c r="A3666" s="24" t="s">
        <v>422</v>
      </c>
      <c r="B3666" s="24" t="s">
        <v>42</v>
      </c>
      <c r="C3666" s="24" t="s">
        <v>43</v>
      </c>
      <c r="D3666" s="24">
        <v>0</v>
      </c>
      <c r="E3666" s="24" t="s">
        <v>801</v>
      </c>
      <c r="F3666" s="24" t="s">
        <v>1002</v>
      </c>
      <c r="G3666" s="24">
        <v>171025</v>
      </c>
    </row>
    <row r="3667" spans="1:7" x14ac:dyDescent="0.25">
      <c r="A3667" s="24" t="s">
        <v>422</v>
      </c>
      <c r="B3667" s="24" t="s">
        <v>44</v>
      </c>
      <c r="C3667" s="24" t="s">
        <v>31</v>
      </c>
      <c r="D3667" s="24">
        <v>0</v>
      </c>
      <c r="E3667" s="24" t="s">
        <v>801</v>
      </c>
      <c r="F3667" s="24" t="s">
        <v>1002</v>
      </c>
      <c r="G3667" s="24">
        <v>171025</v>
      </c>
    </row>
    <row r="3668" spans="1:7" x14ac:dyDescent="0.25">
      <c r="A3668" s="24" t="s">
        <v>422</v>
      </c>
      <c r="B3668" s="24" t="s">
        <v>45</v>
      </c>
      <c r="C3668" s="24" t="s">
        <v>31</v>
      </c>
      <c r="D3668" s="24">
        <v>0</v>
      </c>
      <c r="E3668" s="24" t="s">
        <v>801</v>
      </c>
      <c r="F3668" s="24" t="s">
        <v>1002</v>
      </c>
      <c r="G3668" s="24">
        <v>171025</v>
      </c>
    </row>
    <row r="3669" spans="1:7" x14ac:dyDescent="0.25">
      <c r="A3669" s="24" t="s">
        <v>422</v>
      </c>
      <c r="B3669" s="24" t="s">
        <v>46</v>
      </c>
      <c r="C3669" s="24" t="s">
        <v>36</v>
      </c>
      <c r="D3669" s="24">
        <v>0</v>
      </c>
      <c r="E3669" s="24" t="s">
        <v>801</v>
      </c>
      <c r="F3669" s="24" t="s">
        <v>1002</v>
      </c>
      <c r="G3669" s="24">
        <v>171025</v>
      </c>
    </row>
    <row r="3670" spans="1:7" x14ac:dyDescent="0.25">
      <c r="A3670" s="24" t="s">
        <v>422</v>
      </c>
      <c r="B3670" s="24" t="s">
        <v>47</v>
      </c>
      <c r="C3670" s="24" t="s">
        <v>48</v>
      </c>
      <c r="D3670" s="24">
        <v>0</v>
      </c>
      <c r="E3670" s="24" t="s">
        <v>801</v>
      </c>
      <c r="F3670" s="24" t="s">
        <v>1002</v>
      </c>
      <c r="G3670" s="24">
        <v>171025</v>
      </c>
    </row>
    <row r="3671" spans="1:7" x14ac:dyDescent="0.25">
      <c r="A3671" s="24" t="s">
        <v>422</v>
      </c>
      <c r="B3671" s="24" t="s">
        <v>49</v>
      </c>
      <c r="C3671" s="24" t="s">
        <v>31</v>
      </c>
      <c r="D3671" s="24">
        <v>0</v>
      </c>
      <c r="E3671" s="24" t="s">
        <v>801</v>
      </c>
      <c r="F3671" s="24" t="s">
        <v>1002</v>
      </c>
      <c r="G3671" s="24">
        <v>171025</v>
      </c>
    </row>
    <row r="3672" spans="1:7" x14ac:dyDescent="0.25">
      <c r="A3672" s="24" t="s">
        <v>422</v>
      </c>
      <c r="B3672" s="24" t="s">
        <v>50</v>
      </c>
      <c r="C3672" s="24" t="s">
        <v>31</v>
      </c>
      <c r="D3672" s="24">
        <v>0</v>
      </c>
      <c r="E3672" s="24" t="s">
        <v>801</v>
      </c>
      <c r="F3672" s="24" t="s">
        <v>1002</v>
      </c>
      <c r="G3672" s="24">
        <v>171025</v>
      </c>
    </row>
    <row r="3673" spans="1:7" x14ac:dyDescent="0.25">
      <c r="A3673" s="24" t="s">
        <v>422</v>
      </c>
      <c r="B3673" s="24" t="s">
        <v>51</v>
      </c>
      <c r="C3673" s="24" t="s">
        <v>31</v>
      </c>
      <c r="D3673" s="24">
        <v>0</v>
      </c>
      <c r="E3673" s="24" t="s">
        <v>801</v>
      </c>
      <c r="F3673" s="24" t="s">
        <v>1002</v>
      </c>
      <c r="G3673" s="24">
        <v>171025</v>
      </c>
    </row>
    <row r="3674" spans="1:7" x14ac:dyDescent="0.25">
      <c r="A3674" s="24" t="s">
        <v>422</v>
      </c>
      <c r="B3674" s="24" t="s">
        <v>52</v>
      </c>
      <c r="C3674" s="24" t="s">
        <v>31</v>
      </c>
      <c r="D3674" s="24">
        <v>0</v>
      </c>
      <c r="E3674" s="24" t="s">
        <v>801</v>
      </c>
      <c r="F3674" s="24" t="s">
        <v>1002</v>
      </c>
      <c r="G3674" s="24">
        <v>171025</v>
      </c>
    </row>
    <row r="3675" spans="1:7" x14ac:dyDescent="0.25">
      <c r="A3675" s="24" t="s">
        <v>422</v>
      </c>
      <c r="B3675" s="24" t="s">
        <v>53</v>
      </c>
      <c r="C3675" s="24" t="s">
        <v>31</v>
      </c>
      <c r="D3675" s="24">
        <v>0</v>
      </c>
      <c r="E3675" s="24" t="s">
        <v>801</v>
      </c>
      <c r="F3675" s="24" t="s">
        <v>1002</v>
      </c>
      <c r="G3675" s="24">
        <v>171025</v>
      </c>
    </row>
    <row r="3676" spans="1:7" x14ac:dyDescent="0.25">
      <c r="A3676" s="24" t="s">
        <v>422</v>
      </c>
      <c r="B3676" s="24" t="s">
        <v>54</v>
      </c>
      <c r="C3676" s="24" t="s">
        <v>31</v>
      </c>
      <c r="D3676" s="24">
        <v>0</v>
      </c>
      <c r="E3676" s="24" t="s">
        <v>801</v>
      </c>
      <c r="F3676" s="24" t="s">
        <v>1002</v>
      </c>
      <c r="G3676" s="24">
        <v>171025</v>
      </c>
    </row>
    <row r="3677" spans="1:7" x14ac:dyDescent="0.25">
      <c r="A3677" s="24" t="s">
        <v>422</v>
      </c>
      <c r="B3677" s="24" t="s">
        <v>55</v>
      </c>
      <c r="C3677" s="24" t="s">
        <v>31</v>
      </c>
      <c r="D3677" s="24">
        <v>0</v>
      </c>
      <c r="E3677" s="24" t="s">
        <v>801</v>
      </c>
      <c r="F3677" s="24" t="s">
        <v>1002</v>
      </c>
      <c r="G3677" s="24">
        <v>171025</v>
      </c>
    </row>
    <row r="3678" spans="1:7" x14ac:dyDescent="0.25">
      <c r="A3678" s="24" t="s">
        <v>422</v>
      </c>
      <c r="B3678" s="24" t="s">
        <v>56</v>
      </c>
      <c r="C3678" s="24" t="s">
        <v>31</v>
      </c>
      <c r="D3678" s="24">
        <v>0</v>
      </c>
      <c r="E3678" s="24" t="s">
        <v>801</v>
      </c>
      <c r="F3678" s="24" t="s">
        <v>1002</v>
      </c>
      <c r="G3678" s="24">
        <v>171025</v>
      </c>
    </row>
    <row r="3679" spans="1:7" x14ac:dyDescent="0.25">
      <c r="A3679" s="24" t="s">
        <v>422</v>
      </c>
      <c r="B3679" s="24" t="s">
        <v>57</v>
      </c>
      <c r="C3679" s="24" t="s">
        <v>36</v>
      </c>
      <c r="D3679" s="24">
        <v>0</v>
      </c>
      <c r="E3679" s="24" t="s">
        <v>801</v>
      </c>
      <c r="F3679" s="24" t="s">
        <v>1002</v>
      </c>
      <c r="G3679" s="24">
        <v>171025</v>
      </c>
    </row>
    <row r="3680" spans="1:7" x14ac:dyDescent="0.25">
      <c r="A3680" s="24" t="s">
        <v>422</v>
      </c>
      <c r="B3680" s="24" t="s">
        <v>58</v>
      </c>
      <c r="C3680" s="24" t="s">
        <v>5</v>
      </c>
      <c r="D3680" s="24">
        <v>0</v>
      </c>
      <c r="E3680" s="24" t="s">
        <v>795</v>
      </c>
      <c r="F3680" s="24"/>
      <c r="G3680" s="24"/>
    </row>
    <row r="3681" spans="1:7" x14ac:dyDescent="0.25">
      <c r="A3681" s="24" t="s">
        <v>423</v>
      </c>
      <c r="B3681" s="24" t="s">
        <v>23</v>
      </c>
      <c r="C3681" s="24" t="s">
        <v>5</v>
      </c>
      <c r="D3681" s="24">
        <v>0</v>
      </c>
      <c r="E3681" s="24" t="s">
        <v>801</v>
      </c>
      <c r="F3681" s="24" t="s">
        <v>1002</v>
      </c>
      <c r="G3681" s="24">
        <v>171025</v>
      </c>
    </row>
    <row r="3682" spans="1:7" x14ac:dyDescent="0.25">
      <c r="A3682" s="24" t="s">
        <v>423</v>
      </c>
      <c r="B3682" s="24" t="s">
        <v>35</v>
      </c>
      <c r="C3682" s="24" t="s">
        <v>36</v>
      </c>
      <c r="D3682" s="24">
        <v>0</v>
      </c>
      <c r="E3682" s="24" t="s">
        <v>801</v>
      </c>
      <c r="F3682" s="24" t="s">
        <v>1002</v>
      </c>
      <c r="G3682" s="24">
        <v>171025</v>
      </c>
    </row>
    <row r="3683" spans="1:7" x14ac:dyDescent="0.25">
      <c r="A3683" s="24" t="s">
        <v>423</v>
      </c>
      <c r="B3683" s="24" t="s">
        <v>39</v>
      </c>
      <c r="C3683" s="24" t="s">
        <v>36</v>
      </c>
      <c r="D3683" s="24">
        <v>5.4</v>
      </c>
      <c r="E3683" s="24" t="s">
        <v>801</v>
      </c>
      <c r="F3683" s="24" t="s">
        <v>1002</v>
      </c>
      <c r="G3683" s="24">
        <v>171025</v>
      </c>
    </row>
    <row r="3684" spans="1:7" x14ac:dyDescent="0.25">
      <c r="A3684" s="24" t="s">
        <v>423</v>
      </c>
      <c r="B3684" s="24" t="s">
        <v>58</v>
      </c>
      <c r="C3684" s="24" t="s">
        <v>5</v>
      </c>
      <c r="D3684" s="24">
        <v>0</v>
      </c>
      <c r="E3684" s="24" t="s">
        <v>795</v>
      </c>
      <c r="F3684" s="24"/>
      <c r="G3684" s="24"/>
    </row>
    <row r="3685" spans="1:7" x14ac:dyDescent="0.25">
      <c r="A3685" s="24" t="s">
        <v>424</v>
      </c>
      <c r="B3685" s="24" t="s">
        <v>58</v>
      </c>
      <c r="C3685" s="24" t="s">
        <v>5</v>
      </c>
      <c r="D3685" s="24">
        <v>0</v>
      </c>
      <c r="E3685" s="24" t="s">
        <v>795</v>
      </c>
      <c r="F3685" s="24"/>
      <c r="G3685" s="24"/>
    </row>
    <row r="3686" spans="1:7" x14ac:dyDescent="0.25">
      <c r="A3686" s="24" t="s">
        <v>425</v>
      </c>
      <c r="B3686" s="24" t="s">
        <v>23</v>
      </c>
      <c r="C3686" s="24" t="s">
        <v>5</v>
      </c>
      <c r="D3686" s="24">
        <v>0</v>
      </c>
      <c r="E3686" s="24" t="s">
        <v>796</v>
      </c>
      <c r="F3686" s="24" t="s">
        <v>1003</v>
      </c>
      <c r="G3686" s="24">
        <v>171413</v>
      </c>
    </row>
    <row r="3687" spans="1:7" x14ac:dyDescent="0.25">
      <c r="A3687" s="24" t="s">
        <v>425</v>
      </c>
      <c r="B3687" s="24" t="s">
        <v>24</v>
      </c>
      <c r="C3687" s="24" t="s">
        <v>5</v>
      </c>
      <c r="D3687" s="24">
        <v>0</v>
      </c>
      <c r="E3687" s="24" t="s">
        <v>796</v>
      </c>
      <c r="F3687" s="24" t="s">
        <v>1003</v>
      </c>
      <c r="G3687" s="24">
        <v>171413</v>
      </c>
    </row>
    <row r="3688" spans="1:7" x14ac:dyDescent="0.25">
      <c r="A3688" s="24" t="s">
        <v>425</v>
      </c>
      <c r="B3688" s="24" t="s">
        <v>32</v>
      </c>
      <c r="C3688" s="24" t="s">
        <v>33</v>
      </c>
      <c r="D3688" s="24">
        <v>0</v>
      </c>
      <c r="E3688" s="24" t="s">
        <v>796</v>
      </c>
      <c r="F3688" s="24" t="s">
        <v>1003</v>
      </c>
      <c r="G3688" s="24">
        <v>171413</v>
      </c>
    </row>
    <row r="3689" spans="1:7" x14ac:dyDescent="0.25">
      <c r="A3689" s="24" t="s">
        <v>425</v>
      </c>
      <c r="B3689" s="24" t="s">
        <v>34</v>
      </c>
      <c r="C3689" s="24" t="s">
        <v>31</v>
      </c>
      <c r="D3689" s="24">
        <v>0</v>
      </c>
      <c r="E3689" s="24" t="s">
        <v>796</v>
      </c>
      <c r="F3689" s="24" t="s">
        <v>1003</v>
      </c>
      <c r="G3689" s="24">
        <v>171413</v>
      </c>
    </row>
    <row r="3690" spans="1:7" x14ac:dyDescent="0.25">
      <c r="A3690" s="24" t="s">
        <v>425</v>
      </c>
      <c r="B3690" s="24" t="s">
        <v>35</v>
      </c>
      <c r="C3690" s="24" t="s">
        <v>36</v>
      </c>
      <c r="D3690" s="24">
        <v>0</v>
      </c>
      <c r="E3690" s="24" t="s">
        <v>796</v>
      </c>
      <c r="F3690" s="24" t="s">
        <v>1003</v>
      </c>
      <c r="G3690" s="24">
        <v>171413</v>
      </c>
    </row>
    <row r="3691" spans="1:7" x14ac:dyDescent="0.25">
      <c r="A3691" s="24" t="s">
        <v>425</v>
      </c>
      <c r="B3691" s="24" t="s">
        <v>37</v>
      </c>
      <c r="C3691" s="24" t="s">
        <v>38</v>
      </c>
      <c r="D3691" s="24">
        <v>14.3</v>
      </c>
      <c r="E3691" s="24" t="s">
        <v>796</v>
      </c>
      <c r="F3691" s="24" t="s">
        <v>1003</v>
      </c>
      <c r="G3691" s="24">
        <v>171413</v>
      </c>
    </row>
    <row r="3692" spans="1:7" x14ac:dyDescent="0.25">
      <c r="A3692" s="24" t="s">
        <v>425</v>
      </c>
      <c r="B3692" s="24" t="s">
        <v>39</v>
      </c>
      <c r="C3692" s="24" t="s">
        <v>36</v>
      </c>
      <c r="D3692" s="24">
        <v>60</v>
      </c>
      <c r="E3692" s="24" t="s">
        <v>796</v>
      </c>
      <c r="F3692" s="24" t="s">
        <v>1003</v>
      </c>
      <c r="G3692" s="24">
        <v>171413</v>
      </c>
    </row>
    <row r="3693" spans="1:7" x14ac:dyDescent="0.25">
      <c r="A3693" s="24" t="s">
        <v>425</v>
      </c>
      <c r="B3693" s="24" t="s">
        <v>40</v>
      </c>
      <c r="C3693" s="24" t="s">
        <v>31</v>
      </c>
      <c r="D3693" s="24">
        <v>0</v>
      </c>
      <c r="E3693" s="24" t="s">
        <v>796</v>
      </c>
      <c r="F3693" s="24" t="s">
        <v>1003</v>
      </c>
      <c r="G3693" s="24">
        <v>171413</v>
      </c>
    </row>
    <row r="3694" spans="1:7" x14ac:dyDescent="0.25">
      <c r="A3694" s="24" t="s">
        <v>425</v>
      </c>
      <c r="B3694" s="24" t="s">
        <v>41</v>
      </c>
      <c r="C3694" s="24" t="s">
        <v>31</v>
      </c>
      <c r="D3694" s="24">
        <v>0</v>
      </c>
      <c r="E3694" s="24" t="s">
        <v>796</v>
      </c>
      <c r="F3694" s="24" t="s">
        <v>1003</v>
      </c>
      <c r="G3694" s="24">
        <v>171413</v>
      </c>
    </row>
    <row r="3695" spans="1:7" x14ac:dyDescent="0.25">
      <c r="A3695" s="24" t="s">
        <v>425</v>
      </c>
      <c r="B3695" s="24" t="s">
        <v>42</v>
      </c>
      <c r="C3695" s="24" t="s">
        <v>43</v>
      </c>
      <c r="D3695" s="24">
        <v>0</v>
      </c>
      <c r="E3695" s="24" t="s">
        <v>796</v>
      </c>
      <c r="F3695" s="24" t="s">
        <v>1003</v>
      </c>
      <c r="G3695" s="24">
        <v>171413</v>
      </c>
    </row>
    <row r="3696" spans="1:7" x14ac:dyDescent="0.25">
      <c r="A3696" s="24" t="s">
        <v>425</v>
      </c>
      <c r="B3696" s="24" t="s">
        <v>44</v>
      </c>
      <c r="C3696" s="24" t="s">
        <v>31</v>
      </c>
      <c r="D3696" s="24">
        <v>0</v>
      </c>
      <c r="E3696" s="24" t="s">
        <v>796</v>
      </c>
      <c r="F3696" s="24" t="s">
        <v>1003</v>
      </c>
      <c r="G3696" s="24">
        <v>171413</v>
      </c>
    </row>
    <row r="3697" spans="1:7" x14ac:dyDescent="0.25">
      <c r="A3697" s="24" t="s">
        <v>425</v>
      </c>
      <c r="B3697" s="24" t="s">
        <v>45</v>
      </c>
      <c r="C3697" s="24" t="s">
        <v>31</v>
      </c>
      <c r="D3697" s="24">
        <v>0</v>
      </c>
      <c r="E3697" s="24" t="s">
        <v>796</v>
      </c>
      <c r="F3697" s="24" t="s">
        <v>1003</v>
      </c>
      <c r="G3697" s="24">
        <v>171413</v>
      </c>
    </row>
    <row r="3698" spans="1:7" x14ac:dyDescent="0.25">
      <c r="A3698" s="24" t="s">
        <v>425</v>
      </c>
      <c r="B3698" s="24" t="s">
        <v>46</v>
      </c>
      <c r="C3698" s="24" t="s">
        <v>36</v>
      </c>
      <c r="D3698" s="24">
        <v>0</v>
      </c>
      <c r="E3698" s="24" t="s">
        <v>796</v>
      </c>
      <c r="F3698" s="24" t="s">
        <v>1003</v>
      </c>
      <c r="G3698" s="24">
        <v>171413</v>
      </c>
    </row>
    <row r="3699" spans="1:7" x14ac:dyDescent="0.25">
      <c r="A3699" s="24" t="s">
        <v>425</v>
      </c>
      <c r="B3699" s="24" t="s">
        <v>47</v>
      </c>
      <c r="C3699" s="24" t="s">
        <v>48</v>
      </c>
      <c r="D3699" s="24">
        <v>0</v>
      </c>
      <c r="E3699" s="24" t="s">
        <v>796</v>
      </c>
      <c r="F3699" s="24" t="s">
        <v>1003</v>
      </c>
      <c r="G3699" s="24">
        <v>171413</v>
      </c>
    </row>
    <row r="3700" spans="1:7" x14ac:dyDescent="0.25">
      <c r="A3700" s="24" t="s">
        <v>425</v>
      </c>
      <c r="B3700" s="24" t="s">
        <v>50</v>
      </c>
      <c r="C3700" s="24" t="s">
        <v>31</v>
      </c>
      <c r="D3700" s="24">
        <v>1</v>
      </c>
      <c r="E3700" s="24" t="s">
        <v>796</v>
      </c>
      <c r="F3700" s="24" t="s">
        <v>1003</v>
      </c>
      <c r="G3700" s="24">
        <v>171413</v>
      </c>
    </row>
    <row r="3701" spans="1:7" x14ac:dyDescent="0.25">
      <c r="A3701" s="24" t="s">
        <v>425</v>
      </c>
      <c r="B3701" s="24" t="s">
        <v>51</v>
      </c>
      <c r="C3701" s="24" t="s">
        <v>31</v>
      </c>
      <c r="D3701" s="24">
        <v>1</v>
      </c>
      <c r="E3701" s="24" t="s">
        <v>796</v>
      </c>
      <c r="F3701" s="24" t="s">
        <v>1003</v>
      </c>
      <c r="G3701" s="24">
        <v>171413</v>
      </c>
    </row>
    <row r="3702" spans="1:7" x14ac:dyDescent="0.25">
      <c r="A3702" s="24" t="s">
        <v>425</v>
      </c>
      <c r="B3702" s="24" t="s">
        <v>52</v>
      </c>
      <c r="C3702" s="24" t="s">
        <v>31</v>
      </c>
      <c r="D3702" s="24">
        <v>0</v>
      </c>
      <c r="E3702" s="24" t="s">
        <v>796</v>
      </c>
      <c r="F3702" s="24" t="s">
        <v>1003</v>
      </c>
      <c r="G3702" s="24">
        <v>171413</v>
      </c>
    </row>
    <row r="3703" spans="1:7" x14ac:dyDescent="0.25">
      <c r="A3703" s="24" t="s">
        <v>425</v>
      </c>
      <c r="B3703" s="24" t="s">
        <v>53</v>
      </c>
      <c r="C3703" s="24" t="s">
        <v>31</v>
      </c>
      <c r="D3703" s="24">
        <v>0</v>
      </c>
      <c r="E3703" s="24" t="s">
        <v>796</v>
      </c>
      <c r="F3703" s="24" t="s">
        <v>1003</v>
      </c>
      <c r="G3703" s="24">
        <v>171413</v>
      </c>
    </row>
    <row r="3704" spans="1:7" x14ac:dyDescent="0.25">
      <c r="A3704" s="24" t="s">
        <v>425</v>
      </c>
      <c r="B3704" s="24" t="s">
        <v>54</v>
      </c>
      <c r="C3704" s="24" t="s">
        <v>31</v>
      </c>
      <c r="D3704" s="24">
        <v>0.6</v>
      </c>
      <c r="E3704" s="24" t="s">
        <v>796</v>
      </c>
      <c r="F3704" s="24" t="s">
        <v>1003</v>
      </c>
      <c r="G3704" s="24">
        <v>171413</v>
      </c>
    </row>
    <row r="3705" spans="1:7" x14ac:dyDescent="0.25">
      <c r="A3705" s="24" t="s">
        <v>425</v>
      </c>
      <c r="B3705" s="24" t="s">
        <v>55</v>
      </c>
      <c r="C3705" s="24" t="s">
        <v>31</v>
      </c>
      <c r="D3705" s="24">
        <v>0</v>
      </c>
      <c r="E3705" s="24" t="s">
        <v>796</v>
      </c>
      <c r="F3705" s="24" t="s">
        <v>1003</v>
      </c>
      <c r="G3705" s="24">
        <v>171413</v>
      </c>
    </row>
    <row r="3706" spans="1:7" x14ac:dyDescent="0.25">
      <c r="A3706" s="24" t="s">
        <v>425</v>
      </c>
      <c r="B3706" s="24" t="s">
        <v>56</v>
      </c>
      <c r="C3706" s="24" t="s">
        <v>31</v>
      </c>
      <c r="D3706" s="24">
        <v>0</v>
      </c>
      <c r="E3706" s="24" t="s">
        <v>796</v>
      </c>
      <c r="F3706" s="24" t="s">
        <v>1003</v>
      </c>
      <c r="G3706" s="24">
        <v>171413</v>
      </c>
    </row>
    <row r="3707" spans="1:7" x14ac:dyDescent="0.25">
      <c r="A3707" s="24" t="s">
        <v>425</v>
      </c>
      <c r="B3707" s="24" t="s">
        <v>57</v>
      </c>
      <c r="C3707" s="24" t="s">
        <v>36</v>
      </c>
      <c r="D3707" s="24">
        <v>0</v>
      </c>
      <c r="E3707" s="24" t="s">
        <v>796</v>
      </c>
      <c r="F3707" s="24" t="s">
        <v>1003</v>
      </c>
      <c r="G3707" s="24">
        <v>171413</v>
      </c>
    </row>
    <row r="3708" spans="1:7" x14ac:dyDescent="0.25">
      <c r="A3708" s="24" t="s">
        <v>425</v>
      </c>
      <c r="B3708" s="24" t="s">
        <v>58</v>
      </c>
      <c r="C3708" s="24" t="s">
        <v>5</v>
      </c>
      <c r="D3708" s="24">
        <v>0</v>
      </c>
      <c r="E3708" s="24" t="s">
        <v>795</v>
      </c>
      <c r="F3708" s="24"/>
      <c r="G3708" s="24"/>
    </row>
    <row r="3709" spans="1:7" x14ac:dyDescent="0.25">
      <c r="A3709" s="24" t="s">
        <v>426</v>
      </c>
      <c r="B3709" s="24" t="s">
        <v>58</v>
      </c>
      <c r="C3709" s="24" t="s">
        <v>5</v>
      </c>
      <c r="D3709" s="24">
        <v>0</v>
      </c>
      <c r="E3709" s="24" t="s">
        <v>795</v>
      </c>
      <c r="F3709" s="24"/>
      <c r="G3709" s="24"/>
    </row>
    <row r="3710" spans="1:7" x14ac:dyDescent="0.25">
      <c r="A3710" s="24" t="s">
        <v>427</v>
      </c>
      <c r="B3710" s="24" t="s">
        <v>23</v>
      </c>
      <c r="C3710" s="24" t="s">
        <v>5</v>
      </c>
      <c r="D3710" s="24">
        <v>0</v>
      </c>
      <c r="E3710" s="24" t="s">
        <v>801</v>
      </c>
      <c r="F3710" s="24" t="s">
        <v>1004</v>
      </c>
      <c r="G3710" s="24">
        <v>171411</v>
      </c>
    </row>
    <row r="3711" spans="1:7" x14ac:dyDescent="0.25">
      <c r="A3711" s="24" t="s">
        <v>427</v>
      </c>
      <c r="B3711" s="24" t="s">
        <v>29</v>
      </c>
      <c r="C3711" s="24" t="s">
        <v>5</v>
      </c>
      <c r="D3711" s="24">
        <v>0.53</v>
      </c>
      <c r="E3711" s="24" t="s">
        <v>799</v>
      </c>
      <c r="F3711" s="24" t="s">
        <v>1004</v>
      </c>
      <c r="G3711" s="24">
        <v>171411</v>
      </c>
    </row>
    <row r="3712" spans="1:7" x14ac:dyDescent="0.25">
      <c r="A3712" s="24" t="s">
        <v>427</v>
      </c>
      <c r="B3712" s="24" t="s">
        <v>35</v>
      </c>
      <c r="C3712" s="24" t="s">
        <v>36</v>
      </c>
      <c r="D3712" s="24">
        <v>0</v>
      </c>
      <c r="E3712" s="24" t="s">
        <v>801</v>
      </c>
      <c r="F3712" s="24" t="s">
        <v>1004</v>
      </c>
      <c r="G3712" s="24">
        <v>171411</v>
      </c>
    </row>
    <row r="3713" spans="1:7" x14ac:dyDescent="0.25">
      <c r="A3713" s="24" t="s">
        <v>427</v>
      </c>
      <c r="B3713" s="24" t="s">
        <v>39</v>
      </c>
      <c r="C3713" s="24" t="s">
        <v>36</v>
      </c>
      <c r="D3713" s="24">
        <v>183.9</v>
      </c>
      <c r="E3713" s="24" t="s">
        <v>801</v>
      </c>
      <c r="F3713" s="24" t="s">
        <v>1004</v>
      </c>
      <c r="G3713" s="24">
        <v>171411</v>
      </c>
    </row>
    <row r="3714" spans="1:7" x14ac:dyDescent="0.25">
      <c r="A3714" s="24" t="s">
        <v>427</v>
      </c>
      <c r="B3714" s="24" t="s">
        <v>58</v>
      </c>
      <c r="C3714" s="24" t="s">
        <v>5</v>
      </c>
      <c r="D3714" s="24">
        <v>0</v>
      </c>
      <c r="E3714" s="24" t="s">
        <v>795</v>
      </c>
      <c r="F3714" s="24"/>
      <c r="G3714" s="24"/>
    </row>
    <row r="3715" spans="1:7" x14ac:dyDescent="0.25">
      <c r="A3715" s="24" t="s">
        <v>428</v>
      </c>
      <c r="B3715" s="24" t="s">
        <v>29</v>
      </c>
      <c r="C3715" s="24" t="s">
        <v>5</v>
      </c>
      <c r="D3715" s="24">
        <v>0.53</v>
      </c>
      <c r="E3715" s="24" t="s">
        <v>799</v>
      </c>
      <c r="F3715" s="24" t="s">
        <v>1004</v>
      </c>
      <c r="G3715" s="24">
        <v>171411</v>
      </c>
    </row>
    <row r="3716" spans="1:7" x14ac:dyDescent="0.25">
      <c r="A3716" s="24" t="s">
        <v>428</v>
      </c>
      <c r="B3716" s="24" t="s">
        <v>58</v>
      </c>
      <c r="C3716" s="24" t="s">
        <v>5</v>
      </c>
      <c r="D3716" s="24">
        <v>0</v>
      </c>
      <c r="E3716" s="24" t="s">
        <v>795</v>
      </c>
      <c r="F3716" s="24"/>
      <c r="G3716" s="24"/>
    </row>
    <row r="3717" spans="1:7" x14ac:dyDescent="0.25">
      <c r="A3717" s="24" t="s">
        <v>429</v>
      </c>
      <c r="B3717" s="24" t="s">
        <v>32</v>
      </c>
      <c r="C3717" s="24" t="s">
        <v>33</v>
      </c>
      <c r="D3717" s="24">
        <v>0</v>
      </c>
      <c r="E3717" s="24" t="s">
        <v>796</v>
      </c>
      <c r="F3717" s="24" t="s">
        <v>1005</v>
      </c>
      <c r="G3717" s="24">
        <v>173573</v>
      </c>
    </row>
    <row r="3718" spans="1:7" x14ac:dyDescent="0.25">
      <c r="A3718" s="24" t="s">
        <v>429</v>
      </c>
      <c r="B3718" s="24" t="s">
        <v>34</v>
      </c>
      <c r="C3718" s="24" t="s">
        <v>31</v>
      </c>
      <c r="D3718" s="24">
        <v>0</v>
      </c>
      <c r="E3718" s="24" t="s">
        <v>796</v>
      </c>
      <c r="F3718" s="24" t="s">
        <v>1005</v>
      </c>
      <c r="G3718" s="24">
        <v>173573</v>
      </c>
    </row>
    <row r="3719" spans="1:7" x14ac:dyDescent="0.25">
      <c r="A3719" s="24" t="s">
        <v>429</v>
      </c>
      <c r="B3719" s="24" t="s">
        <v>40</v>
      </c>
      <c r="C3719" s="24" t="s">
        <v>31</v>
      </c>
      <c r="D3719" s="24">
        <v>0</v>
      </c>
      <c r="E3719" s="24" t="s">
        <v>796</v>
      </c>
      <c r="F3719" s="24" t="s">
        <v>1005</v>
      </c>
      <c r="G3719" s="24">
        <v>173573</v>
      </c>
    </row>
    <row r="3720" spans="1:7" x14ac:dyDescent="0.25">
      <c r="A3720" s="24" t="s">
        <v>429</v>
      </c>
      <c r="B3720" s="24" t="s">
        <v>41</v>
      </c>
      <c r="C3720" s="24" t="s">
        <v>31</v>
      </c>
      <c r="D3720" s="24">
        <v>0</v>
      </c>
      <c r="E3720" s="24" t="s">
        <v>796</v>
      </c>
      <c r="F3720" s="24" t="s">
        <v>1005</v>
      </c>
      <c r="G3720" s="24">
        <v>173573</v>
      </c>
    </row>
    <row r="3721" spans="1:7" x14ac:dyDescent="0.25">
      <c r="A3721" s="24" t="s">
        <v>429</v>
      </c>
      <c r="B3721" s="24" t="s">
        <v>42</v>
      </c>
      <c r="C3721" s="24" t="s">
        <v>43</v>
      </c>
      <c r="D3721" s="24">
        <v>0</v>
      </c>
      <c r="E3721" s="24" t="s">
        <v>796</v>
      </c>
      <c r="F3721" s="24" t="s">
        <v>1005</v>
      </c>
      <c r="G3721" s="24">
        <v>173573</v>
      </c>
    </row>
    <row r="3722" spans="1:7" x14ac:dyDescent="0.25">
      <c r="A3722" s="24" t="s">
        <v>429</v>
      </c>
      <c r="B3722" s="24" t="s">
        <v>44</v>
      </c>
      <c r="C3722" s="24" t="s">
        <v>31</v>
      </c>
      <c r="D3722" s="24">
        <v>0</v>
      </c>
      <c r="E3722" s="24" t="s">
        <v>796</v>
      </c>
      <c r="F3722" s="24" t="s">
        <v>1005</v>
      </c>
      <c r="G3722" s="24">
        <v>173573</v>
      </c>
    </row>
    <row r="3723" spans="1:7" x14ac:dyDescent="0.25">
      <c r="A3723" s="24" t="s">
        <v>429</v>
      </c>
      <c r="B3723" s="24" t="s">
        <v>45</v>
      </c>
      <c r="C3723" s="24" t="s">
        <v>31</v>
      </c>
      <c r="D3723" s="24">
        <v>0</v>
      </c>
      <c r="E3723" s="24" t="s">
        <v>796</v>
      </c>
      <c r="F3723" s="24" t="s">
        <v>1005</v>
      </c>
      <c r="G3723" s="24">
        <v>173573</v>
      </c>
    </row>
    <row r="3724" spans="1:7" x14ac:dyDescent="0.25">
      <c r="A3724" s="24" t="s">
        <v>429</v>
      </c>
      <c r="B3724" s="24" t="s">
        <v>46</v>
      </c>
      <c r="C3724" s="24" t="s">
        <v>36</v>
      </c>
      <c r="D3724" s="24">
        <v>0</v>
      </c>
      <c r="E3724" s="24" t="s">
        <v>796</v>
      </c>
      <c r="F3724" s="24" t="s">
        <v>1005</v>
      </c>
      <c r="G3724" s="24">
        <v>173573</v>
      </c>
    </row>
    <row r="3725" spans="1:7" x14ac:dyDescent="0.25">
      <c r="A3725" s="24" t="s">
        <v>429</v>
      </c>
      <c r="B3725" s="24" t="s">
        <v>47</v>
      </c>
      <c r="C3725" s="24" t="s">
        <v>48</v>
      </c>
      <c r="D3725" s="24">
        <v>0</v>
      </c>
      <c r="E3725" s="24" t="s">
        <v>796</v>
      </c>
      <c r="F3725" s="24" t="s">
        <v>1005</v>
      </c>
      <c r="G3725" s="24">
        <v>173573</v>
      </c>
    </row>
    <row r="3726" spans="1:7" x14ac:dyDescent="0.25">
      <c r="A3726" s="24" t="s">
        <v>429</v>
      </c>
      <c r="B3726" s="24" t="s">
        <v>49</v>
      </c>
      <c r="C3726" s="24" t="s">
        <v>31</v>
      </c>
      <c r="D3726" s="24">
        <v>0</v>
      </c>
      <c r="E3726" s="24" t="s">
        <v>796</v>
      </c>
      <c r="F3726" s="24" t="s">
        <v>1005</v>
      </c>
      <c r="G3726" s="24">
        <v>173573</v>
      </c>
    </row>
    <row r="3727" spans="1:7" x14ac:dyDescent="0.25">
      <c r="A3727" s="24" t="s">
        <v>429</v>
      </c>
      <c r="B3727" s="24" t="s">
        <v>50</v>
      </c>
      <c r="C3727" s="24" t="s">
        <v>31</v>
      </c>
      <c r="D3727" s="24">
        <v>0</v>
      </c>
      <c r="E3727" s="24" t="s">
        <v>796</v>
      </c>
      <c r="F3727" s="24" t="s">
        <v>1005</v>
      </c>
      <c r="G3727" s="24">
        <v>173573</v>
      </c>
    </row>
    <row r="3728" spans="1:7" x14ac:dyDescent="0.25">
      <c r="A3728" s="24" t="s">
        <v>429</v>
      </c>
      <c r="B3728" s="24" t="s">
        <v>51</v>
      </c>
      <c r="C3728" s="24" t="s">
        <v>31</v>
      </c>
      <c r="D3728" s="24">
        <v>0</v>
      </c>
      <c r="E3728" s="24" t="s">
        <v>796</v>
      </c>
      <c r="F3728" s="24" t="s">
        <v>1005</v>
      </c>
      <c r="G3728" s="24">
        <v>173573</v>
      </c>
    </row>
    <row r="3729" spans="1:7" x14ac:dyDescent="0.25">
      <c r="A3729" s="24" t="s">
        <v>429</v>
      </c>
      <c r="B3729" s="24" t="s">
        <v>52</v>
      </c>
      <c r="C3729" s="24" t="s">
        <v>31</v>
      </c>
      <c r="D3729" s="24">
        <v>0</v>
      </c>
      <c r="E3729" s="24" t="s">
        <v>796</v>
      </c>
      <c r="F3729" s="24" t="s">
        <v>1005</v>
      </c>
      <c r="G3729" s="24">
        <v>173573</v>
      </c>
    </row>
    <row r="3730" spans="1:7" x14ac:dyDescent="0.25">
      <c r="A3730" s="24" t="s">
        <v>429</v>
      </c>
      <c r="B3730" s="24" t="s">
        <v>53</v>
      </c>
      <c r="C3730" s="24" t="s">
        <v>31</v>
      </c>
      <c r="D3730" s="24">
        <v>0</v>
      </c>
      <c r="E3730" s="24" t="s">
        <v>796</v>
      </c>
      <c r="F3730" s="24" t="s">
        <v>1005</v>
      </c>
      <c r="G3730" s="24">
        <v>173573</v>
      </c>
    </row>
    <row r="3731" spans="1:7" x14ac:dyDescent="0.25">
      <c r="A3731" s="24" t="s">
        <v>429</v>
      </c>
      <c r="B3731" s="24" t="s">
        <v>54</v>
      </c>
      <c r="C3731" s="24" t="s">
        <v>31</v>
      </c>
      <c r="D3731" s="24">
        <v>0</v>
      </c>
      <c r="E3731" s="24" t="s">
        <v>796</v>
      </c>
      <c r="F3731" s="24" t="s">
        <v>1005</v>
      </c>
      <c r="G3731" s="24">
        <v>173573</v>
      </c>
    </row>
    <row r="3732" spans="1:7" x14ac:dyDescent="0.25">
      <c r="A3732" s="24" t="s">
        <v>429</v>
      </c>
      <c r="B3732" s="24" t="s">
        <v>55</v>
      </c>
      <c r="C3732" s="24" t="s">
        <v>31</v>
      </c>
      <c r="D3732" s="24">
        <v>0</v>
      </c>
      <c r="E3732" s="24" t="s">
        <v>796</v>
      </c>
      <c r="F3732" s="24" t="s">
        <v>1005</v>
      </c>
      <c r="G3732" s="24">
        <v>173573</v>
      </c>
    </row>
    <row r="3733" spans="1:7" x14ac:dyDescent="0.25">
      <c r="A3733" s="24" t="s">
        <v>429</v>
      </c>
      <c r="B3733" s="24" t="s">
        <v>56</v>
      </c>
      <c r="C3733" s="24" t="s">
        <v>31</v>
      </c>
      <c r="D3733" s="24">
        <v>0</v>
      </c>
      <c r="E3733" s="24" t="s">
        <v>796</v>
      </c>
      <c r="F3733" s="24" t="s">
        <v>1005</v>
      </c>
      <c r="G3733" s="24">
        <v>173573</v>
      </c>
    </row>
    <row r="3734" spans="1:7" x14ac:dyDescent="0.25">
      <c r="A3734" s="24" t="s">
        <v>429</v>
      </c>
      <c r="B3734" s="24" t="s">
        <v>57</v>
      </c>
      <c r="C3734" s="24" t="s">
        <v>36</v>
      </c>
      <c r="D3734" s="24">
        <v>0</v>
      </c>
      <c r="E3734" s="24" t="s">
        <v>796</v>
      </c>
      <c r="F3734" s="24" t="s">
        <v>1005</v>
      </c>
      <c r="G3734" s="24">
        <v>173573</v>
      </c>
    </row>
    <row r="3735" spans="1:7" x14ac:dyDescent="0.25">
      <c r="A3735" s="24" t="s">
        <v>429</v>
      </c>
      <c r="B3735" s="24" t="s">
        <v>58</v>
      </c>
      <c r="C3735" s="24" t="s">
        <v>5</v>
      </c>
      <c r="D3735" s="24">
        <v>0</v>
      </c>
      <c r="E3735" s="24" t="s">
        <v>795</v>
      </c>
      <c r="F3735" s="24"/>
      <c r="G3735" s="24"/>
    </row>
    <row r="3736" spans="1:7" x14ac:dyDescent="0.25">
      <c r="A3736" s="24" t="s">
        <v>430</v>
      </c>
      <c r="B3736" s="24" t="s">
        <v>29</v>
      </c>
      <c r="C3736" s="24" t="s">
        <v>5</v>
      </c>
      <c r="D3736" s="24">
        <v>0.57999999999999996</v>
      </c>
      <c r="E3736" s="24" t="s">
        <v>799</v>
      </c>
      <c r="F3736" s="24" t="s">
        <v>1006</v>
      </c>
      <c r="G3736" s="24">
        <v>171257</v>
      </c>
    </row>
    <row r="3737" spans="1:7" x14ac:dyDescent="0.25">
      <c r="A3737" s="24" t="s">
        <v>430</v>
      </c>
      <c r="B3737" s="24" t="s">
        <v>45</v>
      </c>
      <c r="C3737" s="24" t="s">
        <v>31</v>
      </c>
      <c r="D3737" s="24">
        <v>0.5</v>
      </c>
      <c r="E3737" s="24" t="s">
        <v>796</v>
      </c>
      <c r="F3737" s="24" t="s">
        <v>1006</v>
      </c>
      <c r="G3737" s="24">
        <v>171257</v>
      </c>
    </row>
    <row r="3738" spans="1:7" x14ac:dyDescent="0.25">
      <c r="A3738" s="24" t="s">
        <v>430</v>
      </c>
      <c r="B3738" s="24" t="s">
        <v>58</v>
      </c>
      <c r="C3738" s="24" t="s">
        <v>5</v>
      </c>
      <c r="D3738" s="24">
        <v>0</v>
      </c>
      <c r="E3738" s="24" t="s">
        <v>795</v>
      </c>
      <c r="F3738" s="24"/>
      <c r="G3738" s="24"/>
    </row>
    <row r="3739" spans="1:7" x14ac:dyDescent="0.25">
      <c r="A3739" s="24" t="s">
        <v>431</v>
      </c>
      <c r="B3739" s="24" t="s">
        <v>23</v>
      </c>
      <c r="C3739" s="24" t="s">
        <v>5</v>
      </c>
      <c r="D3739" s="24">
        <v>2.8</v>
      </c>
      <c r="E3739" s="24" t="s">
        <v>796</v>
      </c>
      <c r="F3739" s="24" t="s">
        <v>1007</v>
      </c>
      <c r="G3739" s="24">
        <v>170860</v>
      </c>
    </row>
    <row r="3740" spans="1:7" x14ac:dyDescent="0.25">
      <c r="A3740" s="24" t="s">
        <v>431</v>
      </c>
      <c r="B3740" s="24" t="s">
        <v>35</v>
      </c>
      <c r="C3740" s="24" t="s">
        <v>36</v>
      </c>
      <c r="D3740" s="24">
        <v>1</v>
      </c>
      <c r="E3740" s="24" t="s">
        <v>796</v>
      </c>
      <c r="F3740" s="24" t="s">
        <v>1007</v>
      </c>
      <c r="G3740" s="24">
        <v>170860</v>
      </c>
    </row>
    <row r="3741" spans="1:7" x14ac:dyDescent="0.25">
      <c r="A3741" s="24" t="s">
        <v>431</v>
      </c>
      <c r="B3741" s="24" t="s">
        <v>39</v>
      </c>
      <c r="C3741" s="24" t="s">
        <v>36</v>
      </c>
      <c r="D3741" s="24">
        <v>4.9000000000000004</v>
      </c>
      <c r="E3741" s="24" t="s">
        <v>796</v>
      </c>
      <c r="F3741" s="24" t="s">
        <v>1007</v>
      </c>
      <c r="G3741" s="24">
        <v>170860</v>
      </c>
    </row>
    <row r="3742" spans="1:7" x14ac:dyDescent="0.25">
      <c r="A3742" s="24" t="s">
        <v>431</v>
      </c>
      <c r="B3742" s="24" t="s">
        <v>58</v>
      </c>
      <c r="C3742" s="24" t="s">
        <v>5</v>
      </c>
      <c r="D3742" s="24">
        <v>0</v>
      </c>
      <c r="E3742" s="24" t="s">
        <v>795</v>
      </c>
      <c r="F3742" s="24"/>
      <c r="G3742" s="24"/>
    </row>
    <row r="3743" spans="1:7" x14ac:dyDescent="0.25">
      <c r="A3743" s="24" t="s">
        <v>432</v>
      </c>
      <c r="B3743" s="24" t="s">
        <v>23</v>
      </c>
      <c r="C3743" s="24" t="s">
        <v>5</v>
      </c>
      <c r="D3743" s="24">
        <v>3.7</v>
      </c>
      <c r="E3743" s="24" t="s">
        <v>796</v>
      </c>
      <c r="F3743" s="24" t="s">
        <v>1008</v>
      </c>
      <c r="G3743" s="24">
        <v>170857</v>
      </c>
    </row>
    <row r="3744" spans="1:7" x14ac:dyDescent="0.25">
      <c r="A3744" s="24" t="s">
        <v>432</v>
      </c>
      <c r="B3744" s="24" t="s">
        <v>29</v>
      </c>
      <c r="C3744" s="24" t="s">
        <v>5</v>
      </c>
      <c r="D3744" s="24">
        <v>0.6</v>
      </c>
      <c r="E3744" s="24" t="s">
        <v>799</v>
      </c>
      <c r="F3744" s="24" t="s">
        <v>1008</v>
      </c>
      <c r="G3744" s="24">
        <v>170857</v>
      </c>
    </row>
    <row r="3745" spans="1:7" x14ac:dyDescent="0.25">
      <c r="A3745" s="24" t="s">
        <v>432</v>
      </c>
      <c r="B3745" s="24" t="s">
        <v>32</v>
      </c>
      <c r="C3745" s="24" t="s">
        <v>33</v>
      </c>
      <c r="D3745" s="24">
        <v>120.2</v>
      </c>
      <c r="E3745" s="24" t="s">
        <v>796</v>
      </c>
      <c r="F3745" s="24" t="s">
        <v>1008</v>
      </c>
      <c r="G3745" s="24">
        <v>170857</v>
      </c>
    </row>
    <row r="3746" spans="1:7" x14ac:dyDescent="0.25">
      <c r="A3746" s="24" t="s">
        <v>432</v>
      </c>
      <c r="B3746" s="24" t="s">
        <v>35</v>
      </c>
      <c r="C3746" s="24" t="s">
        <v>36</v>
      </c>
      <c r="D3746" s="24">
        <v>1.1000000000000001</v>
      </c>
      <c r="E3746" s="24" t="s">
        <v>796</v>
      </c>
      <c r="F3746" s="24" t="s">
        <v>1008</v>
      </c>
      <c r="G3746" s="24">
        <v>170857</v>
      </c>
    </row>
    <row r="3747" spans="1:7" x14ac:dyDescent="0.25">
      <c r="A3747" s="24" t="s">
        <v>432</v>
      </c>
      <c r="B3747" s="24" t="s">
        <v>39</v>
      </c>
      <c r="C3747" s="24" t="s">
        <v>36</v>
      </c>
      <c r="D3747" s="24">
        <v>1.7</v>
      </c>
      <c r="E3747" s="24" t="s">
        <v>796</v>
      </c>
      <c r="F3747" s="24" t="s">
        <v>1008</v>
      </c>
      <c r="G3747" s="24">
        <v>170857</v>
      </c>
    </row>
    <row r="3748" spans="1:7" x14ac:dyDescent="0.25">
      <c r="A3748" s="24" t="s">
        <v>432</v>
      </c>
      <c r="B3748" s="24" t="s">
        <v>58</v>
      </c>
      <c r="C3748" s="24" t="s">
        <v>5</v>
      </c>
      <c r="D3748" s="24">
        <v>0</v>
      </c>
      <c r="E3748" s="24" t="s">
        <v>795</v>
      </c>
      <c r="F3748" s="24"/>
      <c r="G3748" s="24"/>
    </row>
    <row r="3749" spans="1:7" x14ac:dyDescent="0.25">
      <c r="A3749" s="24" t="s">
        <v>433</v>
      </c>
      <c r="B3749" s="24" t="s">
        <v>58</v>
      </c>
      <c r="C3749" s="24" t="s">
        <v>5</v>
      </c>
      <c r="D3749" s="24">
        <v>0</v>
      </c>
      <c r="E3749" s="24" t="s">
        <v>795</v>
      </c>
      <c r="F3749" s="24"/>
      <c r="G3749" s="24"/>
    </row>
    <row r="3750" spans="1:7" x14ac:dyDescent="0.25">
      <c r="A3750" s="24" t="s">
        <v>434</v>
      </c>
      <c r="B3750" s="24" t="s">
        <v>23</v>
      </c>
      <c r="C3750" s="24" t="s">
        <v>5</v>
      </c>
      <c r="D3750" s="24">
        <v>0</v>
      </c>
      <c r="E3750" s="24" t="s">
        <v>801</v>
      </c>
      <c r="F3750" s="24" t="s">
        <v>1009</v>
      </c>
      <c r="G3750" s="24">
        <v>171011</v>
      </c>
    </row>
    <row r="3751" spans="1:7" x14ac:dyDescent="0.25">
      <c r="A3751" s="24" t="s">
        <v>434</v>
      </c>
      <c r="B3751" s="24" t="s">
        <v>35</v>
      </c>
      <c r="C3751" s="24" t="s">
        <v>36</v>
      </c>
      <c r="D3751" s="24">
        <v>0</v>
      </c>
      <c r="E3751" s="24" t="s">
        <v>801</v>
      </c>
      <c r="F3751" s="24" t="s">
        <v>1009</v>
      </c>
      <c r="G3751" s="24">
        <v>171011</v>
      </c>
    </row>
    <row r="3752" spans="1:7" x14ac:dyDescent="0.25">
      <c r="A3752" s="24" t="s">
        <v>434</v>
      </c>
      <c r="B3752" s="24" t="s">
        <v>39</v>
      </c>
      <c r="C3752" s="24" t="s">
        <v>36</v>
      </c>
      <c r="D3752" s="24">
        <v>43</v>
      </c>
      <c r="E3752" s="24" t="s">
        <v>801</v>
      </c>
      <c r="F3752" s="24" t="s">
        <v>1009</v>
      </c>
      <c r="G3752" s="24">
        <v>171011</v>
      </c>
    </row>
    <row r="3753" spans="1:7" x14ac:dyDescent="0.25">
      <c r="A3753" s="24" t="s">
        <v>434</v>
      </c>
      <c r="B3753" s="24" t="s">
        <v>58</v>
      </c>
      <c r="C3753" s="24" t="s">
        <v>5</v>
      </c>
      <c r="D3753" s="24">
        <v>0</v>
      </c>
      <c r="E3753" s="24" t="s">
        <v>795</v>
      </c>
      <c r="F3753" s="24"/>
      <c r="G3753" s="24"/>
    </row>
    <row r="3754" spans="1:7" x14ac:dyDescent="0.25">
      <c r="A3754" s="24" t="s">
        <v>435</v>
      </c>
      <c r="B3754" s="24" t="s">
        <v>58</v>
      </c>
      <c r="C3754" s="24" t="s">
        <v>5</v>
      </c>
      <c r="D3754" s="24">
        <v>0</v>
      </c>
      <c r="E3754" s="24" t="s">
        <v>795</v>
      </c>
      <c r="F3754" s="24"/>
      <c r="G3754" s="24"/>
    </row>
    <row r="3755" spans="1:7" x14ac:dyDescent="0.25">
      <c r="A3755" s="24" t="s">
        <v>436</v>
      </c>
      <c r="B3755" s="24" t="s">
        <v>23</v>
      </c>
      <c r="C3755" s="24" t="s">
        <v>5</v>
      </c>
      <c r="D3755" s="24">
        <v>0</v>
      </c>
      <c r="E3755" s="24" t="s">
        <v>796</v>
      </c>
      <c r="F3755" s="24" t="s">
        <v>1010</v>
      </c>
      <c r="G3755" s="24">
        <v>173410</v>
      </c>
    </row>
    <row r="3756" spans="1:7" x14ac:dyDescent="0.25">
      <c r="A3756" s="24" t="s">
        <v>436</v>
      </c>
      <c r="B3756" s="24" t="s">
        <v>32</v>
      </c>
      <c r="C3756" s="24" t="s">
        <v>33</v>
      </c>
      <c r="D3756" s="24">
        <v>691.1</v>
      </c>
      <c r="E3756" s="24" t="s">
        <v>796</v>
      </c>
      <c r="F3756" s="24" t="s">
        <v>1010</v>
      </c>
      <c r="G3756" s="24">
        <v>173410</v>
      </c>
    </row>
    <row r="3757" spans="1:7" x14ac:dyDescent="0.25">
      <c r="A3757" s="24" t="s">
        <v>436</v>
      </c>
      <c r="B3757" s="24" t="s">
        <v>34</v>
      </c>
      <c r="C3757" s="24" t="s">
        <v>31</v>
      </c>
      <c r="D3757" s="24">
        <v>0</v>
      </c>
      <c r="E3757" s="24" t="s">
        <v>796</v>
      </c>
      <c r="F3757" s="24" t="s">
        <v>1010</v>
      </c>
      <c r="G3757" s="24">
        <v>173410</v>
      </c>
    </row>
    <row r="3758" spans="1:7" x14ac:dyDescent="0.25">
      <c r="A3758" s="24" t="s">
        <v>436</v>
      </c>
      <c r="B3758" s="24" t="s">
        <v>35</v>
      </c>
      <c r="C3758" s="24" t="s">
        <v>36</v>
      </c>
      <c r="D3758" s="24">
        <v>0</v>
      </c>
      <c r="E3758" s="24" t="s">
        <v>796</v>
      </c>
      <c r="F3758" s="24" t="s">
        <v>1010</v>
      </c>
      <c r="G3758" s="24">
        <v>173410</v>
      </c>
    </row>
    <row r="3759" spans="1:7" x14ac:dyDescent="0.25">
      <c r="A3759" s="24" t="s">
        <v>436</v>
      </c>
      <c r="B3759" s="24" t="s">
        <v>37</v>
      </c>
      <c r="C3759" s="24" t="s">
        <v>38</v>
      </c>
      <c r="D3759" s="24">
        <v>2.2999999999999998</v>
      </c>
      <c r="E3759" s="24" t="s">
        <v>796</v>
      </c>
      <c r="F3759" s="24" t="s">
        <v>1010</v>
      </c>
      <c r="G3759" s="24">
        <v>173410</v>
      </c>
    </row>
    <row r="3760" spans="1:7" x14ac:dyDescent="0.25">
      <c r="A3760" s="24" t="s">
        <v>436</v>
      </c>
      <c r="B3760" s="24" t="s">
        <v>39</v>
      </c>
      <c r="C3760" s="24" t="s">
        <v>36</v>
      </c>
      <c r="D3760" s="24">
        <v>7.1</v>
      </c>
      <c r="E3760" s="24" t="s">
        <v>796</v>
      </c>
      <c r="F3760" s="24" t="s">
        <v>1010</v>
      </c>
      <c r="G3760" s="24">
        <v>173410</v>
      </c>
    </row>
    <row r="3761" spans="1:7" x14ac:dyDescent="0.25">
      <c r="A3761" s="24" t="s">
        <v>436</v>
      </c>
      <c r="B3761" s="24" t="s">
        <v>40</v>
      </c>
      <c r="C3761" s="24" t="s">
        <v>31</v>
      </c>
      <c r="D3761" s="24">
        <v>0</v>
      </c>
      <c r="E3761" s="24" t="s">
        <v>796</v>
      </c>
      <c r="F3761" s="24" t="s">
        <v>1010</v>
      </c>
      <c r="G3761" s="24">
        <v>173410</v>
      </c>
    </row>
    <row r="3762" spans="1:7" x14ac:dyDescent="0.25">
      <c r="A3762" s="24" t="s">
        <v>436</v>
      </c>
      <c r="B3762" s="24" t="s">
        <v>41</v>
      </c>
      <c r="C3762" s="24" t="s">
        <v>31</v>
      </c>
      <c r="D3762" s="24">
        <v>0</v>
      </c>
      <c r="E3762" s="24" t="s">
        <v>796</v>
      </c>
      <c r="F3762" s="24" t="s">
        <v>1010</v>
      </c>
      <c r="G3762" s="24">
        <v>173410</v>
      </c>
    </row>
    <row r="3763" spans="1:7" x14ac:dyDescent="0.25">
      <c r="A3763" s="24" t="s">
        <v>436</v>
      </c>
      <c r="B3763" s="24" t="s">
        <v>42</v>
      </c>
      <c r="C3763" s="24" t="s">
        <v>43</v>
      </c>
      <c r="D3763" s="24">
        <v>0</v>
      </c>
      <c r="E3763" s="24" t="s">
        <v>796</v>
      </c>
      <c r="F3763" s="24" t="s">
        <v>1010</v>
      </c>
      <c r="G3763" s="24">
        <v>173410</v>
      </c>
    </row>
    <row r="3764" spans="1:7" x14ac:dyDescent="0.25">
      <c r="A3764" s="24" t="s">
        <v>436</v>
      </c>
      <c r="B3764" s="24" t="s">
        <v>44</v>
      </c>
      <c r="C3764" s="24" t="s">
        <v>31</v>
      </c>
      <c r="D3764" s="24">
        <v>0</v>
      </c>
      <c r="E3764" s="24" t="s">
        <v>796</v>
      </c>
      <c r="F3764" s="24" t="s">
        <v>1010</v>
      </c>
      <c r="G3764" s="24">
        <v>173410</v>
      </c>
    </row>
    <row r="3765" spans="1:7" x14ac:dyDescent="0.25">
      <c r="A3765" s="24" t="s">
        <v>436</v>
      </c>
      <c r="B3765" s="24" t="s">
        <v>45</v>
      </c>
      <c r="C3765" s="24" t="s">
        <v>31</v>
      </c>
      <c r="D3765" s="24">
        <v>0.1</v>
      </c>
      <c r="E3765" s="24" t="s">
        <v>796</v>
      </c>
      <c r="F3765" s="24" t="s">
        <v>1010</v>
      </c>
      <c r="G3765" s="24">
        <v>173410</v>
      </c>
    </row>
    <row r="3766" spans="1:7" x14ac:dyDescent="0.25">
      <c r="A3766" s="24" t="s">
        <v>436</v>
      </c>
      <c r="B3766" s="24" t="s">
        <v>46</v>
      </c>
      <c r="C3766" s="24" t="s">
        <v>36</v>
      </c>
      <c r="D3766" s="24">
        <v>0.2</v>
      </c>
      <c r="E3766" s="24" t="s">
        <v>796</v>
      </c>
      <c r="F3766" s="24" t="s">
        <v>1010</v>
      </c>
      <c r="G3766" s="24">
        <v>173410</v>
      </c>
    </row>
    <row r="3767" spans="1:7" x14ac:dyDescent="0.25">
      <c r="A3767" s="24" t="s">
        <v>436</v>
      </c>
      <c r="B3767" s="24" t="s">
        <v>47</v>
      </c>
      <c r="C3767" s="24" t="s">
        <v>48</v>
      </c>
      <c r="D3767" s="24">
        <v>3</v>
      </c>
      <c r="E3767" s="24" t="s">
        <v>796</v>
      </c>
      <c r="F3767" s="24" t="s">
        <v>1010</v>
      </c>
      <c r="G3767" s="24">
        <v>173410</v>
      </c>
    </row>
    <row r="3768" spans="1:7" x14ac:dyDescent="0.25">
      <c r="A3768" s="24" t="s">
        <v>436</v>
      </c>
      <c r="B3768" s="24" t="s">
        <v>50</v>
      </c>
      <c r="C3768" s="24" t="s">
        <v>31</v>
      </c>
      <c r="D3768" s="24">
        <v>24.2</v>
      </c>
      <c r="E3768" s="24" t="s">
        <v>796</v>
      </c>
      <c r="F3768" s="24" t="s">
        <v>1010</v>
      </c>
      <c r="G3768" s="24">
        <v>173410</v>
      </c>
    </row>
    <row r="3769" spans="1:7" x14ac:dyDescent="0.25">
      <c r="A3769" s="24" t="s">
        <v>436</v>
      </c>
      <c r="B3769" s="24" t="s">
        <v>52</v>
      </c>
      <c r="C3769" s="24" t="s">
        <v>31</v>
      </c>
      <c r="D3769" s="24">
        <v>24.2</v>
      </c>
      <c r="E3769" s="24" t="s">
        <v>796</v>
      </c>
      <c r="F3769" s="24" t="s">
        <v>1010</v>
      </c>
      <c r="G3769" s="24">
        <v>173410</v>
      </c>
    </row>
    <row r="3770" spans="1:7" x14ac:dyDescent="0.25">
      <c r="A3770" s="24" t="s">
        <v>436</v>
      </c>
      <c r="B3770" s="24" t="s">
        <v>53</v>
      </c>
      <c r="C3770" s="24" t="s">
        <v>31</v>
      </c>
      <c r="D3770" s="24">
        <v>2</v>
      </c>
      <c r="E3770" s="24" t="s">
        <v>796</v>
      </c>
      <c r="F3770" s="24" t="s">
        <v>1010</v>
      </c>
      <c r="G3770" s="24">
        <v>173410</v>
      </c>
    </row>
    <row r="3771" spans="1:7" x14ac:dyDescent="0.25">
      <c r="A3771" s="24" t="s">
        <v>436</v>
      </c>
      <c r="B3771" s="24" t="s">
        <v>54</v>
      </c>
      <c r="C3771" s="24" t="s">
        <v>31</v>
      </c>
      <c r="D3771" s="24">
        <v>0</v>
      </c>
      <c r="E3771" s="24" t="s">
        <v>796</v>
      </c>
      <c r="F3771" s="24" t="s">
        <v>1010</v>
      </c>
      <c r="G3771" s="24">
        <v>173410</v>
      </c>
    </row>
    <row r="3772" spans="1:7" x14ac:dyDescent="0.25">
      <c r="A3772" s="24" t="s">
        <v>436</v>
      </c>
      <c r="B3772" s="24" t="s">
        <v>55</v>
      </c>
      <c r="C3772" s="24" t="s">
        <v>31</v>
      </c>
      <c r="D3772" s="24">
        <v>0.1</v>
      </c>
      <c r="E3772" s="24" t="s">
        <v>796</v>
      </c>
      <c r="F3772" s="24" t="s">
        <v>1010</v>
      </c>
      <c r="G3772" s="24">
        <v>173410</v>
      </c>
    </row>
    <row r="3773" spans="1:7" x14ac:dyDescent="0.25">
      <c r="A3773" s="24" t="s">
        <v>436</v>
      </c>
      <c r="B3773" s="24" t="s">
        <v>56</v>
      </c>
      <c r="C3773" s="24" t="s">
        <v>31</v>
      </c>
      <c r="D3773" s="24">
        <v>0</v>
      </c>
      <c r="E3773" s="24" t="s">
        <v>796</v>
      </c>
      <c r="F3773" s="24" t="s">
        <v>1010</v>
      </c>
      <c r="G3773" s="24">
        <v>173410</v>
      </c>
    </row>
    <row r="3774" spans="1:7" x14ac:dyDescent="0.25">
      <c r="A3774" s="24" t="s">
        <v>436</v>
      </c>
      <c r="B3774" s="24" t="s">
        <v>57</v>
      </c>
      <c r="C3774" s="24" t="s">
        <v>36</v>
      </c>
      <c r="D3774" s="24">
        <v>1</v>
      </c>
      <c r="E3774" s="24" t="s">
        <v>796</v>
      </c>
      <c r="F3774" s="24" t="s">
        <v>1010</v>
      </c>
      <c r="G3774" s="24">
        <v>173410</v>
      </c>
    </row>
    <row r="3775" spans="1:7" x14ac:dyDescent="0.25">
      <c r="A3775" s="24" t="s">
        <v>436</v>
      </c>
      <c r="B3775" s="24" t="s">
        <v>58</v>
      </c>
      <c r="C3775" s="24" t="s">
        <v>5</v>
      </c>
      <c r="D3775" s="24">
        <v>0</v>
      </c>
      <c r="E3775" s="24" t="s">
        <v>795</v>
      </c>
      <c r="F3775" s="24"/>
      <c r="G3775" s="24"/>
    </row>
    <row r="3776" spans="1:7" x14ac:dyDescent="0.25">
      <c r="A3776" s="24" t="s">
        <v>437</v>
      </c>
      <c r="B3776" s="24" t="s">
        <v>29</v>
      </c>
      <c r="C3776" s="24" t="s">
        <v>5</v>
      </c>
      <c r="D3776" s="24">
        <v>14.89</v>
      </c>
      <c r="E3776" s="24" t="s">
        <v>799</v>
      </c>
      <c r="F3776" s="24" t="s">
        <v>1011</v>
      </c>
      <c r="G3776" s="24">
        <v>172346</v>
      </c>
    </row>
    <row r="3777" spans="1:7" x14ac:dyDescent="0.25">
      <c r="A3777" s="24" t="s">
        <v>437</v>
      </c>
      <c r="B3777" s="24" t="s">
        <v>58</v>
      </c>
      <c r="C3777" s="24" t="s">
        <v>5</v>
      </c>
      <c r="D3777" s="24">
        <v>0</v>
      </c>
      <c r="E3777" s="24" t="s">
        <v>795</v>
      </c>
      <c r="F3777" s="24"/>
      <c r="G3777" s="24"/>
    </row>
    <row r="3778" spans="1:7" x14ac:dyDescent="0.25">
      <c r="A3778" s="24" t="s">
        <v>438</v>
      </c>
      <c r="B3778" s="24" t="s">
        <v>23</v>
      </c>
      <c r="C3778" s="24" t="s">
        <v>5</v>
      </c>
      <c r="D3778" s="24">
        <v>0</v>
      </c>
      <c r="E3778" s="24" t="s">
        <v>796</v>
      </c>
      <c r="F3778" s="24" t="s">
        <v>1011</v>
      </c>
      <c r="G3778" s="24">
        <v>172346</v>
      </c>
    </row>
    <row r="3779" spans="1:7" x14ac:dyDescent="0.25">
      <c r="A3779" s="24" t="s">
        <v>438</v>
      </c>
      <c r="B3779" s="24" t="s">
        <v>32</v>
      </c>
      <c r="C3779" s="24" t="s">
        <v>33</v>
      </c>
      <c r="D3779" s="24">
        <v>785.8</v>
      </c>
      <c r="E3779" s="24" t="s">
        <v>796</v>
      </c>
      <c r="F3779" s="24" t="s">
        <v>1011</v>
      </c>
      <c r="G3779" s="24">
        <v>172346</v>
      </c>
    </row>
    <row r="3780" spans="1:7" x14ac:dyDescent="0.25">
      <c r="A3780" s="24" t="s">
        <v>438</v>
      </c>
      <c r="B3780" s="24" t="s">
        <v>34</v>
      </c>
      <c r="C3780" s="24" t="s">
        <v>31</v>
      </c>
      <c r="D3780" s="24">
        <v>0.2</v>
      </c>
      <c r="E3780" s="24" t="s">
        <v>796</v>
      </c>
      <c r="F3780" s="24" t="s">
        <v>1011</v>
      </c>
      <c r="G3780" s="24">
        <v>172346</v>
      </c>
    </row>
    <row r="3781" spans="1:7" x14ac:dyDescent="0.25">
      <c r="A3781" s="24" t="s">
        <v>438</v>
      </c>
      <c r="B3781" s="24" t="s">
        <v>35</v>
      </c>
      <c r="C3781" s="24" t="s">
        <v>36</v>
      </c>
      <c r="D3781" s="24">
        <v>0</v>
      </c>
      <c r="E3781" s="24" t="s">
        <v>796</v>
      </c>
      <c r="F3781" s="24" t="s">
        <v>1011</v>
      </c>
      <c r="G3781" s="24">
        <v>172346</v>
      </c>
    </row>
    <row r="3782" spans="1:7" x14ac:dyDescent="0.25">
      <c r="A3782" s="24" t="s">
        <v>438</v>
      </c>
      <c r="B3782" s="24" t="s">
        <v>37</v>
      </c>
      <c r="C3782" s="24" t="s">
        <v>38</v>
      </c>
      <c r="D3782" s="24">
        <v>8.6</v>
      </c>
      <c r="E3782" s="24" t="s">
        <v>796</v>
      </c>
      <c r="F3782" s="24" t="s">
        <v>1011</v>
      </c>
      <c r="G3782" s="24">
        <v>172346</v>
      </c>
    </row>
    <row r="3783" spans="1:7" x14ac:dyDescent="0.25">
      <c r="A3783" s="24" t="s">
        <v>438</v>
      </c>
      <c r="B3783" s="24" t="s">
        <v>39</v>
      </c>
      <c r="C3783" s="24" t="s">
        <v>36</v>
      </c>
      <c r="D3783" s="24">
        <v>89.2</v>
      </c>
      <c r="E3783" s="24" t="s">
        <v>796</v>
      </c>
      <c r="F3783" s="24" t="s">
        <v>1011</v>
      </c>
      <c r="G3783" s="24">
        <v>172346</v>
      </c>
    </row>
    <row r="3784" spans="1:7" x14ac:dyDescent="0.25">
      <c r="A3784" s="24" t="s">
        <v>438</v>
      </c>
      <c r="B3784" s="24" t="s">
        <v>40</v>
      </c>
      <c r="C3784" s="24" t="s">
        <v>31</v>
      </c>
      <c r="D3784" s="24">
        <v>0</v>
      </c>
      <c r="E3784" s="24" t="s">
        <v>796</v>
      </c>
      <c r="F3784" s="24" t="s">
        <v>1011</v>
      </c>
      <c r="G3784" s="24">
        <v>172346</v>
      </c>
    </row>
    <row r="3785" spans="1:7" x14ac:dyDescent="0.25">
      <c r="A3785" s="24" t="s">
        <v>438</v>
      </c>
      <c r="B3785" s="24" t="s">
        <v>41</v>
      </c>
      <c r="C3785" s="24" t="s">
        <v>31</v>
      </c>
      <c r="D3785" s="24">
        <v>0</v>
      </c>
      <c r="E3785" s="24" t="s">
        <v>796</v>
      </c>
      <c r="F3785" s="24" t="s">
        <v>1011</v>
      </c>
      <c r="G3785" s="24">
        <v>172346</v>
      </c>
    </row>
    <row r="3786" spans="1:7" x14ac:dyDescent="0.25">
      <c r="A3786" s="24" t="s">
        <v>438</v>
      </c>
      <c r="B3786" s="24" t="s">
        <v>42</v>
      </c>
      <c r="C3786" s="24" t="s">
        <v>43</v>
      </c>
      <c r="D3786" s="24">
        <v>0</v>
      </c>
      <c r="E3786" s="24" t="s">
        <v>796</v>
      </c>
      <c r="F3786" s="24" t="s">
        <v>1011</v>
      </c>
      <c r="G3786" s="24">
        <v>172346</v>
      </c>
    </row>
    <row r="3787" spans="1:7" x14ac:dyDescent="0.25">
      <c r="A3787" s="24" t="s">
        <v>438</v>
      </c>
      <c r="B3787" s="24" t="s">
        <v>44</v>
      </c>
      <c r="C3787" s="24" t="s">
        <v>31</v>
      </c>
      <c r="D3787" s="24">
        <v>0</v>
      </c>
      <c r="E3787" s="24" t="s">
        <v>796</v>
      </c>
      <c r="F3787" s="24" t="s">
        <v>1011</v>
      </c>
      <c r="G3787" s="24">
        <v>172346</v>
      </c>
    </row>
    <row r="3788" spans="1:7" x14ac:dyDescent="0.25">
      <c r="A3788" s="24" t="s">
        <v>438</v>
      </c>
      <c r="B3788" s="24" t="s">
        <v>45</v>
      </c>
      <c r="C3788" s="24" t="s">
        <v>31</v>
      </c>
      <c r="D3788" s="24">
        <v>0</v>
      </c>
      <c r="E3788" s="24" t="s">
        <v>796</v>
      </c>
      <c r="F3788" s="24" t="s">
        <v>1011</v>
      </c>
      <c r="G3788" s="24">
        <v>172346</v>
      </c>
    </row>
    <row r="3789" spans="1:7" x14ac:dyDescent="0.25">
      <c r="A3789" s="24" t="s">
        <v>438</v>
      </c>
      <c r="B3789" s="24" t="s">
        <v>46</v>
      </c>
      <c r="C3789" s="24" t="s">
        <v>36</v>
      </c>
      <c r="D3789" s="24">
        <v>0.1</v>
      </c>
      <c r="E3789" s="24" t="s">
        <v>796</v>
      </c>
      <c r="F3789" s="24" t="s">
        <v>1011</v>
      </c>
      <c r="G3789" s="24">
        <v>172346</v>
      </c>
    </row>
    <row r="3790" spans="1:7" x14ac:dyDescent="0.25">
      <c r="A3790" s="24" t="s">
        <v>438</v>
      </c>
      <c r="B3790" s="24" t="s">
        <v>47</v>
      </c>
      <c r="C3790" s="24" t="s">
        <v>48</v>
      </c>
      <c r="D3790" s="24">
        <v>1</v>
      </c>
      <c r="E3790" s="24" t="s">
        <v>796</v>
      </c>
      <c r="F3790" s="24" t="s">
        <v>1011</v>
      </c>
      <c r="G3790" s="24">
        <v>172346</v>
      </c>
    </row>
    <row r="3791" spans="1:7" x14ac:dyDescent="0.25">
      <c r="A3791" s="24" t="s">
        <v>438</v>
      </c>
      <c r="B3791" s="24" t="s">
        <v>50</v>
      </c>
      <c r="C3791" s="24" t="s">
        <v>31</v>
      </c>
      <c r="D3791" s="24">
        <v>17.3</v>
      </c>
      <c r="E3791" s="24" t="s">
        <v>796</v>
      </c>
      <c r="F3791" s="24" t="s">
        <v>1011</v>
      </c>
      <c r="G3791" s="24">
        <v>172346</v>
      </c>
    </row>
    <row r="3792" spans="1:7" x14ac:dyDescent="0.25">
      <c r="A3792" s="24" t="s">
        <v>438</v>
      </c>
      <c r="B3792" s="24" t="s">
        <v>51</v>
      </c>
      <c r="C3792" s="24" t="s">
        <v>31</v>
      </c>
      <c r="D3792" s="24">
        <v>2.9</v>
      </c>
      <c r="E3792" s="24" t="s">
        <v>796</v>
      </c>
      <c r="F3792" s="24" t="s">
        <v>1011</v>
      </c>
      <c r="G3792" s="24">
        <v>172346</v>
      </c>
    </row>
    <row r="3793" spans="1:7" x14ac:dyDescent="0.25">
      <c r="A3793" s="24" t="s">
        <v>438</v>
      </c>
      <c r="B3793" s="24" t="s">
        <v>52</v>
      </c>
      <c r="C3793" s="24" t="s">
        <v>31</v>
      </c>
      <c r="D3793" s="24">
        <v>4.8</v>
      </c>
      <c r="E3793" s="24" t="s">
        <v>796</v>
      </c>
      <c r="F3793" s="24" t="s">
        <v>1011</v>
      </c>
      <c r="G3793" s="24">
        <v>172346</v>
      </c>
    </row>
    <row r="3794" spans="1:7" x14ac:dyDescent="0.25">
      <c r="A3794" s="24" t="s">
        <v>438</v>
      </c>
      <c r="B3794" s="24" t="s">
        <v>53</v>
      </c>
      <c r="C3794" s="24" t="s">
        <v>31</v>
      </c>
      <c r="D3794" s="24">
        <v>2.9</v>
      </c>
      <c r="E3794" s="24" t="s">
        <v>796</v>
      </c>
      <c r="F3794" s="24" t="s">
        <v>1011</v>
      </c>
      <c r="G3794" s="24">
        <v>172346</v>
      </c>
    </row>
    <row r="3795" spans="1:7" x14ac:dyDescent="0.25">
      <c r="A3795" s="24" t="s">
        <v>438</v>
      </c>
      <c r="B3795" s="24" t="s">
        <v>54</v>
      </c>
      <c r="C3795" s="24" t="s">
        <v>31</v>
      </c>
      <c r="D3795" s="24">
        <v>0.1</v>
      </c>
      <c r="E3795" s="24" t="s">
        <v>796</v>
      </c>
      <c r="F3795" s="24" t="s">
        <v>1011</v>
      </c>
      <c r="G3795" s="24">
        <v>172346</v>
      </c>
    </row>
    <row r="3796" spans="1:7" x14ac:dyDescent="0.25">
      <c r="A3796" s="24" t="s">
        <v>438</v>
      </c>
      <c r="B3796" s="24" t="s">
        <v>55</v>
      </c>
      <c r="C3796" s="24" t="s">
        <v>31</v>
      </c>
      <c r="D3796" s="24">
        <v>0</v>
      </c>
      <c r="E3796" s="24" t="s">
        <v>796</v>
      </c>
      <c r="F3796" s="24" t="s">
        <v>1011</v>
      </c>
      <c r="G3796" s="24">
        <v>172346</v>
      </c>
    </row>
    <row r="3797" spans="1:7" x14ac:dyDescent="0.25">
      <c r="A3797" s="24" t="s">
        <v>438</v>
      </c>
      <c r="B3797" s="24" t="s">
        <v>56</v>
      </c>
      <c r="C3797" s="24" t="s">
        <v>31</v>
      </c>
      <c r="D3797" s="24">
        <v>0</v>
      </c>
      <c r="E3797" s="24" t="s">
        <v>796</v>
      </c>
      <c r="F3797" s="24" t="s">
        <v>1011</v>
      </c>
      <c r="G3797" s="24">
        <v>172346</v>
      </c>
    </row>
    <row r="3798" spans="1:7" x14ac:dyDescent="0.25">
      <c r="A3798" s="24" t="s">
        <v>438</v>
      </c>
      <c r="B3798" s="24" t="s">
        <v>57</v>
      </c>
      <c r="C3798" s="24" t="s">
        <v>36</v>
      </c>
      <c r="D3798" s="24">
        <v>0</v>
      </c>
      <c r="E3798" s="24" t="s">
        <v>796</v>
      </c>
      <c r="F3798" s="24" t="s">
        <v>1011</v>
      </c>
      <c r="G3798" s="24">
        <v>172346</v>
      </c>
    </row>
    <row r="3799" spans="1:7" x14ac:dyDescent="0.25">
      <c r="A3799" s="24" t="s">
        <v>438</v>
      </c>
      <c r="B3799" s="24" t="s">
        <v>58</v>
      </c>
      <c r="C3799" s="24" t="s">
        <v>5</v>
      </c>
      <c r="D3799" s="24">
        <v>0</v>
      </c>
      <c r="E3799" s="24" t="s">
        <v>795</v>
      </c>
      <c r="F3799" s="24"/>
      <c r="G3799" s="24"/>
    </row>
    <row r="3800" spans="1:7" x14ac:dyDescent="0.25">
      <c r="A3800" s="24" t="s">
        <v>439</v>
      </c>
      <c r="B3800" s="24" t="s">
        <v>23</v>
      </c>
      <c r="C3800" s="24" t="s">
        <v>5</v>
      </c>
      <c r="D3800" s="24">
        <v>0</v>
      </c>
      <c r="E3800" s="24" t="s">
        <v>796</v>
      </c>
      <c r="F3800" s="24" t="s">
        <v>1012</v>
      </c>
      <c r="G3800" s="24">
        <v>172348</v>
      </c>
    </row>
    <row r="3801" spans="1:7" x14ac:dyDescent="0.25">
      <c r="A3801" s="24" t="s">
        <v>439</v>
      </c>
      <c r="B3801" s="24" t="s">
        <v>29</v>
      </c>
      <c r="C3801" s="24" t="s">
        <v>5</v>
      </c>
      <c r="D3801" s="24">
        <v>10.01</v>
      </c>
      <c r="E3801" s="24" t="s">
        <v>799</v>
      </c>
      <c r="F3801" s="24" t="s">
        <v>1012</v>
      </c>
      <c r="G3801" s="24">
        <v>172348</v>
      </c>
    </row>
    <row r="3802" spans="1:7" x14ac:dyDescent="0.25">
      <c r="A3802" s="24" t="s">
        <v>439</v>
      </c>
      <c r="B3802" s="24" t="s">
        <v>32</v>
      </c>
      <c r="C3802" s="24" t="s">
        <v>33</v>
      </c>
      <c r="D3802" s="24">
        <v>653.4</v>
      </c>
      <c r="E3802" s="24" t="s">
        <v>796</v>
      </c>
      <c r="F3802" s="24" t="s">
        <v>1012</v>
      </c>
      <c r="G3802" s="24">
        <v>172348</v>
      </c>
    </row>
    <row r="3803" spans="1:7" x14ac:dyDescent="0.25">
      <c r="A3803" s="24" t="s">
        <v>439</v>
      </c>
      <c r="B3803" s="24" t="s">
        <v>35</v>
      </c>
      <c r="C3803" s="24" t="s">
        <v>36</v>
      </c>
      <c r="D3803" s="24">
        <v>0</v>
      </c>
      <c r="E3803" s="24" t="s">
        <v>796</v>
      </c>
      <c r="F3803" s="24" t="s">
        <v>1012</v>
      </c>
      <c r="G3803" s="24">
        <v>172348</v>
      </c>
    </row>
    <row r="3804" spans="1:7" x14ac:dyDescent="0.25">
      <c r="A3804" s="24" t="s">
        <v>439</v>
      </c>
      <c r="B3804" s="24" t="s">
        <v>46</v>
      </c>
      <c r="C3804" s="24" t="s">
        <v>36</v>
      </c>
      <c r="D3804" s="24">
        <v>0.1</v>
      </c>
      <c r="E3804" s="24" t="s">
        <v>796</v>
      </c>
      <c r="F3804" s="24" t="s">
        <v>1012</v>
      </c>
      <c r="G3804" s="24">
        <v>172348</v>
      </c>
    </row>
    <row r="3805" spans="1:7" x14ac:dyDescent="0.25">
      <c r="A3805" s="24" t="s">
        <v>439</v>
      </c>
      <c r="B3805" s="24" t="s">
        <v>58</v>
      </c>
      <c r="C3805" s="24" t="s">
        <v>5</v>
      </c>
      <c r="D3805" s="24">
        <v>0</v>
      </c>
      <c r="E3805" s="24" t="s">
        <v>795</v>
      </c>
      <c r="F3805" s="24"/>
      <c r="G3805" s="24"/>
    </row>
    <row r="3806" spans="1:7" x14ac:dyDescent="0.25">
      <c r="A3806" s="24" t="s">
        <v>440</v>
      </c>
      <c r="B3806" s="24" t="s">
        <v>20</v>
      </c>
      <c r="C3806" s="24" t="s">
        <v>5</v>
      </c>
      <c r="D3806" s="24">
        <v>1.3</v>
      </c>
      <c r="E3806" s="24" t="s">
        <v>796</v>
      </c>
      <c r="F3806" s="24" t="s">
        <v>1013</v>
      </c>
      <c r="G3806" s="24">
        <v>172354</v>
      </c>
    </row>
    <row r="3807" spans="1:7" x14ac:dyDescent="0.25">
      <c r="A3807" s="24" t="s">
        <v>440</v>
      </c>
      <c r="B3807" s="24" t="s">
        <v>34</v>
      </c>
      <c r="C3807" s="24" t="s">
        <v>31</v>
      </c>
      <c r="D3807" s="24">
        <v>0</v>
      </c>
      <c r="E3807" s="24" t="s">
        <v>801</v>
      </c>
      <c r="F3807" s="24" t="s">
        <v>1013</v>
      </c>
      <c r="G3807" s="24">
        <v>172354</v>
      </c>
    </row>
    <row r="3808" spans="1:7" x14ac:dyDescent="0.25">
      <c r="A3808" s="24" t="s">
        <v>440</v>
      </c>
      <c r="B3808" s="24" t="s">
        <v>39</v>
      </c>
      <c r="C3808" s="24" t="s">
        <v>36</v>
      </c>
      <c r="D3808" s="24">
        <v>70.900000000000006</v>
      </c>
      <c r="E3808" s="24" t="s">
        <v>801</v>
      </c>
      <c r="F3808" s="24" t="s">
        <v>1013</v>
      </c>
      <c r="G3808" s="24">
        <v>172354</v>
      </c>
    </row>
    <row r="3809" spans="1:7" x14ac:dyDescent="0.25">
      <c r="A3809" s="24" t="s">
        <v>440</v>
      </c>
      <c r="B3809" s="24" t="s">
        <v>40</v>
      </c>
      <c r="C3809" s="24" t="s">
        <v>31</v>
      </c>
      <c r="D3809" s="24">
        <v>0</v>
      </c>
      <c r="E3809" s="24" t="s">
        <v>801</v>
      </c>
      <c r="F3809" s="24" t="s">
        <v>1013</v>
      </c>
      <c r="G3809" s="24">
        <v>172354</v>
      </c>
    </row>
    <row r="3810" spans="1:7" x14ac:dyDescent="0.25">
      <c r="A3810" s="24" t="s">
        <v>440</v>
      </c>
      <c r="B3810" s="24" t="s">
        <v>41</v>
      </c>
      <c r="C3810" s="24" t="s">
        <v>31</v>
      </c>
      <c r="D3810" s="24">
        <v>0</v>
      </c>
      <c r="E3810" s="24" t="s">
        <v>801</v>
      </c>
      <c r="F3810" s="24" t="s">
        <v>1013</v>
      </c>
      <c r="G3810" s="24">
        <v>172354</v>
      </c>
    </row>
    <row r="3811" spans="1:7" x14ac:dyDescent="0.25">
      <c r="A3811" s="24" t="s">
        <v>440</v>
      </c>
      <c r="B3811" s="24" t="s">
        <v>42</v>
      </c>
      <c r="C3811" s="24" t="s">
        <v>43</v>
      </c>
      <c r="D3811" s="24">
        <v>0</v>
      </c>
      <c r="E3811" s="24" t="s">
        <v>801</v>
      </c>
      <c r="F3811" s="24" t="s">
        <v>1013</v>
      </c>
      <c r="G3811" s="24">
        <v>172354</v>
      </c>
    </row>
    <row r="3812" spans="1:7" x14ac:dyDescent="0.25">
      <c r="A3812" s="24" t="s">
        <v>440</v>
      </c>
      <c r="B3812" s="24" t="s">
        <v>44</v>
      </c>
      <c r="C3812" s="24" t="s">
        <v>31</v>
      </c>
      <c r="D3812" s="24">
        <v>0</v>
      </c>
      <c r="E3812" s="24" t="s">
        <v>801</v>
      </c>
      <c r="F3812" s="24" t="s">
        <v>1013</v>
      </c>
      <c r="G3812" s="24">
        <v>172354</v>
      </c>
    </row>
    <row r="3813" spans="1:7" x14ac:dyDescent="0.25">
      <c r="A3813" s="24" t="s">
        <v>440</v>
      </c>
      <c r="B3813" s="24" t="s">
        <v>46</v>
      </c>
      <c r="C3813" s="24" t="s">
        <v>36</v>
      </c>
      <c r="D3813" s="24">
        <v>0</v>
      </c>
      <c r="E3813" s="24" t="s">
        <v>801</v>
      </c>
      <c r="F3813" s="24" t="s">
        <v>1013</v>
      </c>
      <c r="G3813" s="24">
        <v>172354</v>
      </c>
    </row>
    <row r="3814" spans="1:7" x14ac:dyDescent="0.25">
      <c r="A3814" s="24" t="s">
        <v>440</v>
      </c>
      <c r="B3814" s="24" t="s">
        <v>47</v>
      </c>
      <c r="C3814" s="24" t="s">
        <v>48</v>
      </c>
      <c r="D3814" s="24">
        <v>0</v>
      </c>
      <c r="E3814" s="24" t="s">
        <v>801</v>
      </c>
      <c r="F3814" s="24" t="s">
        <v>1013</v>
      </c>
      <c r="G3814" s="24">
        <v>172354</v>
      </c>
    </row>
    <row r="3815" spans="1:7" x14ac:dyDescent="0.25">
      <c r="A3815" s="24" t="s">
        <v>440</v>
      </c>
      <c r="B3815" s="24" t="s">
        <v>50</v>
      </c>
      <c r="C3815" s="24" t="s">
        <v>31</v>
      </c>
      <c r="D3815" s="24">
        <v>25</v>
      </c>
      <c r="E3815" s="24" t="s">
        <v>801</v>
      </c>
      <c r="F3815" s="24" t="s">
        <v>1013</v>
      </c>
      <c r="G3815" s="24">
        <v>172354</v>
      </c>
    </row>
    <row r="3816" spans="1:7" x14ac:dyDescent="0.25">
      <c r="A3816" s="24" t="s">
        <v>440</v>
      </c>
      <c r="B3816" s="24" t="s">
        <v>51</v>
      </c>
      <c r="C3816" s="24" t="s">
        <v>31</v>
      </c>
      <c r="D3816" s="24">
        <v>0</v>
      </c>
      <c r="E3816" s="24" t="s">
        <v>801</v>
      </c>
      <c r="F3816" s="24" t="s">
        <v>1013</v>
      </c>
      <c r="G3816" s="24">
        <v>172354</v>
      </c>
    </row>
    <row r="3817" spans="1:7" x14ac:dyDescent="0.25">
      <c r="A3817" s="24" t="s">
        <v>440</v>
      </c>
      <c r="B3817" s="24" t="s">
        <v>52</v>
      </c>
      <c r="C3817" s="24" t="s">
        <v>31</v>
      </c>
      <c r="D3817" s="24">
        <v>14</v>
      </c>
      <c r="E3817" s="24" t="s">
        <v>801</v>
      </c>
      <c r="F3817" s="24" t="s">
        <v>1013</v>
      </c>
      <c r="G3817" s="24">
        <v>172354</v>
      </c>
    </row>
    <row r="3818" spans="1:7" x14ac:dyDescent="0.25">
      <c r="A3818" s="24" t="s">
        <v>440</v>
      </c>
      <c r="B3818" s="24" t="s">
        <v>53</v>
      </c>
      <c r="C3818" s="24" t="s">
        <v>31</v>
      </c>
      <c r="D3818" s="24">
        <v>1</v>
      </c>
      <c r="E3818" s="24" t="s">
        <v>801</v>
      </c>
      <c r="F3818" s="24" t="s">
        <v>1013</v>
      </c>
      <c r="G3818" s="24">
        <v>172354</v>
      </c>
    </row>
    <row r="3819" spans="1:7" x14ac:dyDescent="0.25">
      <c r="A3819" s="24" t="s">
        <v>440</v>
      </c>
      <c r="B3819" s="24" t="s">
        <v>54</v>
      </c>
      <c r="C3819" s="24" t="s">
        <v>31</v>
      </c>
      <c r="D3819" s="24">
        <v>0</v>
      </c>
      <c r="E3819" s="24" t="s">
        <v>801</v>
      </c>
      <c r="F3819" s="24" t="s">
        <v>1013</v>
      </c>
      <c r="G3819" s="24">
        <v>172354</v>
      </c>
    </row>
    <row r="3820" spans="1:7" x14ac:dyDescent="0.25">
      <c r="A3820" s="24" t="s">
        <v>440</v>
      </c>
      <c r="B3820" s="24" t="s">
        <v>55</v>
      </c>
      <c r="C3820" s="24" t="s">
        <v>31</v>
      </c>
      <c r="D3820" s="24">
        <v>0</v>
      </c>
      <c r="E3820" s="24" t="s">
        <v>801</v>
      </c>
      <c r="F3820" s="24" t="s">
        <v>1013</v>
      </c>
      <c r="G3820" s="24">
        <v>172354</v>
      </c>
    </row>
    <row r="3821" spans="1:7" x14ac:dyDescent="0.25">
      <c r="A3821" s="24" t="s">
        <v>440</v>
      </c>
      <c r="B3821" s="24" t="s">
        <v>56</v>
      </c>
      <c r="C3821" s="24" t="s">
        <v>31</v>
      </c>
      <c r="D3821" s="24">
        <v>0</v>
      </c>
      <c r="E3821" s="24" t="s">
        <v>801</v>
      </c>
      <c r="F3821" s="24" t="s">
        <v>1013</v>
      </c>
      <c r="G3821" s="24">
        <v>172354</v>
      </c>
    </row>
    <row r="3822" spans="1:7" x14ac:dyDescent="0.25">
      <c r="A3822" s="24" t="s">
        <v>440</v>
      </c>
      <c r="B3822" s="24" t="s">
        <v>57</v>
      </c>
      <c r="C3822" s="24" t="s">
        <v>36</v>
      </c>
      <c r="D3822" s="24">
        <v>0</v>
      </c>
      <c r="E3822" s="24" t="s">
        <v>801</v>
      </c>
      <c r="F3822" s="24" t="s">
        <v>1013</v>
      </c>
      <c r="G3822" s="24">
        <v>172354</v>
      </c>
    </row>
    <row r="3823" spans="1:7" x14ac:dyDescent="0.25">
      <c r="A3823" s="24" t="s">
        <v>440</v>
      </c>
      <c r="B3823" s="24" t="s">
        <v>58</v>
      </c>
      <c r="C3823" s="24" t="s">
        <v>5</v>
      </c>
      <c r="D3823" s="24">
        <v>0</v>
      </c>
      <c r="E3823" s="24" t="s">
        <v>795</v>
      </c>
      <c r="F3823" s="24"/>
      <c r="G3823" s="24"/>
    </row>
    <row r="3824" spans="1:7" x14ac:dyDescent="0.25">
      <c r="A3824" s="24" t="s">
        <v>440</v>
      </c>
      <c r="B3824" s="24" t="s">
        <v>18</v>
      </c>
      <c r="C3824" s="24" t="s">
        <v>5</v>
      </c>
      <c r="D3824" s="24">
        <v>77.400000000000006</v>
      </c>
      <c r="E3824" s="24" t="s">
        <v>803</v>
      </c>
      <c r="F3824" s="24"/>
      <c r="G3824" s="24"/>
    </row>
    <row r="3825" spans="1:7" x14ac:dyDescent="0.25">
      <c r="A3825" s="24" t="s">
        <v>441</v>
      </c>
      <c r="B3825" s="24" t="s">
        <v>23</v>
      </c>
      <c r="C3825" s="24" t="s">
        <v>5</v>
      </c>
      <c r="D3825" s="24">
        <v>0.6</v>
      </c>
      <c r="E3825" s="24" t="s">
        <v>796</v>
      </c>
      <c r="F3825" s="24" t="s">
        <v>1014</v>
      </c>
      <c r="G3825" s="24">
        <v>171009</v>
      </c>
    </row>
    <row r="3826" spans="1:7" x14ac:dyDescent="0.25">
      <c r="A3826" s="24" t="s">
        <v>441</v>
      </c>
      <c r="B3826" s="24" t="s">
        <v>29</v>
      </c>
      <c r="C3826" s="24" t="s">
        <v>5</v>
      </c>
      <c r="D3826" s="24">
        <v>0.2</v>
      </c>
      <c r="E3826" s="24" t="s">
        <v>799</v>
      </c>
      <c r="F3826" s="24" t="s">
        <v>1014</v>
      </c>
      <c r="G3826" s="24">
        <v>171009</v>
      </c>
    </row>
    <row r="3827" spans="1:7" x14ac:dyDescent="0.25">
      <c r="A3827" s="24" t="s">
        <v>441</v>
      </c>
      <c r="B3827" s="24" t="s">
        <v>35</v>
      </c>
      <c r="C3827" s="24" t="s">
        <v>36</v>
      </c>
      <c r="D3827" s="24">
        <v>0.2</v>
      </c>
      <c r="E3827" s="24" t="s">
        <v>796</v>
      </c>
      <c r="F3827" s="24" t="s">
        <v>1014</v>
      </c>
      <c r="G3827" s="24">
        <v>171009</v>
      </c>
    </row>
    <row r="3828" spans="1:7" x14ac:dyDescent="0.25">
      <c r="A3828" s="24" t="s">
        <v>441</v>
      </c>
      <c r="B3828" s="24" t="s">
        <v>39</v>
      </c>
      <c r="C3828" s="24" t="s">
        <v>36</v>
      </c>
      <c r="D3828" s="24">
        <v>176.2</v>
      </c>
      <c r="E3828" s="24" t="s">
        <v>796</v>
      </c>
      <c r="F3828" s="24" t="s">
        <v>1014</v>
      </c>
      <c r="G3828" s="24">
        <v>171009</v>
      </c>
    </row>
    <row r="3829" spans="1:7" x14ac:dyDescent="0.25">
      <c r="A3829" s="24" t="s">
        <v>441</v>
      </c>
      <c r="B3829" s="24" t="s">
        <v>58</v>
      </c>
      <c r="C3829" s="24" t="s">
        <v>5</v>
      </c>
      <c r="D3829" s="24">
        <v>0</v>
      </c>
      <c r="E3829" s="24" t="s">
        <v>795</v>
      </c>
      <c r="F3829" s="24"/>
      <c r="G3829" s="24"/>
    </row>
    <row r="3830" spans="1:7" x14ac:dyDescent="0.25">
      <c r="A3830" s="24" t="s">
        <v>442</v>
      </c>
      <c r="B3830" s="24" t="s">
        <v>32</v>
      </c>
      <c r="C3830" s="24" t="s">
        <v>33</v>
      </c>
      <c r="D3830" s="24">
        <v>16.7</v>
      </c>
      <c r="E3830" s="24" t="s">
        <v>796</v>
      </c>
      <c r="F3830" s="24" t="s">
        <v>1014</v>
      </c>
      <c r="G3830" s="24">
        <v>171009</v>
      </c>
    </row>
    <row r="3831" spans="1:7" x14ac:dyDescent="0.25">
      <c r="A3831" s="24" t="s">
        <v>442</v>
      </c>
      <c r="B3831" s="24" t="s">
        <v>34</v>
      </c>
      <c r="C3831" s="24" t="s">
        <v>31</v>
      </c>
      <c r="D3831" s="24">
        <v>0</v>
      </c>
      <c r="E3831" s="24" t="s">
        <v>796</v>
      </c>
      <c r="F3831" s="24" t="s">
        <v>1014</v>
      </c>
      <c r="G3831" s="24">
        <v>171009</v>
      </c>
    </row>
    <row r="3832" spans="1:7" x14ac:dyDescent="0.25">
      <c r="A3832" s="24" t="s">
        <v>442</v>
      </c>
      <c r="B3832" s="24" t="s">
        <v>35</v>
      </c>
      <c r="C3832" s="24" t="s">
        <v>36</v>
      </c>
      <c r="D3832" s="24">
        <v>0.2</v>
      </c>
      <c r="E3832" s="24" t="s">
        <v>796</v>
      </c>
      <c r="F3832" s="24" t="s">
        <v>1014</v>
      </c>
      <c r="G3832" s="24">
        <v>171009</v>
      </c>
    </row>
    <row r="3833" spans="1:7" x14ac:dyDescent="0.25">
      <c r="A3833" s="24" t="s">
        <v>442</v>
      </c>
      <c r="B3833" s="24" t="s">
        <v>37</v>
      </c>
      <c r="C3833" s="24" t="s">
        <v>38</v>
      </c>
      <c r="D3833" s="24">
        <v>3.4</v>
      </c>
      <c r="E3833" s="24" t="s">
        <v>796</v>
      </c>
      <c r="F3833" s="24" t="s">
        <v>1014</v>
      </c>
      <c r="G3833" s="24">
        <v>171009</v>
      </c>
    </row>
    <row r="3834" spans="1:7" x14ac:dyDescent="0.25">
      <c r="A3834" s="24" t="s">
        <v>442</v>
      </c>
      <c r="B3834" s="24" t="s">
        <v>39</v>
      </c>
      <c r="C3834" s="24" t="s">
        <v>36</v>
      </c>
      <c r="D3834" s="24">
        <v>170.2</v>
      </c>
      <c r="E3834" s="24" t="s">
        <v>796</v>
      </c>
      <c r="F3834" s="24" t="s">
        <v>1014</v>
      </c>
      <c r="G3834" s="24">
        <v>171009</v>
      </c>
    </row>
    <row r="3835" spans="1:7" x14ac:dyDescent="0.25">
      <c r="A3835" s="24" t="s">
        <v>442</v>
      </c>
      <c r="B3835" s="24" t="s">
        <v>40</v>
      </c>
      <c r="C3835" s="24" t="s">
        <v>31</v>
      </c>
      <c r="D3835" s="24">
        <v>0</v>
      </c>
      <c r="E3835" s="24" t="s">
        <v>796</v>
      </c>
      <c r="F3835" s="24" t="s">
        <v>1014</v>
      </c>
      <c r="G3835" s="24">
        <v>171009</v>
      </c>
    </row>
    <row r="3836" spans="1:7" x14ac:dyDescent="0.25">
      <c r="A3836" s="24" t="s">
        <v>442</v>
      </c>
      <c r="B3836" s="24" t="s">
        <v>41</v>
      </c>
      <c r="C3836" s="24" t="s">
        <v>31</v>
      </c>
      <c r="D3836" s="24">
        <v>0</v>
      </c>
      <c r="E3836" s="24" t="s">
        <v>796</v>
      </c>
      <c r="F3836" s="24" t="s">
        <v>1014</v>
      </c>
      <c r="G3836" s="24">
        <v>171009</v>
      </c>
    </row>
    <row r="3837" spans="1:7" x14ac:dyDescent="0.25">
      <c r="A3837" s="24" t="s">
        <v>442</v>
      </c>
      <c r="B3837" s="24" t="s">
        <v>42</v>
      </c>
      <c r="C3837" s="24" t="s">
        <v>43</v>
      </c>
      <c r="D3837" s="24">
        <v>0</v>
      </c>
      <c r="E3837" s="24" t="s">
        <v>796</v>
      </c>
      <c r="F3837" s="24" t="s">
        <v>1014</v>
      </c>
      <c r="G3837" s="24">
        <v>171009</v>
      </c>
    </row>
    <row r="3838" spans="1:7" x14ac:dyDescent="0.25">
      <c r="A3838" s="24" t="s">
        <v>442</v>
      </c>
      <c r="B3838" s="24" t="s">
        <v>44</v>
      </c>
      <c r="C3838" s="24" t="s">
        <v>31</v>
      </c>
      <c r="D3838" s="24">
        <v>0</v>
      </c>
      <c r="E3838" s="24" t="s">
        <v>796</v>
      </c>
      <c r="F3838" s="24" t="s">
        <v>1014</v>
      </c>
      <c r="G3838" s="24">
        <v>171009</v>
      </c>
    </row>
    <row r="3839" spans="1:7" x14ac:dyDescent="0.25">
      <c r="A3839" s="24" t="s">
        <v>442</v>
      </c>
      <c r="B3839" s="24" t="s">
        <v>45</v>
      </c>
      <c r="C3839" s="24" t="s">
        <v>31</v>
      </c>
      <c r="D3839" s="24">
        <v>0.2</v>
      </c>
      <c r="E3839" s="24" t="s">
        <v>796</v>
      </c>
      <c r="F3839" s="24" t="s">
        <v>1014</v>
      </c>
      <c r="G3839" s="24">
        <v>171009</v>
      </c>
    </row>
    <row r="3840" spans="1:7" x14ac:dyDescent="0.25">
      <c r="A3840" s="24" t="s">
        <v>442</v>
      </c>
      <c r="B3840" s="24" t="s">
        <v>46</v>
      </c>
      <c r="C3840" s="24" t="s">
        <v>36</v>
      </c>
      <c r="D3840" s="24">
        <v>0.1</v>
      </c>
      <c r="E3840" s="24" t="s">
        <v>796</v>
      </c>
      <c r="F3840" s="24" t="s">
        <v>1014</v>
      </c>
      <c r="G3840" s="24">
        <v>171009</v>
      </c>
    </row>
    <row r="3841" spans="1:7" x14ac:dyDescent="0.25">
      <c r="A3841" s="24" t="s">
        <v>442</v>
      </c>
      <c r="B3841" s="24" t="s">
        <v>47</v>
      </c>
      <c r="C3841" s="24" t="s">
        <v>48</v>
      </c>
      <c r="D3841" s="24">
        <v>5.2</v>
      </c>
      <c r="E3841" s="24" t="s">
        <v>796</v>
      </c>
      <c r="F3841" s="24" t="s">
        <v>1014</v>
      </c>
      <c r="G3841" s="24">
        <v>171009</v>
      </c>
    </row>
    <row r="3842" spans="1:7" x14ac:dyDescent="0.25">
      <c r="A3842" s="24" t="s">
        <v>442</v>
      </c>
      <c r="B3842" s="24" t="s">
        <v>50</v>
      </c>
      <c r="C3842" s="24" t="s">
        <v>31</v>
      </c>
      <c r="D3842" s="24">
        <v>20.9</v>
      </c>
      <c r="E3842" s="24" t="s">
        <v>796</v>
      </c>
      <c r="F3842" s="24" t="s">
        <v>1014</v>
      </c>
      <c r="G3842" s="24">
        <v>171009</v>
      </c>
    </row>
    <row r="3843" spans="1:7" x14ac:dyDescent="0.25">
      <c r="A3843" s="24" t="s">
        <v>442</v>
      </c>
      <c r="B3843" s="24" t="s">
        <v>51</v>
      </c>
      <c r="C3843" s="24" t="s">
        <v>31</v>
      </c>
      <c r="D3843" s="24">
        <v>8.4</v>
      </c>
      <c r="E3843" s="24" t="s">
        <v>796</v>
      </c>
      <c r="F3843" s="24" t="s">
        <v>1014</v>
      </c>
      <c r="G3843" s="24">
        <v>171009</v>
      </c>
    </row>
    <row r="3844" spans="1:7" x14ac:dyDescent="0.25">
      <c r="A3844" s="24" t="s">
        <v>442</v>
      </c>
      <c r="B3844" s="24" t="s">
        <v>52</v>
      </c>
      <c r="C3844" s="24" t="s">
        <v>31</v>
      </c>
      <c r="D3844" s="24">
        <v>21.9</v>
      </c>
      <c r="E3844" s="24" t="s">
        <v>796</v>
      </c>
      <c r="F3844" s="24" t="s">
        <v>1014</v>
      </c>
      <c r="G3844" s="24">
        <v>171009</v>
      </c>
    </row>
    <row r="3845" spans="1:7" x14ac:dyDescent="0.25">
      <c r="A3845" s="24" t="s">
        <v>442</v>
      </c>
      <c r="B3845" s="24" t="s">
        <v>53</v>
      </c>
      <c r="C3845" s="24" t="s">
        <v>31</v>
      </c>
      <c r="D3845" s="24">
        <v>1</v>
      </c>
      <c r="E3845" s="24" t="s">
        <v>796</v>
      </c>
      <c r="F3845" s="24" t="s">
        <v>1014</v>
      </c>
      <c r="G3845" s="24">
        <v>171009</v>
      </c>
    </row>
    <row r="3846" spans="1:7" x14ac:dyDescent="0.25">
      <c r="A3846" s="24" t="s">
        <v>442</v>
      </c>
      <c r="B3846" s="24" t="s">
        <v>54</v>
      </c>
      <c r="C3846" s="24" t="s">
        <v>31</v>
      </c>
      <c r="D3846" s="24">
        <v>0.2</v>
      </c>
      <c r="E3846" s="24" t="s">
        <v>796</v>
      </c>
      <c r="F3846" s="24" t="s">
        <v>1014</v>
      </c>
      <c r="G3846" s="24">
        <v>171009</v>
      </c>
    </row>
    <row r="3847" spans="1:7" x14ac:dyDescent="0.25">
      <c r="A3847" s="24" t="s">
        <v>442</v>
      </c>
      <c r="B3847" s="24" t="s">
        <v>55</v>
      </c>
      <c r="C3847" s="24" t="s">
        <v>31</v>
      </c>
      <c r="D3847" s="24">
        <v>0.2</v>
      </c>
      <c r="E3847" s="24" t="s">
        <v>796</v>
      </c>
      <c r="F3847" s="24" t="s">
        <v>1014</v>
      </c>
      <c r="G3847" s="24">
        <v>171009</v>
      </c>
    </row>
    <row r="3848" spans="1:7" x14ac:dyDescent="0.25">
      <c r="A3848" s="24" t="s">
        <v>442</v>
      </c>
      <c r="B3848" s="24" t="s">
        <v>56</v>
      </c>
      <c r="C3848" s="24" t="s">
        <v>31</v>
      </c>
      <c r="D3848" s="24">
        <v>0</v>
      </c>
      <c r="E3848" s="24" t="s">
        <v>796</v>
      </c>
      <c r="F3848" s="24" t="s">
        <v>1014</v>
      </c>
      <c r="G3848" s="24">
        <v>171009</v>
      </c>
    </row>
    <row r="3849" spans="1:7" x14ac:dyDescent="0.25">
      <c r="A3849" s="24" t="s">
        <v>442</v>
      </c>
      <c r="B3849" s="24" t="s">
        <v>57</v>
      </c>
      <c r="C3849" s="24" t="s">
        <v>36</v>
      </c>
      <c r="D3849" s="24">
        <v>2.4</v>
      </c>
      <c r="E3849" s="24" t="s">
        <v>796</v>
      </c>
      <c r="F3849" s="24" t="s">
        <v>1014</v>
      </c>
      <c r="G3849" s="24">
        <v>171009</v>
      </c>
    </row>
    <row r="3850" spans="1:7" x14ac:dyDescent="0.25">
      <c r="A3850" s="24" t="s">
        <v>442</v>
      </c>
      <c r="B3850" s="24" t="s">
        <v>58</v>
      </c>
      <c r="C3850" s="24" t="s">
        <v>5</v>
      </c>
      <c r="D3850" s="24">
        <v>0</v>
      </c>
      <c r="E3850" s="24" t="s">
        <v>795</v>
      </c>
      <c r="F3850" s="24"/>
      <c r="G3850" s="24"/>
    </row>
    <row r="3851" spans="1:7" x14ac:dyDescent="0.25">
      <c r="A3851" s="24" t="s">
        <v>444</v>
      </c>
      <c r="B3851" s="24" t="s">
        <v>23</v>
      </c>
      <c r="C3851" s="24" t="s">
        <v>5</v>
      </c>
      <c r="D3851" s="24">
        <v>2</v>
      </c>
      <c r="E3851" s="24" t="s">
        <v>796</v>
      </c>
      <c r="F3851" s="24" t="s">
        <v>1015</v>
      </c>
      <c r="G3851" s="24">
        <v>169991</v>
      </c>
    </row>
    <row r="3852" spans="1:7" x14ac:dyDescent="0.25">
      <c r="A3852" s="24" t="s">
        <v>444</v>
      </c>
      <c r="B3852" s="24" t="s">
        <v>26</v>
      </c>
      <c r="C3852" s="24" t="s">
        <v>5</v>
      </c>
      <c r="D3852" s="24">
        <v>0.03</v>
      </c>
      <c r="E3852" s="24" t="s">
        <v>799</v>
      </c>
      <c r="F3852" s="24" t="s">
        <v>1015</v>
      </c>
      <c r="G3852" s="24">
        <v>169991</v>
      </c>
    </row>
    <row r="3853" spans="1:7" x14ac:dyDescent="0.25">
      <c r="A3853" s="24" t="s">
        <v>444</v>
      </c>
      <c r="B3853" s="24" t="s">
        <v>27</v>
      </c>
      <c r="C3853" s="24" t="s">
        <v>5</v>
      </c>
      <c r="D3853" s="24">
        <v>0.04</v>
      </c>
      <c r="E3853" s="24" t="s">
        <v>799</v>
      </c>
      <c r="F3853" s="24" t="s">
        <v>1015</v>
      </c>
      <c r="G3853" s="24">
        <v>169991</v>
      </c>
    </row>
    <row r="3854" spans="1:7" x14ac:dyDescent="0.25">
      <c r="A3854" s="24" t="s">
        <v>444</v>
      </c>
      <c r="B3854" s="24" t="s">
        <v>28</v>
      </c>
      <c r="C3854" s="24" t="s">
        <v>5</v>
      </c>
      <c r="D3854" s="24">
        <v>7.0000000000000007E-2</v>
      </c>
      <c r="E3854" s="24" t="s">
        <v>799</v>
      </c>
      <c r="F3854" s="24" t="s">
        <v>1015</v>
      </c>
      <c r="G3854" s="24">
        <v>169991</v>
      </c>
    </row>
    <row r="3855" spans="1:7" x14ac:dyDescent="0.25">
      <c r="A3855" s="24" t="s">
        <v>444</v>
      </c>
      <c r="B3855" s="24" t="s">
        <v>29</v>
      </c>
      <c r="C3855" s="24" t="s">
        <v>5</v>
      </c>
      <c r="D3855" s="24">
        <v>0</v>
      </c>
      <c r="E3855" s="24" t="s">
        <v>799</v>
      </c>
      <c r="F3855" s="24" t="s">
        <v>1015</v>
      </c>
      <c r="G3855" s="24">
        <v>169991</v>
      </c>
    </row>
    <row r="3856" spans="1:7" x14ac:dyDescent="0.25">
      <c r="A3856" s="24" t="s">
        <v>444</v>
      </c>
      <c r="B3856" s="24" t="s">
        <v>30</v>
      </c>
      <c r="C3856" s="24" t="s">
        <v>31</v>
      </c>
      <c r="D3856" s="24">
        <v>0</v>
      </c>
      <c r="E3856" s="24" t="s">
        <v>801</v>
      </c>
      <c r="F3856" s="24" t="s">
        <v>1015</v>
      </c>
      <c r="G3856" s="24">
        <v>169991</v>
      </c>
    </row>
    <row r="3857" spans="1:7" x14ac:dyDescent="0.25">
      <c r="A3857" s="24" t="s">
        <v>444</v>
      </c>
      <c r="B3857" s="24" t="s">
        <v>32</v>
      </c>
      <c r="C3857" s="24" t="s">
        <v>33</v>
      </c>
      <c r="D3857" s="24">
        <v>675.4</v>
      </c>
      <c r="E3857" s="24" t="s">
        <v>796</v>
      </c>
      <c r="F3857" s="24" t="s">
        <v>1015</v>
      </c>
      <c r="G3857" s="24">
        <v>169991</v>
      </c>
    </row>
    <row r="3858" spans="1:7" x14ac:dyDescent="0.25">
      <c r="A3858" s="24" t="s">
        <v>444</v>
      </c>
      <c r="B3858" s="24" t="s">
        <v>34</v>
      </c>
      <c r="C3858" s="24" t="s">
        <v>31</v>
      </c>
      <c r="D3858" s="24">
        <v>66.2</v>
      </c>
      <c r="E3858" s="24" t="s">
        <v>796</v>
      </c>
      <c r="F3858" s="24" t="s">
        <v>1015</v>
      </c>
      <c r="G3858" s="24">
        <v>169991</v>
      </c>
    </row>
    <row r="3859" spans="1:7" x14ac:dyDescent="0.25">
      <c r="A3859" s="24" t="s">
        <v>444</v>
      </c>
      <c r="B3859" s="24" t="s">
        <v>35</v>
      </c>
      <c r="C3859" s="24" t="s">
        <v>36</v>
      </c>
      <c r="D3859" s="24">
        <v>0</v>
      </c>
      <c r="E3859" s="24" t="s">
        <v>796</v>
      </c>
      <c r="F3859" s="24" t="s">
        <v>1015</v>
      </c>
      <c r="G3859" s="24">
        <v>169991</v>
      </c>
    </row>
    <row r="3860" spans="1:7" x14ac:dyDescent="0.25">
      <c r="A3860" s="24" t="s">
        <v>444</v>
      </c>
      <c r="B3860" s="24" t="s">
        <v>37</v>
      </c>
      <c r="C3860" s="24" t="s">
        <v>38</v>
      </c>
      <c r="D3860" s="24">
        <v>4.2</v>
      </c>
      <c r="E3860" s="24" t="s">
        <v>796</v>
      </c>
      <c r="F3860" s="24" t="s">
        <v>1015</v>
      </c>
      <c r="G3860" s="24">
        <v>169991</v>
      </c>
    </row>
    <row r="3861" spans="1:7" x14ac:dyDescent="0.25">
      <c r="A3861" s="24" t="s">
        <v>444</v>
      </c>
      <c r="B3861" s="24" t="s">
        <v>39</v>
      </c>
      <c r="C3861" s="24" t="s">
        <v>36</v>
      </c>
      <c r="D3861" s="24">
        <v>1831.9</v>
      </c>
      <c r="E3861" s="24" t="s">
        <v>796</v>
      </c>
      <c r="F3861" s="24" t="s">
        <v>1015</v>
      </c>
      <c r="G3861" s="24">
        <v>169991</v>
      </c>
    </row>
    <row r="3862" spans="1:7" x14ac:dyDescent="0.25">
      <c r="A3862" s="24" t="s">
        <v>444</v>
      </c>
      <c r="B3862" s="24" t="s">
        <v>40</v>
      </c>
      <c r="C3862" s="24" t="s">
        <v>31</v>
      </c>
      <c r="D3862" s="24">
        <v>0.1</v>
      </c>
      <c r="E3862" s="24" t="s">
        <v>796</v>
      </c>
      <c r="F3862" s="24" t="s">
        <v>1015</v>
      </c>
      <c r="G3862" s="24">
        <v>169991</v>
      </c>
    </row>
    <row r="3863" spans="1:7" x14ac:dyDescent="0.25">
      <c r="A3863" s="24" t="s">
        <v>444</v>
      </c>
      <c r="B3863" s="24" t="s">
        <v>41</v>
      </c>
      <c r="C3863" s="24" t="s">
        <v>31</v>
      </c>
      <c r="D3863" s="24">
        <v>0.2</v>
      </c>
      <c r="E3863" s="24" t="s">
        <v>796</v>
      </c>
      <c r="F3863" s="24" t="s">
        <v>1015</v>
      </c>
      <c r="G3863" s="24">
        <v>169991</v>
      </c>
    </row>
    <row r="3864" spans="1:7" x14ac:dyDescent="0.25">
      <c r="A3864" s="24" t="s">
        <v>444</v>
      </c>
      <c r="B3864" s="24" t="s">
        <v>42</v>
      </c>
      <c r="C3864" s="24" t="s">
        <v>43</v>
      </c>
      <c r="D3864" s="24">
        <v>0.9</v>
      </c>
      <c r="E3864" s="24" t="s">
        <v>796</v>
      </c>
      <c r="F3864" s="24" t="s">
        <v>1015</v>
      </c>
      <c r="G3864" s="24">
        <v>169991</v>
      </c>
    </row>
    <row r="3865" spans="1:7" x14ac:dyDescent="0.25">
      <c r="A3865" s="24" t="s">
        <v>444</v>
      </c>
      <c r="B3865" s="24" t="s">
        <v>44</v>
      </c>
      <c r="C3865" s="24" t="s">
        <v>31</v>
      </c>
      <c r="D3865" s="24">
        <v>0.2</v>
      </c>
      <c r="E3865" s="24" t="s">
        <v>796</v>
      </c>
      <c r="F3865" s="24" t="s">
        <v>1015</v>
      </c>
      <c r="G3865" s="24">
        <v>169991</v>
      </c>
    </row>
    <row r="3866" spans="1:7" x14ac:dyDescent="0.25">
      <c r="A3866" s="24" t="s">
        <v>444</v>
      </c>
      <c r="B3866" s="24" t="s">
        <v>45</v>
      </c>
      <c r="C3866" s="24" t="s">
        <v>31</v>
      </c>
      <c r="D3866" s="24">
        <v>0.4</v>
      </c>
      <c r="E3866" s="24" t="s">
        <v>796</v>
      </c>
      <c r="F3866" s="24" t="s">
        <v>1015</v>
      </c>
      <c r="G3866" s="24">
        <v>169991</v>
      </c>
    </row>
    <row r="3867" spans="1:7" x14ac:dyDescent="0.25">
      <c r="A3867" s="24" t="s">
        <v>444</v>
      </c>
      <c r="B3867" s="24" t="s">
        <v>46</v>
      </c>
      <c r="C3867" s="24" t="s">
        <v>36</v>
      </c>
      <c r="D3867" s="24">
        <v>0</v>
      </c>
      <c r="E3867" s="24" t="s">
        <v>796</v>
      </c>
      <c r="F3867" s="24" t="s">
        <v>1015</v>
      </c>
      <c r="G3867" s="24">
        <v>169991</v>
      </c>
    </row>
    <row r="3868" spans="1:7" x14ac:dyDescent="0.25">
      <c r="A3868" s="24" t="s">
        <v>444</v>
      </c>
      <c r="B3868" s="24" t="s">
        <v>47</v>
      </c>
      <c r="C3868" s="24" t="s">
        <v>48</v>
      </c>
      <c r="D3868" s="24">
        <v>30.9</v>
      </c>
      <c r="E3868" s="24" t="s">
        <v>796</v>
      </c>
      <c r="F3868" s="24" t="s">
        <v>1015</v>
      </c>
      <c r="G3868" s="24">
        <v>169991</v>
      </c>
    </row>
    <row r="3869" spans="1:7" x14ac:dyDescent="0.25">
      <c r="A3869" s="24" t="s">
        <v>444</v>
      </c>
      <c r="B3869" s="24" t="s">
        <v>49</v>
      </c>
      <c r="C3869" s="24" t="s">
        <v>31</v>
      </c>
      <c r="D3869" s="24">
        <v>470.1</v>
      </c>
      <c r="E3869" s="24" t="s">
        <v>796</v>
      </c>
      <c r="F3869" s="24" t="s">
        <v>1015</v>
      </c>
      <c r="G3869" s="24">
        <v>169991</v>
      </c>
    </row>
    <row r="3870" spans="1:7" x14ac:dyDescent="0.25">
      <c r="A3870" s="24" t="s">
        <v>444</v>
      </c>
      <c r="B3870" s="24" t="s">
        <v>50</v>
      </c>
      <c r="C3870" s="24" t="s">
        <v>31</v>
      </c>
      <c r="D3870" s="24">
        <v>836.5</v>
      </c>
      <c r="E3870" s="24" t="s">
        <v>796</v>
      </c>
      <c r="F3870" s="24" t="s">
        <v>1015</v>
      </c>
      <c r="G3870" s="24">
        <v>169991</v>
      </c>
    </row>
    <row r="3871" spans="1:7" x14ac:dyDescent="0.25">
      <c r="A3871" s="24" t="s">
        <v>444</v>
      </c>
      <c r="B3871" s="24" t="s">
        <v>51</v>
      </c>
      <c r="C3871" s="24" t="s">
        <v>31</v>
      </c>
      <c r="D3871" s="24">
        <v>112.6</v>
      </c>
      <c r="E3871" s="24" t="s">
        <v>796</v>
      </c>
      <c r="F3871" s="24" t="s">
        <v>1015</v>
      </c>
      <c r="G3871" s="24">
        <v>169991</v>
      </c>
    </row>
    <row r="3872" spans="1:7" x14ac:dyDescent="0.25">
      <c r="A3872" s="24" t="s">
        <v>444</v>
      </c>
      <c r="B3872" s="24" t="s">
        <v>52</v>
      </c>
      <c r="C3872" s="24" t="s">
        <v>31</v>
      </c>
      <c r="D3872" s="24">
        <v>101.5</v>
      </c>
      <c r="E3872" s="24" t="s">
        <v>796</v>
      </c>
      <c r="F3872" s="24" t="s">
        <v>1015</v>
      </c>
      <c r="G3872" s="24">
        <v>169991</v>
      </c>
    </row>
    <row r="3873" spans="1:7" x14ac:dyDescent="0.25">
      <c r="A3873" s="24" t="s">
        <v>444</v>
      </c>
      <c r="B3873" s="24" t="s">
        <v>53</v>
      </c>
      <c r="C3873" s="24" t="s">
        <v>31</v>
      </c>
      <c r="D3873" s="24">
        <v>178.8</v>
      </c>
      <c r="E3873" s="24" t="s">
        <v>796</v>
      </c>
      <c r="F3873" s="24" t="s">
        <v>1015</v>
      </c>
      <c r="G3873" s="24">
        <v>169991</v>
      </c>
    </row>
    <row r="3874" spans="1:7" x14ac:dyDescent="0.25">
      <c r="A3874" s="24" t="s">
        <v>444</v>
      </c>
      <c r="B3874" s="24" t="s">
        <v>54</v>
      </c>
      <c r="C3874" s="24" t="s">
        <v>31</v>
      </c>
      <c r="D3874" s="24">
        <v>4</v>
      </c>
      <c r="E3874" s="24" t="s">
        <v>796</v>
      </c>
      <c r="F3874" s="24" t="s">
        <v>1015</v>
      </c>
      <c r="G3874" s="24">
        <v>169991</v>
      </c>
    </row>
    <row r="3875" spans="1:7" x14ac:dyDescent="0.25">
      <c r="A3875" s="24" t="s">
        <v>444</v>
      </c>
      <c r="B3875" s="24" t="s">
        <v>55</v>
      </c>
      <c r="C3875" s="24" t="s">
        <v>31</v>
      </c>
      <c r="D3875" s="24">
        <v>0.8</v>
      </c>
      <c r="E3875" s="24" t="s">
        <v>796</v>
      </c>
      <c r="F3875" s="24" t="s">
        <v>1015</v>
      </c>
      <c r="G3875" s="24">
        <v>169991</v>
      </c>
    </row>
    <row r="3876" spans="1:7" x14ac:dyDescent="0.25">
      <c r="A3876" s="24" t="s">
        <v>444</v>
      </c>
      <c r="B3876" s="24" t="s">
        <v>56</v>
      </c>
      <c r="C3876" s="24" t="s">
        <v>31</v>
      </c>
      <c r="D3876" s="24">
        <v>0.4</v>
      </c>
      <c r="E3876" s="24" t="s">
        <v>796</v>
      </c>
      <c r="F3876" s="24" t="s">
        <v>1015</v>
      </c>
      <c r="G3876" s="24">
        <v>169991</v>
      </c>
    </row>
    <row r="3877" spans="1:7" x14ac:dyDescent="0.25">
      <c r="A3877" s="24" t="s">
        <v>444</v>
      </c>
      <c r="B3877" s="24" t="s">
        <v>57</v>
      </c>
      <c r="C3877" s="24" t="s">
        <v>36</v>
      </c>
      <c r="D3877" s="24">
        <v>2</v>
      </c>
      <c r="E3877" s="24" t="s">
        <v>796</v>
      </c>
      <c r="F3877" s="24" t="s">
        <v>1015</v>
      </c>
      <c r="G3877" s="24">
        <v>169991</v>
      </c>
    </row>
    <row r="3878" spans="1:7" x14ac:dyDescent="0.25">
      <c r="A3878" s="24" t="s">
        <v>444</v>
      </c>
      <c r="B3878" s="24" t="s">
        <v>58</v>
      </c>
      <c r="C3878" s="24" t="s">
        <v>5</v>
      </c>
      <c r="D3878" s="24">
        <v>0</v>
      </c>
      <c r="E3878" s="24" t="s">
        <v>795</v>
      </c>
      <c r="F3878" s="24"/>
      <c r="G3878" s="24"/>
    </row>
    <row r="3879" spans="1:7" x14ac:dyDescent="0.25">
      <c r="A3879" s="24" t="s">
        <v>445</v>
      </c>
      <c r="B3879" s="24" t="s">
        <v>29</v>
      </c>
      <c r="C3879" s="24" t="s">
        <v>5</v>
      </c>
      <c r="D3879" s="24">
        <v>0</v>
      </c>
      <c r="E3879" s="24" t="s">
        <v>799</v>
      </c>
      <c r="F3879" s="24" t="s">
        <v>1016</v>
      </c>
      <c r="G3879" s="24">
        <v>170401</v>
      </c>
    </row>
    <row r="3880" spans="1:7" x14ac:dyDescent="0.25">
      <c r="A3880" s="24" t="s">
        <v>445</v>
      </c>
      <c r="B3880" s="24" t="s">
        <v>58</v>
      </c>
      <c r="C3880" s="24" t="s">
        <v>5</v>
      </c>
      <c r="D3880" s="24">
        <v>0</v>
      </c>
      <c r="E3880" s="24" t="s">
        <v>795</v>
      </c>
      <c r="F3880" s="24"/>
      <c r="G3880" s="24"/>
    </row>
    <row r="3881" spans="1:7" x14ac:dyDescent="0.25">
      <c r="A3881" s="24" t="s">
        <v>446</v>
      </c>
      <c r="B3881" s="24" t="s">
        <v>29</v>
      </c>
      <c r="C3881" s="24" t="s">
        <v>5</v>
      </c>
      <c r="D3881" s="24">
        <v>0</v>
      </c>
      <c r="E3881" s="24" t="s">
        <v>799</v>
      </c>
      <c r="F3881" s="24" t="s">
        <v>1015</v>
      </c>
      <c r="G3881" s="24">
        <v>169991</v>
      </c>
    </row>
    <row r="3882" spans="1:7" x14ac:dyDescent="0.25">
      <c r="A3882" s="24" t="s">
        <v>446</v>
      </c>
      <c r="B3882" s="24" t="s">
        <v>58</v>
      </c>
      <c r="C3882" s="24" t="s">
        <v>5</v>
      </c>
      <c r="D3882" s="24">
        <v>0</v>
      </c>
      <c r="E3882" s="24" t="s">
        <v>795</v>
      </c>
      <c r="F3882" s="24"/>
      <c r="G3882" s="24"/>
    </row>
    <row r="3883" spans="1:7" x14ac:dyDescent="0.25">
      <c r="A3883" s="24" t="s">
        <v>447</v>
      </c>
      <c r="B3883" s="24" t="s">
        <v>29</v>
      </c>
      <c r="C3883" s="24" t="s">
        <v>5</v>
      </c>
      <c r="D3883" s="24">
        <v>0</v>
      </c>
      <c r="E3883" s="24" t="s">
        <v>799</v>
      </c>
      <c r="F3883" s="24" t="s">
        <v>1017</v>
      </c>
      <c r="G3883" s="24">
        <v>169992</v>
      </c>
    </row>
    <row r="3884" spans="1:7" x14ac:dyDescent="0.25">
      <c r="A3884" s="24" t="s">
        <v>447</v>
      </c>
      <c r="B3884" s="24" t="s">
        <v>58</v>
      </c>
      <c r="C3884" s="24" t="s">
        <v>5</v>
      </c>
      <c r="D3884" s="24">
        <v>0</v>
      </c>
      <c r="E3884" s="24" t="s">
        <v>795</v>
      </c>
      <c r="F3884" s="24"/>
      <c r="G3884" s="24"/>
    </row>
    <row r="3885" spans="1:7" x14ac:dyDescent="0.25">
      <c r="A3885" s="24" t="s">
        <v>448</v>
      </c>
      <c r="B3885" s="24" t="s">
        <v>29</v>
      </c>
      <c r="C3885" s="24" t="s">
        <v>5</v>
      </c>
      <c r="D3885" s="24">
        <v>0</v>
      </c>
      <c r="E3885" s="24" t="s">
        <v>799</v>
      </c>
      <c r="F3885" s="24" t="s">
        <v>1018</v>
      </c>
      <c r="G3885" s="24">
        <v>169230</v>
      </c>
    </row>
    <row r="3886" spans="1:7" x14ac:dyDescent="0.25">
      <c r="A3886" s="24" t="s">
        <v>448</v>
      </c>
      <c r="B3886" s="24" t="s">
        <v>58</v>
      </c>
      <c r="C3886" s="24" t="s">
        <v>5</v>
      </c>
      <c r="D3886" s="24">
        <v>0</v>
      </c>
      <c r="E3886" s="24" t="s">
        <v>795</v>
      </c>
      <c r="F3886" s="24"/>
      <c r="G3886" s="24"/>
    </row>
    <row r="3887" spans="1:7" x14ac:dyDescent="0.25">
      <c r="A3887" s="24" t="s">
        <v>449</v>
      </c>
      <c r="B3887" s="24" t="s">
        <v>29</v>
      </c>
      <c r="C3887" s="24" t="s">
        <v>5</v>
      </c>
      <c r="D3887" s="24">
        <v>0</v>
      </c>
      <c r="E3887" s="24" t="s">
        <v>799</v>
      </c>
      <c r="F3887" s="24" t="s">
        <v>1019</v>
      </c>
      <c r="G3887" s="24">
        <v>169205</v>
      </c>
    </row>
    <row r="3888" spans="1:7" x14ac:dyDescent="0.25">
      <c r="A3888" s="24" t="s">
        <v>449</v>
      </c>
      <c r="B3888" s="24" t="s">
        <v>58</v>
      </c>
      <c r="C3888" s="24" t="s">
        <v>5</v>
      </c>
      <c r="D3888" s="24">
        <v>0</v>
      </c>
      <c r="E3888" s="24" t="s">
        <v>795</v>
      </c>
      <c r="F3888" s="24"/>
      <c r="G3888" s="24"/>
    </row>
    <row r="3889" spans="1:7" x14ac:dyDescent="0.25">
      <c r="A3889" s="24" t="s">
        <v>450</v>
      </c>
      <c r="B3889" s="24" t="s">
        <v>29</v>
      </c>
      <c r="C3889" s="24" t="s">
        <v>5</v>
      </c>
      <c r="D3889" s="24">
        <v>0</v>
      </c>
      <c r="E3889" s="24" t="s">
        <v>799</v>
      </c>
      <c r="F3889" s="24" t="s">
        <v>1020</v>
      </c>
      <c r="G3889" s="24">
        <v>168384</v>
      </c>
    </row>
    <row r="3890" spans="1:7" x14ac:dyDescent="0.25">
      <c r="A3890" s="24" t="s">
        <v>450</v>
      </c>
      <c r="B3890" s="24" t="s">
        <v>58</v>
      </c>
      <c r="C3890" s="24" t="s">
        <v>5</v>
      </c>
      <c r="D3890" s="24">
        <v>0</v>
      </c>
      <c r="E3890" s="24" t="s">
        <v>795</v>
      </c>
      <c r="F3890" s="24"/>
      <c r="G3890" s="24"/>
    </row>
    <row r="3891" spans="1:7" x14ac:dyDescent="0.25">
      <c r="A3891" s="24" t="s">
        <v>451</v>
      </c>
      <c r="B3891" s="24" t="s">
        <v>29</v>
      </c>
      <c r="C3891" s="24" t="s">
        <v>5</v>
      </c>
      <c r="D3891" s="24">
        <v>0</v>
      </c>
      <c r="E3891" s="24" t="s">
        <v>799</v>
      </c>
      <c r="F3891" s="24" t="s">
        <v>1021</v>
      </c>
      <c r="G3891" s="24">
        <v>169988</v>
      </c>
    </row>
    <row r="3892" spans="1:7" x14ac:dyDescent="0.25">
      <c r="A3892" s="24" t="s">
        <v>451</v>
      </c>
      <c r="B3892" s="24" t="s">
        <v>58</v>
      </c>
      <c r="C3892" s="24" t="s">
        <v>5</v>
      </c>
      <c r="D3892" s="24">
        <v>0</v>
      </c>
      <c r="E3892" s="24" t="s">
        <v>795</v>
      </c>
      <c r="F3892" s="24"/>
      <c r="G3892" s="24"/>
    </row>
    <row r="3893" spans="1:7" x14ac:dyDescent="0.25">
      <c r="A3893" s="24" t="s">
        <v>452</v>
      </c>
      <c r="B3893" s="24" t="s">
        <v>29</v>
      </c>
      <c r="C3893" s="24" t="s">
        <v>5</v>
      </c>
      <c r="D3893" s="24">
        <v>0</v>
      </c>
      <c r="E3893" s="24" t="s">
        <v>799</v>
      </c>
      <c r="F3893" s="24" t="s">
        <v>1022</v>
      </c>
      <c r="G3893" s="24">
        <v>169228</v>
      </c>
    </row>
    <row r="3894" spans="1:7" x14ac:dyDescent="0.25">
      <c r="A3894" s="24" t="s">
        <v>452</v>
      </c>
      <c r="B3894" s="24" t="s">
        <v>58</v>
      </c>
      <c r="C3894" s="24" t="s">
        <v>5</v>
      </c>
      <c r="D3894" s="24">
        <v>0</v>
      </c>
      <c r="E3894" s="24" t="s">
        <v>795</v>
      </c>
      <c r="F3894" s="24"/>
      <c r="G3894" s="24"/>
    </row>
    <row r="3895" spans="1:7" x14ac:dyDescent="0.25">
      <c r="A3895" s="24" t="s">
        <v>453</v>
      </c>
      <c r="B3895" s="24" t="s">
        <v>29</v>
      </c>
      <c r="C3895" s="24" t="s">
        <v>5</v>
      </c>
      <c r="D3895" s="24">
        <v>0</v>
      </c>
      <c r="E3895" s="24" t="s">
        <v>799</v>
      </c>
      <c r="F3895" s="24" t="s">
        <v>1023</v>
      </c>
      <c r="G3895" s="24">
        <v>170068</v>
      </c>
    </row>
    <row r="3896" spans="1:7" x14ac:dyDescent="0.25">
      <c r="A3896" s="24" t="s">
        <v>453</v>
      </c>
      <c r="B3896" s="24" t="s">
        <v>58</v>
      </c>
      <c r="C3896" s="24" t="s">
        <v>5</v>
      </c>
      <c r="D3896" s="24">
        <v>0</v>
      </c>
      <c r="E3896" s="24" t="s">
        <v>795</v>
      </c>
      <c r="F3896" s="24"/>
      <c r="G3896" s="24"/>
    </row>
    <row r="3897" spans="1:7" x14ac:dyDescent="0.25">
      <c r="A3897" s="24" t="s">
        <v>454</v>
      </c>
      <c r="B3897" s="24" t="s">
        <v>29</v>
      </c>
      <c r="C3897" s="24" t="s">
        <v>5</v>
      </c>
      <c r="D3897" s="24">
        <v>0</v>
      </c>
      <c r="E3897" s="24" t="s">
        <v>799</v>
      </c>
      <c r="F3897" s="24" t="s">
        <v>1024</v>
      </c>
      <c r="G3897" s="24">
        <v>169145</v>
      </c>
    </row>
    <row r="3898" spans="1:7" x14ac:dyDescent="0.25">
      <c r="A3898" s="24" t="s">
        <v>454</v>
      </c>
      <c r="B3898" s="24" t="s">
        <v>58</v>
      </c>
      <c r="C3898" s="24" t="s">
        <v>5</v>
      </c>
      <c r="D3898" s="24">
        <v>0</v>
      </c>
      <c r="E3898" s="24" t="s">
        <v>795</v>
      </c>
      <c r="F3898" s="24"/>
      <c r="G3898" s="24"/>
    </row>
    <row r="3899" spans="1:7" x14ac:dyDescent="0.25">
      <c r="A3899" s="24" t="s">
        <v>455</v>
      </c>
      <c r="B3899" s="24" t="s">
        <v>29</v>
      </c>
      <c r="C3899" s="24" t="s">
        <v>5</v>
      </c>
      <c r="D3899" s="24">
        <v>0</v>
      </c>
      <c r="E3899" s="24" t="s">
        <v>799</v>
      </c>
      <c r="F3899" s="24" t="s">
        <v>1025</v>
      </c>
      <c r="G3899" s="24">
        <v>170379</v>
      </c>
    </row>
    <row r="3900" spans="1:7" x14ac:dyDescent="0.25">
      <c r="A3900" s="24" t="s">
        <v>455</v>
      </c>
      <c r="B3900" s="24" t="s">
        <v>58</v>
      </c>
      <c r="C3900" s="24" t="s">
        <v>5</v>
      </c>
      <c r="D3900" s="24">
        <v>0</v>
      </c>
      <c r="E3900" s="24" t="s">
        <v>795</v>
      </c>
      <c r="F3900" s="24"/>
      <c r="G3900" s="24"/>
    </row>
    <row r="3901" spans="1:7" x14ac:dyDescent="0.25">
      <c r="A3901" s="24" t="s">
        <v>456</v>
      </c>
      <c r="B3901" s="24" t="s">
        <v>29</v>
      </c>
      <c r="C3901" s="24" t="s">
        <v>5</v>
      </c>
      <c r="D3901" s="24">
        <v>0</v>
      </c>
      <c r="E3901" s="24" t="s">
        <v>799</v>
      </c>
      <c r="F3901" s="24" t="s">
        <v>1026</v>
      </c>
      <c r="G3901" s="24">
        <v>170000</v>
      </c>
    </row>
    <row r="3902" spans="1:7" x14ac:dyDescent="0.25">
      <c r="A3902" s="24" t="s">
        <v>456</v>
      </c>
      <c r="B3902" s="24" t="s">
        <v>58</v>
      </c>
      <c r="C3902" s="24" t="s">
        <v>5</v>
      </c>
      <c r="D3902" s="24">
        <v>0</v>
      </c>
      <c r="E3902" s="24" t="s">
        <v>795</v>
      </c>
      <c r="F3902" s="24"/>
      <c r="G3902" s="24"/>
    </row>
    <row r="3903" spans="1:7" x14ac:dyDescent="0.25">
      <c r="A3903" s="24" t="s">
        <v>457</v>
      </c>
      <c r="B3903" s="24" t="s">
        <v>29</v>
      </c>
      <c r="C3903" s="24" t="s">
        <v>5</v>
      </c>
      <c r="D3903" s="24">
        <v>0</v>
      </c>
      <c r="E3903" s="24" t="s">
        <v>799</v>
      </c>
      <c r="F3903" s="24" t="s">
        <v>1027</v>
      </c>
      <c r="G3903" s="24">
        <v>170005</v>
      </c>
    </row>
    <row r="3904" spans="1:7" x14ac:dyDescent="0.25">
      <c r="A3904" s="24" t="s">
        <v>457</v>
      </c>
      <c r="B3904" s="24" t="s">
        <v>58</v>
      </c>
      <c r="C3904" s="24" t="s">
        <v>5</v>
      </c>
      <c r="D3904" s="24">
        <v>0</v>
      </c>
      <c r="E3904" s="24" t="s">
        <v>795</v>
      </c>
      <c r="F3904" s="24"/>
      <c r="G3904" s="24"/>
    </row>
    <row r="3905" spans="1:7" x14ac:dyDescent="0.25">
      <c r="A3905" s="24" t="s">
        <v>458</v>
      </c>
      <c r="B3905" s="24" t="s">
        <v>29</v>
      </c>
      <c r="C3905" s="24" t="s">
        <v>5</v>
      </c>
      <c r="D3905" s="24">
        <v>0</v>
      </c>
      <c r="E3905" s="24" t="s">
        <v>799</v>
      </c>
      <c r="F3905" s="24" t="s">
        <v>1028</v>
      </c>
      <c r="G3905" s="24">
        <v>169251</v>
      </c>
    </row>
    <row r="3906" spans="1:7" x14ac:dyDescent="0.25">
      <c r="A3906" s="24" t="s">
        <v>458</v>
      </c>
      <c r="B3906" s="24" t="s">
        <v>58</v>
      </c>
      <c r="C3906" s="24" t="s">
        <v>5</v>
      </c>
      <c r="D3906" s="24">
        <v>0</v>
      </c>
      <c r="E3906" s="24" t="s">
        <v>795</v>
      </c>
      <c r="F3906" s="24"/>
      <c r="G3906" s="24"/>
    </row>
    <row r="3907" spans="1:7" x14ac:dyDescent="0.25">
      <c r="A3907" s="24" t="s">
        <v>459</v>
      </c>
      <c r="B3907" s="24" t="s">
        <v>29</v>
      </c>
      <c r="C3907" s="24" t="s">
        <v>5</v>
      </c>
      <c r="D3907" s="24">
        <v>0</v>
      </c>
      <c r="E3907" s="24" t="s">
        <v>799</v>
      </c>
      <c r="F3907" s="24" t="s">
        <v>1029</v>
      </c>
      <c r="G3907" s="24">
        <v>168537</v>
      </c>
    </row>
    <row r="3908" spans="1:7" x14ac:dyDescent="0.25">
      <c r="A3908" s="24" t="s">
        <v>459</v>
      </c>
      <c r="B3908" s="24" t="s">
        <v>58</v>
      </c>
      <c r="C3908" s="24" t="s">
        <v>5</v>
      </c>
      <c r="D3908" s="24">
        <v>0</v>
      </c>
      <c r="E3908" s="24" t="s">
        <v>795</v>
      </c>
      <c r="F3908" s="24"/>
      <c r="G3908" s="24"/>
    </row>
    <row r="3909" spans="1:7" x14ac:dyDescent="0.25">
      <c r="A3909" s="24" t="s">
        <v>460</v>
      </c>
      <c r="B3909" s="24" t="s">
        <v>29</v>
      </c>
      <c r="C3909" s="24" t="s">
        <v>5</v>
      </c>
      <c r="D3909" s="24">
        <v>0</v>
      </c>
      <c r="E3909" s="24" t="s">
        <v>799</v>
      </c>
      <c r="F3909" s="24" t="s">
        <v>1030</v>
      </c>
      <c r="G3909" s="24">
        <v>168580</v>
      </c>
    </row>
    <row r="3910" spans="1:7" x14ac:dyDescent="0.25">
      <c r="A3910" s="24" t="s">
        <v>460</v>
      </c>
      <c r="B3910" s="24" t="s">
        <v>58</v>
      </c>
      <c r="C3910" s="24" t="s">
        <v>5</v>
      </c>
      <c r="D3910" s="24">
        <v>0</v>
      </c>
      <c r="E3910" s="24" t="s">
        <v>795</v>
      </c>
      <c r="F3910" s="24"/>
      <c r="G3910" s="24"/>
    </row>
    <row r="3911" spans="1:7" x14ac:dyDescent="0.25">
      <c r="A3911" s="24" t="s">
        <v>461</v>
      </c>
      <c r="B3911" s="24" t="s">
        <v>29</v>
      </c>
      <c r="C3911" s="24" t="s">
        <v>5</v>
      </c>
      <c r="D3911" s="24">
        <v>0</v>
      </c>
      <c r="E3911" s="24" t="s">
        <v>799</v>
      </c>
      <c r="F3911" s="24" t="s">
        <v>1031</v>
      </c>
      <c r="G3911" s="24">
        <v>169255</v>
      </c>
    </row>
    <row r="3912" spans="1:7" x14ac:dyDescent="0.25">
      <c r="A3912" s="24" t="s">
        <v>461</v>
      </c>
      <c r="B3912" s="24" t="s">
        <v>58</v>
      </c>
      <c r="C3912" s="24" t="s">
        <v>5</v>
      </c>
      <c r="D3912" s="24">
        <v>0</v>
      </c>
      <c r="E3912" s="24" t="s">
        <v>795</v>
      </c>
      <c r="F3912" s="24"/>
      <c r="G3912" s="24"/>
    </row>
    <row r="3913" spans="1:7" x14ac:dyDescent="0.25">
      <c r="A3913" s="24" t="s">
        <v>462</v>
      </c>
      <c r="B3913" s="24" t="s">
        <v>29</v>
      </c>
      <c r="C3913" s="24" t="s">
        <v>5</v>
      </c>
      <c r="D3913" s="24">
        <v>0</v>
      </c>
      <c r="E3913" s="24" t="s">
        <v>799</v>
      </c>
      <c r="F3913" s="24" t="s">
        <v>1032</v>
      </c>
      <c r="G3913" s="24">
        <v>169242</v>
      </c>
    </row>
    <row r="3914" spans="1:7" x14ac:dyDescent="0.25">
      <c r="A3914" s="24" t="s">
        <v>462</v>
      </c>
      <c r="B3914" s="24" t="s">
        <v>58</v>
      </c>
      <c r="C3914" s="24" t="s">
        <v>5</v>
      </c>
      <c r="D3914" s="24">
        <v>0</v>
      </c>
      <c r="E3914" s="24" t="s">
        <v>795</v>
      </c>
      <c r="F3914" s="24"/>
      <c r="G3914" s="24"/>
    </row>
    <row r="3915" spans="1:7" x14ac:dyDescent="0.25">
      <c r="A3915" s="24" t="s">
        <v>463</v>
      </c>
      <c r="B3915" s="24" t="s">
        <v>29</v>
      </c>
      <c r="C3915" s="24" t="s">
        <v>5</v>
      </c>
      <c r="D3915" s="24">
        <v>0</v>
      </c>
      <c r="E3915" s="24" t="s">
        <v>799</v>
      </c>
      <c r="F3915" s="24" t="s">
        <v>1033</v>
      </c>
      <c r="G3915" s="24">
        <v>170097</v>
      </c>
    </row>
    <row r="3916" spans="1:7" x14ac:dyDescent="0.25">
      <c r="A3916" s="24" t="s">
        <v>463</v>
      </c>
      <c r="B3916" s="24" t="s">
        <v>58</v>
      </c>
      <c r="C3916" s="24" t="s">
        <v>5</v>
      </c>
      <c r="D3916" s="24">
        <v>0</v>
      </c>
      <c r="E3916" s="24" t="s">
        <v>795</v>
      </c>
      <c r="F3916" s="24"/>
      <c r="G3916" s="24"/>
    </row>
    <row r="3917" spans="1:7" x14ac:dyDescent="0.25">
      <c r="A3917" s="24" t="s">
        <v>464</v>
      </c>
      <c r="B3917" s="24" t="s">
        <v>29</v>
      </c>
      <c r="C3917" s="24" t="s">
        <v>5</v>
      </c>
      <c r="D3917" s="24">
        <v>0</v>
      </c>
      <c r="E3917" s="24" t="s">
        <v>799</v>
      </c>
      <c r="F3917" s="24" t="s">
        <v>1034</v>
      </c>
      <c r="G3917" s="24">
        <v>169254</v>
      </c>
    </row>
    <row r="3918" spans="1:7" x14ac:dyDescent="0.25">
      <c r="A3918" s="24" t="s">
        <v>464</v>
      </c>
      <c r="B3918" s="24" t="s">
        <v>58</v>
      </c>
      <c r="C3918" s="24" t="s">
        <v>5</v>
      </c>
      <c r="D3918" s="24">
        <v>0</v>
      </c>
      <c r="E3918" s="24" t="s">
        <v>795</v>
      </c>
      <c r="F3918" s="24"/>
      <c r="G3918" s="24"/>
    </row>
    <row r="3919" spans="1:7" x14ac:dyDescent="0.25">
      <c r="A3919" s="24" t="s">
        <v>465</v>
      </c>
      <c r="B3919" s="24" t="s">
        <v>23</v>
      </c>
      <c r="C3919" s="24" t="s">
        <v>5</v>
      </c>
      <c r="D3919" s="24">
        <v>0.6</v>
      </c>
      <c r="E3919" s="24" t="s">
        <v>796</v>
      </c>
      <c r="F3919" s="24" t="s">
        <v>1035</v>
      </c>
      <c r="G3919" s="24">
        <v>168457</v>
      </c>
    </row>
    <row r="3920" spans="1:7" x14ac:dyDescent="0.25">
      <c r="A3920" s="24" t="s">
        <v>465</v>
      </c>
      <c r="B3920" s="24" t="s">
        <v>26</v>
      </c>
      <c r="C3920" s="24" t="s">
        <v>5</v>
      </c>
      <c r="D3920" s="24">
        <v>0.09</v>
      </c>
      <c r="E3920" s="24" t="s">
        <v>799</v>
      </c>
      <c r="F3920" s="24" t="s">
        <v>1035</v>
      </c>
      <c r="G3920" s="24">
        <v>168457</v>
      </c>
    </row>
    <row r="3921" spans="1:7" x14ac:dyDescent="0.25">
      <c r="A3921" s="24" t="s">
        <v>465</v>
      </c>
      <c r="B3921" s="24" t="s">
        <v>27</v>
      </c>
      <c r="C3921" s="24" t="s">
        <v>5</v>
      </c>
      <c r="D3921" s="24">
        <v>0.03</v>
      </c>
      <c r="E3921" s="24" t="s">
        <v>799</v>
      </c>
      <c r="F3921" s="24" t="s">
        <v>1035</v>
      </c>
      <c r="G3921" s="24">
        <v>168457</v>
      </c>
    </row>
    <row r="3922" spans="1:7" x14ac:dyDescent="0.25">
      <c r="A3922" s="24" t="s">
        <v>465</v>
      </c>
      <c r="B3922" s="24" t="s">
        <v>28</v>
      </c>
      <c r="C3922" s="24" t="s">
        <v>5</v>
      </c>
      <c r="D3922" s="24">
        <v>0.02</v>
      </c>
      <c r="E3922" s="24" t="s">
        <v>799</v>
      </c>
      <c r="F3922" s="24" t="s">
        <v>1035</v>
      </c>
      <c r="G3922" s="24">
        <v>168457</v>
      </c>
    </row>
    <row r="3923" spans="1:7" x14ac:dyDescent="0.25">
      <c r="A3923" s="24" t="s">
        <v>465</v>
      </c>
      <c r="B3923" s="24" t="s">
        <v>29</v>
      </c>
      <c r="C3923" s="24" t="s">
        <v>5</v>
      </c>
      <c r="D3923" s="24">
        <v>0</v>
      </c>
      <c r="E3923" s="24" t="s">
        <v>799</v>
      </c>
      <c r="F3923" s="24" t="s">
        <v>1035</v>
      </c>
      <c r="G3923" s="24">
        <v>168457</v>
      </c>
    </row>
    <row r="3924" spans="1:7" x14ac:dyDescent="0.25">
      <c r="A3924" s="24" t="s">
        <v>465</v>
      </c>
      <c r="B3924" s="24" t="s">
        <v>30</v>
      </c>
      <c r="C3924" s="24" t="s">
        <v>31</v>
      </c>
      <c r="D3924" s="24">
        <v>0</v>
      </c>
      <c r="E3924" s="24" t="s">
        <v>801</v>
      </c>
      <c r="F3924" s="24" t="s">
        <v>1035</v>
      </c>
      <c r="G3924" s="24">
        <v>168457</v>
      </c>
    </row>
    <row r="3925" spans="1:7" x14ac:dyDescent="0.25">
      <c r="A3925" s="24" t="s">
        <v>465</v>
      </c>
      <c r="B3925" s="24" t="s">
        <v>32</v>
      </c>
      <c r="C3925" s="24" t="s">
        <v>33</v>
      </c>
      <c r="D3925" s="24">
        <v>6.3</v>
      </c>
      <c r="E3925" s="24" t="s">
        <v>796</v>
      </c>
      <c r="F3925" s="24" t="s">
        <v>1035</v>
      </c>
      <c r="G3925" s="24">
        <v>168457</v>
      </c>
    </row>
    <row r="3926" spans="1:7" x14ac:dyDescent="0.25">
      <c r="A3926" s="24" t="s">
        <v>465</v>
      </c>
      <c r="B3926" s="24" t="s">
        <v>34</v>
      </c>
      <c r="C3926" s="24" t="s">
        <v>31</v>
      </c>
      <c r="D3926" s="24">
        <v>3.1</v>
      </c>
      <c r="E3926" s="24" t="s">
        <v>796</v>
      </c>
      <c r="F3926" s="24" t="s">
        <v>1035</v>
      </c>
      <c r="G3926" s="24">
        <v>168457</v>
      </c>
    </row>
    <row r="3927" spans="1:7" x14ac:dyDescent="0.25">
      <c r="A3927" s="24" t="s">
        <v>465</v>
      </c>
      <c r="B3927" s="24" t="s">
        <v>35</v>
      </c>
      <c r="C3927" s="24" t="s">
        <v>36</v>
      </c>
      <c r="D3927" s="24">
        <v>0</v>
      </c>
      <c r="E3927" s="24" t="s">
        <v>796</v>
      </c>
      <c r="F3927" s="24" t="s">
        <v>1035</v>
      </c>
      <c r="G3927" s="24">
        <v>168457</v>
      </c>
    </row>
    <row r="3928" spans="1:7" x14ac:dyDescent="0.25">
      <c r="A3928" s="24" t="s">
        <v>465</v>
      </c>
      <c r="B3928" s="24" t="s">
        <v>37</v>
      </c>
      <c r="C3928" s="24" t="s">
        <v>38</v>
      </c>
      <c r="D3928" s="24">
        <v>0.9</v>
      </c>
      <c r="E3928" s="24" t="s">
        <v>796</v>
      </c>
      <c r="F3928" s="24" t="s">
        <v>1035</v>
      </c>
      <c r="G3928" s="24">
        <v>168457</v>
      </c>
    </row>
    <row r="3929" spans="1:7" x14ac:dyDescent="0.25">
      <c r="A3929" s="24" t="s">
        <v>465</v>
      </c>
      <c r="B3929" s="24" t="s">
        <v>39</v>
      </c>
      <c r="C3929" s="24" t="s">
        <v>36</v>
      </c>
      <c r="D3929" s="24">
        <v>69.2</v>
      </c>
      <c r="E3929" s="24" t="s">
        <v>796</v>
      </c>
      <c r="F3929" s="24" t="s">
        <v>1035</v>
      </c>
      <c r="G3929" s="24">
        <v>168457</v>
      </c>
    </row>
    <row r="3930" spans="1:7" x14ac:dyDescent="0.25">
      <c r="A3930" s="24" t="s">
        <v>465</v>
      </c>
      <c r="B3930" s="24" t="s">
        <v>40</v>
      </c>
      <c r="C3930" s="24" t="s">
        <v>31</v>
      </c>
      <c r="D3930" s="24">
        <v>0.1</v>
      </c>
      <c r="E3930" s="24" t="s">
        <v>796</v>
      </c>
      <c r="F3930" s="24" t="s">
        <v>1035</v>
      </c>
      <c r="G3930" s="24">
        <v>168457</v>
      </c>
    </row>
    <row r="3931" spans="1:7" x14ac:dyDescent="0.25">
      <c r="A3931" s="24" t="s">
        <v>465</v>
      </c>
      <c r="B3931" s="24" t="s">
        <v>41</v>
      </c>
      <c r="C3931" s="24" t="s">
        <v>31</v>
      </c>
      <c r="D3931" s="24">
        <v>0.2</v>
      </c>
      <c r="E3931" s="24" t="s">
        <v>796</v>
      </c>
      <c r="F3931" s="24" t="s">
        <v>1035</v>
      </c>
      <c r="G3931" s="24">
        <v>168457</v>
      </c>
    </row>
    <row r="3932" spans="1:7" x14ac:dyDescent="0.25">
      <c r="A3932" s="24" t="s">
        <v>465</v>
      </c>
      <c r="B3932" s="24" t="s">
        <v>42</v>
      </c>
      <c r="C3932" s="24" t="s">
        <v>43</v>
      </c>
      <c r="D3932" s="24">
        <v>0.5</v>
      </c>
      <c r="E3932" s="24" t="s">
        <v>796</v>
      </c>
      <c r="F3932" s="24" t="s">
        <v>1035</v>
      </c>
      <c r="G3932" s="24">
        <v>168457</v>
      </c>
    </row>
    <row r="3933" spans="1:7" x14ac:dyDescent="0.25">
      <c r="A3933" s="24" t="s">
        <v>465</v>
      </c>
      <c r="B3933" s="24" t="s">
        <v>44</v>
      </c>
      <c r="C3933" s="24" t="s">
        <v>31</v>
      </c>
      <c r="D3933" s="24">
        <v>0</v>
      </c>
      <c r="E3933" s="24" t="s">
        <v>796</v>
      </c>
      <c r="F3933" s="24" t="s">
        <v>1035</v>
      </c>
      <c r="G3933" s="24">
        <v>168457</v>
      </c>
    </row>
    <row r="3934" spans="1:7" x14ac:dyDescent="0.25">
      <c r="A3934" s="24" t="s">
        <v>465</v>
      </c>
      <c r="B3934" s="24" t="s">
        <v>45</v>
      </c>
      <c r="C3934" s="24" t="s">
        <v>31</v>
      </c>
      <c r="D3934" s="24">
        <v>0.7</v>
      </c>
      <c r="E3934" s="24" t="s">
        <v>796</v>
      </c>
      <c r="F3934" s="24" t="s">
        <v>1035</v>
      </c>
      <c r="G3934" s="24">
        <v>168457</v>
      </c>
    </row>
    <row r="3935" spans="1:7" x14ac:dyDescent="0.25">
      <c r="A3935" s="24" t="s">
        <v>465</v>
      </c>
      <c r="B3935" s="24" t="s">
        <v>46</v>
      </c>
      <c r="C3935" s="24" t="s">
        <v>36</v>
      </c>
      <c r="D3935" s="24">
        <v>0</v>
      </c>
      <c r="E3935" s="24" t="s">
        <v>796</v>
      </c>
      <c r="F3935" s="24" t="s">
        <v>1035</v>
      </c>
      <c r="G3935" s="24">
        <v>168457</v>
      </c>
    </row>
    <row r="3936" spans="1:7" x14ac:dyDescent="0.25">
      <c r="A3936" s="24" t="s">
        <v>465</v>
      </c>
      <c r="B3936" s="24" t="s">
        <v>47</v>
      </c>
      <c r="C3936" s="24" t="s">
        <v>48</v>
      </c>
      <c r="D3936" s="24">
        <v>188.6</v>
      </c>
      <c r="E3936" s="24" t="s">
        <v>796</v>
      </c>
      <c r="F3936" s="24" t="s">
        <v>1035</v>
      </c>
      <c r="G3936" s="24">
        <v>168457</v>
      </c>
    </row>
    <row r="3937" spans="1:7" x14ac:dyDescent="0.25">
      <c r="A3937" s="24" t="s">
        <v>465</v>
      </c>
      <c r="B3937" s="24" t="s">
        <v>49</v>
      </c>
      <c r="C3937" s="24" t="s">
        <v>31</v>
      </c>
      <c r="D3937" s="24">
        <v>244.1</v>
      </c>
      <c r="E3937" s="24" t="s">
        <v>796</v>
      </c>
      <c r="F3937" s="24" t="s">
        <v>1035</v>
      </c>
      <c r="G3937" s="24">
        <v>168457</v>
      </c>
    </row>
    <row r="3938" spans="1:7" x14ac:dyDescent="0.25">
      <c r="A3938" s="24" t="s">
        <v>465</v>
      </c>
      <c r="B3938" s="24" t="s">
        <v>50</v>
      </c>
      <c r="C3938" s="24" t="s">
        <v>31</v>
      </c>
      <c r="D3938" s="24">
        <v>93.3</v>
      </c>
      <c r="E3938" s="24" t="s">
        <v>796</v>
      </c>
      <c r="F3938" s="24" t="s">
        <v>1035</v>
      </c>
      <c r="G3938" s="24">
        <v>168457</v>
      </c>
    </row>
    <row r="3939" spans="1:7" x14ac:dyDescent="0.25">
      <c r="A3939" s="24" t="s">
        <v>465</v>
      </c>
      <c r="B3939" s="24" t="s">
        <v>51</v>
      </c>
      <c r="C3939" s="24" t="s">
        <v>31</v>
      </c>
      <c r="D3939" s="24">
        <v>176</v>
      </c>
      <c r="E3939" s="24" t="s">
        <v>796</v>
      </c>
      <c r="F3939" s="24" t="s">
        <v>1035</v>
      </c>
      <c r="G3939" s="24">
        <v>168457</v>
      </c>
    </row>
    <row r="3940" spans="1:7" x14ac:dyDescent="0.25">
      <c r="A3940" s="24" t="s">
        <v>465</v>
      </c>
      <c r="B3940" s="24" t="s">
        <v>52</v>
      </c>
      <c r="C3940" s="24" t="s">
        <v>31</v>
      </c>
      <c r="D3940" s="24">
        <v>44</v>
      </c>
      <c r="E3940" s="24" t="s">
        <v>796</v>
      </c>
      <c r="F3940" s="24" t="s">
        <v>1035</v>
      </c>
      <c r="G3940" s="24">
        <v>168457</v>
      </c>
    </row>
    <row r="3941" spans="1:7" x14ac:dyDescent="0.25">
      <c r="A3941" s="24" t="s">
        <v>465</v>
      </c>
      <c r="B3941" s="24" t="s">
        <v>53</v>
      </c>
      <c r="C3941" s="24" t="s">
        <v>31</v>
      </c>
      <c r="D3941" s="24">
        <v>126.8</v>
      </c>
      <c r="E3941" s="24" t="s">
        <v>796</v>
      </c>
      <c r="F3941" s="24" t="s">
        <v>1035</v>
      </c>
      <c r="G3941" s="24">
        <v>168457</v>
      </c>
    </row>
    <row r="3942" spans="1:7" x14ac:dyDescent="0.25">
      <c r="A3942" s="24" t="s">
        <v>465</v>
      </c>
      <c r="B3942" s="24" t="s">
        <v>54</v>
      </c>
      <c r="C3942" s="24" t="s">
        <v>31</v>
      </c>
      <c r="D3942" s="24">
        <v>3</v>
      </c>
      <c r="E3942" s="24" t="s">
        <v>796</v>
      </c>
      <c r="F3942" s="24" t="s">
        <v>1035</v>
      </c>
      <c r="G3942" s="24">
        <v>168457</v>
      </c>
    </row>
    <row r="3943" spans="1:7" x14ac:dyDescent="0.25">
      <c r="A3943" s="24" t="s">
        <v>465</v>
      </c>
      <c r="B3943" s="24" t="s">
        <v>55</v>
      </c>
      <c r="C3943" s="24" t="s">
        <v>31</v>
      </c>
      <c r="D3943" s="24">
        <v>1.3</v>
      </c>
      <c r="E3943" s="24" t="s">
        <v>796</v>
      </c>
      <c r="F3943" s="24" t="s">
        <v>1035</v>
      </c>
      <c r="G3943" s="24">
        <v>168457</v>
      </c>
    </row>
    <row r="3944" spans="1:7" x14ac:dyDescent="0.25">
      <c r="A3944" s="24" t="s">
        <v>465</v>
      </c>
      <c r="B3944" s="24" t="s">
        <v>56</v>
      </c>
      <c r="C3944" s="24" t="s">
        <v>31</v>
      </c>
      <c r="D3944" s="24">
        <v>0.1</v>
      </c>
      <c r="E3944" s="24" t="s">
        <v>796</v>
      </c>
      <c r="F3944" s="24" t="s">
        <v>1035</v>
      </c>
      <c r="G3944" s="24">
        <v>168457</v>
      </c>
    </row>
    <row r="3945" spans="1:7" x14ac:dyDescent="0.25">
      <c r="A3945" s="24" t="s">
        <v>465</v>
      </c>
      <c r="B3945" s="24" t="s">
        <v>57</v>
      </c>
      <c r="C3945" s="24" t="s">
        <v>36</v>
      </c>
      <c r="D3945" s="24">
        <v>0.7</v>
      </c>
      <c r="E3945" s="24" t="s">
        <v>796</v>
      </c>
      <c r="F3945" s="24" t="s">
        <v>1035</v>
      </c>
      <c r="G3945" s="24">
        <v>168457</v>
      </c>
    </row>
    <row r="3946" spans="1:7" x14ac:dyDescent="0.25">
      <c r="A3946" s="24" t="s">
        <v>465</v>
      </c>
      <c r="B3946" s="24" t="s">
        <v>58</v>
      </c>
      <c r="C3946" s="24" t="s">
        <v>5</v>
      </c>
      <c r="D3946" s="24">
        <v>0</v>
      </c>
      <c r="E3946" s="24" t="s">
        <v>795</v>
      </c>
      <c r="F3946" s="24"/>
      <c r="G3946" s="24"/>
    </row>
    <row r="3947" spans="1:7" x14ac:dyDescent="0.25">
      <c r="A3947" s="24" t="s">
        <v>466</v>
      </c>
      <c r="B3947" s="24" t="s">
        <v>29</v>
      </c>
      <c r="C3947" s="24" t="s">
        <v>5</v>
      </c>
      <c r="D3947" s="24">
        <v>0</v>
      </c>
      <c r="E3947" s="24" t="s">
        <v>799</v>
      </c>
      <c r="F3947" s="24" t="s">
        <v>1036</v>
      </c>
      <c r="G3947" s="24">
        <v>169986</v>
      </c>
    </row>
    <row r="3948" spans="1:7" x14ac:dyDescent="0.25">
      <c r="A3948" s="24" t="s">
        <v>466</v>
      </c>
      <c r="B3948" s="24" t="s">
        <v>58</v>
      </c>
      <c r="C3948" s="24" t="s">
        <v>5</v>
      </c>
      <c r="D3948" s="24">
        <v>0</v>
      </c>
      <c r="E3948" s="24" t="s">
        <v>795</v>
      </c>
      <c r="F3948" s="24"/>
      <c r="G3948" s="24"/>
    </row>
    <row r="3949" spans="1:7" x14ac:dyDescent="0.25">
      <c r="A3949" s="24" t="s">
        <v>467</v>
      </c>
      <c r="B3949" s="24" t="s">
        <v>29</v>
      </c>
      <c r="C3949" s="24" t="s">
        <v>5</v>
      </c>
      <c r="D3949" s="24">
        <v>0</v>
      </c>
      <c r="E3949" s="24" t="s">
        <v>799</v>
      </c>
      <c r="F3949" s="24" t="s">
        <v>1037</v>
      </c>
      <c r="G3949" s="24">
        <v>168412</v>
      </c>
    </row>
    <row r="3950" spans="1:7" x14ac:dyDescent="0.25">
      <c r="A3950" s="24" t="s">
        <v>467</v>
      </c>
      <c r="B3950" s="24" t="s">
        <v>58</v>
      </c>
      <c r="C3950" s="24" t="s">
        <v>5</v>
      </c>
      <c r="D3950" s="24">
        <v>0</v>
      </c>
      <c r="E3950" s="24" t="s">
        <v>795</v>
      </c>
      <c r="F3950" s="24"/>
      <c r="G3950" s="24"/>
    </row>
    <row r="3951" spans="1:7" x14ac:dyDescent="0.25">
      <c r="A3951" s="24" t="s">
        <v>468</v>
      </c>
      <c r="B3951" s="24" t="s">
        <v>29</v>
      </c>
      <c r="C3951" s="24" t="s">
        <v>5</v>
      </c>
      <c r="D3951" s="24">
        <v>0</v>
      </c>
      <c r="E3951" s="24" t="s">
        <v>799</v>
      </c>
      <c r="F3951" s="24" t="s">
        <v>1038</v>
      </c>
      <c r="G3951" s="24">
        <v>168389</v>
      </c>
    </row>
    <row r="3952" spans="1:7" x14ac:dyDescent="0.25">
      <c r="A3952" s="24" t="s">
        <v>468</v>
      </c>
      <c r="B3952" s="24" t="s">
        <v>58</v>
      </c>
      <c r="C3952" s="24" t="s">
        <v>5</v>
      </c>
      <c r="D3952" s="24">
        <v>0</v>
      </c>
      <c r="E3952" s="24" t="s">
        <v>795</v>
      </c>
      <c r="F3952" s="24"/>
      <c r="G3952" s="24"/>
    </row>
    <row r="3953" spans="1:7" x14ac:dyDescent="0.25">
      <c r="A3953" s="24" t="s">
        <v>469</v>
      </c>
      <c r="B3953" s="24" t="s">
        <v>29</v>
      </c>
      <c r="C3953" s="24" t="s">
        <v>5</v>
      </c>
      <c r="D3953" s="24">
        <v>0</v>
      </c>
      <c r="E3953" s="24" t="s">
        <v>799</v>
      </c>
      <c r="F3953" s="24" t="s">
        <v>1039</v>
      </c>
      <c r="G3953" s="24">
        <v>168463</v>
      </c>
    </row>
    <row r="3954" spans="1:7" x14ac:dyDescent="0.25">
      <c r="A3954" s="24" t="s">
        <v>469</v>
      </c>
      <c r="B3954" s="24" t="s">
        <v>58</v>
      </c>
      <c r="C3954" s="24" t="s">
        <v>5</v>
      </c>
      <c r="D3954" s="24">
        <v>0</v>
      </c>
      <c r="E3954" s="24" t="s">
        <v>795</v>
      </c>
      <c r="F3954" s="24"/>
      <c r="G3954" s="24"/>
    </row>
    <row r="3955" spans="1:7" x14ac:dyDescent="0.25">
      <c r="A3955" s="24" t="s">
        <v>470</v>
      </c>
      <c r="B3955" s="24" t="s">
        <v>29</v>
      </c>
      <c r="C3955" s="24" t="s">
        <v>5</v>
      </c>
      <c r="D3955" s="24">
        <v>0</v>
      </c>
      <c r="E3955" s="24" t="s">
        <v>799</v>
      </c>
      <c r="F3955" s="24" t="s">
        <v>1040</v>
      </c>
      <c r="G3955" s="24">
        <v>168462</v>
      </c>
    </row>
    <row r="3956" spans="1:7" x14ac:dyDescent="0.25">
      <c r="A3956" s="24" t="s">
        <v>470</v>
      </c>
      <c r="B3956" s="24" t="s">
        <v>58</v>
      </c>
      <c r="C3956" s="24" t="s">
        <v>5</v>
      </c>
      <c r="D3956" s="24">
        <v>0</v>
      </c>
      <c r="E3956" s="24" t="s">
        <v>795</v>
      </c>
      <c r="F3956" s="24"/>
      <c r="G3956" s="24"/>
    </row>
    <row r="3957" spans="1:7" x14ac:dyDescent="0.25">
      <c r="A3957" s="24" t="s">
        <v>471</v>
      </c>
      <c r="B3957" s="24" t="s">
        <v>29</v>
      </c>
      <c r="C3957" s="24" t="s">
        <v>5</v>
      </c>
      <c r="D3957" s="24">
        <v>0</v>
      </c>
      <c r="E3957" s="24" t="s">
        <v>799</v>
      </c>
      <c r="F3957" s="24" t="s">
        <v>1041</v>
      </c>
      <c r="G3957" s="24">
        <v>169385</v>
      </c>
    </row>
    <row r="3958" spans="1:7" x14ac:dyDescent="0.25">
      <c r="A3958" s="24" t="s">
        <v>471</v>
      </c>
      <c r="B3958" s="24" t="s">
        <v>58</v>
      </c>
      <c r="C3958" s="24" t="s">
        <v>5</v>
      </c>
      <c r="D3958" s="24">
        <v>0</v>
      </c>
      <c r="E3958" s="24" t="s">
        <v>795</v>
      </c>
      <c r="F3958" s="24"/>
      <c r="G3958" s="24"/>
    </row>
    <row r="3959" spans="1:7" x14ac:dyDescent="0.25">
      <c r="A3959" s="24" t="s">
        <v>472</v>
      </c>
      <c r="B3959" s="24" t="s">
        <v>29</v>
      </c>
      <c r="C3959" s="24" t="s">
        <v>5</v>
      </c>
      <c r="D3959" s="24">
        <v>0</v>
      </c>
      <c r="E3959" s="24" t="s">
        <v>799</v>
      </c>
      <c r="F3959" s="24" t="s">
        <v>1042</v>
      </c>
      <c r="G3959" s="24">
        <v>169249</v>
      </c>
    </row>
    <row r="3960" spans="1:7" x14ac:dyDescent="0.25">
      <c r="A3960" s="24" t="s">
        <v>472</v>
      </c>
      <c r="B3960" s="24" t="s">
        <v>58</v>
      </c>
      <c r="C3960" s="24" t="s">
        <v>5</v>
      </c>
      <c r="D3960" s="24">
        <v>0</v>
      </c>
      <c r="E3960" s="24" t="s">
        <v>795</v>
      </c>
      <c r="F3960" s="24"/>
      <c r="G3960" s="24"/>
    </row>
    <row r="3961" spans="1:7" x14ac:dyDescent="0.25">
      <c r="A3961" s="24" t="s">
        <v>473</v>
      </c>
      <c r="B3961" s="24" t="s">
        <v>23</v>
      </c>
      <c r="C3961" s="24" t="s">
        <v>5</v>
      </c>
      <c r="D3961" s="24">
        <v>0.5</v>
      </c>
      <c r="E3961" s="24" t="s">
        <v>796</v>
      </c>
      <c r="F3961" s="24" t="s">
        <v>1042</v>
      </c>
      <c r="G3961" s="24">
        <v>169249</v>
      </c>
    </row>
    <row r="3962" spans="1:7" x14ac:dyDescent="0.25">
      <c r="A3962" s="24" t="s">
        <v>473</v>
      </c>
      <c r="B3962" s="24" t="s">
        <v>26</v>
      </c>
      <c r="C3962" s="24" t="s">
        <v>5</v>
      </c>
      <c r="D3962" s="24">
        <v>0.09</v>
      </c>
      <c r="E3962" s="24" t="s">
        <v>799</v>
      </c>
      <c r="F3962" s="24" t="s">
        <v>1042</v>
      </c>
      <c r="G3962" s="24">
        <v>169249</v>
      </c>
    </row>
    <row r="3963" spans="1:7" x14ac:dyDescent="0.25">
      <c r="A3963" s="24" t="s">
        <v>473</v>
      </c>
      <c r="B3963" s="24" t="s">
        <v>27</v>
      </c>
      <c r="C3963" s="24" t="s">
        <v>5</v>
      </c>
      <c r="D3963" s="24">
        <v>0.03</v>
      </c>
      <c r="E3963" s="24" t="s">
        <v>799</v>
      </c>
      <c r="F3963" s="24" t="s">
        <v>1042</v>
      </c>
      <c r="G3963" s="24">
        <v>169249</v>
      </c>
    </row>
    <row r="3964" spans="1:7" x14ac:dyDescent="0.25">
      <c r="A3964" s="24" t="s">
        <v>473</v>
      </c>
      <c r="B3964" s="24" t="s">
        <v>28</v>
      </c>
      <c r="C3964" s="24" t="s">
        <v>5</v>
      </c>
      <c r="D3964" s="24">
        <v>0.38</v>
      </c>
      <c r="E3964" s="24" t="s">
        <v>799</v>
      </c>
      <c r="F3964" s="24" t="s">
        <v>1042</v>
      </c>
      <c r="G3964" s="24">
        <v>169249</v>
      </c>
    </row>
    <row r="3965" spans="1:7" x14ac:dyDescent="0.25">
      <c r="A3965" s="24" t="s">
        <v>473</v>
      </c>
      <c r="B3965" s="24" t="s">
        <v>29</v>
      </c>
      <c r="C3965" s="24" t="s">
        <v>5</v>
      </c>
      <c r="D3965" s="24">
        <v>0</v>
      </c>
      <c r="E3965" s="24" t="s">
        <v>799</v>
      </c>
      <c r="F3965" s="24" t="s">
        <v>1042</v>
      </c>
      <c r="G3965" s="24">
        <v>169249</v>
      </c>
    </row>
    <row r="3966" spans="1:7" x14ac:dyDescent="0.25">
      <c r="A3966" s="24" t="s">
        <v>473</v>
      </c>
      <c r="B3966" s="24" t="s">
        <v>30</v>
      </c>
      <c r="C3966" s="24" t="s">
        <v>31</v>
      </c>
      <c r="D3966" s="24">
        <v>0</v>
      </c>
      <c r="E3966" s="24" t="s">
        <v>801</v>
      </c>
      <c r="F3966" s="24" t="s">
        <v>1042</v>
      </c>
      <c r="G3966" s="24">
        <v>169249</v>
      </c>
    </row>
    <row r="3967" spans="1:7" x14ac:dyDescent="0.25">
      <c r="A3967" s="24" t="s">
        <v>473</v>
      </c>
      <c r="B3967" s="24" t="s">
        <v>32</v>
      </c>
      <c r="C3967" s="24" t="s">
        <v>33</v>
      </c>
      <c r="D3967" s="24">
        <v>213.7</v>
      </c>
      <c r="E3967" s="24" t="s">
        <v>796</v>
      </c>
      <c r="F3967" s="24" t="s">
        <v>1042</v>
      </c>
      <c r="G3967" s="24">
        <v>169249</v>
      </c>
    </row>
    <row r="3968" spans="1:7" x14ac:dyDescent="0.25">
      <c r="A3968" s="24" t="s">
        <v>473</v>
      </c>
      <c r="B3968" s="24" t="s">
        <v>34</v>
      </c>
      <c r="C3968" s="24" t="s">
        <v>31</v>
      </c>
      <c r="D3968" s="24">
        <v>5.3</v>
      </c>
      <c r="E3968" s="24" t="s">
        <v>796</v>
      </c>
      <c r="F3968" s="24" t="s">
        <v>1042</v>
      </c>
      <c r="G3968" s="24">
        <v>169249</v>
      </c>
    </row>
    <row r="3969" spans="1:7" x14ac:dyDescent="0.25">
      <c r="A3969" s="24" t="s">
        <v>473</v>
      </c>
      <c r="B3969" s="24" t="s">
        <v>35</v>
      </c>
      <c r="C3969" s="24" t="s">
        <v>36</v>
      </c>
      <c r="D3969" s="24">
        <v>0</v>
      </c>
      <c r="E3969" s="24" t="s">
        <v>796</v>
      </c>
      <c r="F3969" s="24" t="s">
        <v>1042</v>
      </c>
      <c r="G3969" s="24">
        <v>169249</v>
      </c>
    </row>
    <row r="3970" spans="1:7" x14ac:dyDescent="0.25">
      <c r="A3970" s="24" t="s">
        <v>473</v>
      </c>
      <c r="B3970" s="24" t="s">
        <v>37</v>
      </c>
      <c r="C3970" s="24" t="s">
        <v>38</v>
      </c>
      <c r="D3970" s="24">
        <v>0.1</v>
      </c>
      <c r="E3970" s="24" t="s">
        <v>796</v>
      </c>
      <c r="F3970" s="24" t="s">
        <v>1042</v>
      </c>
      <c r="G3970" s="24">
        <v>169249</v>
      </c>
    </row>
    <row r="3971" spans="1:7" x14ac:dyDescent="0.25">
      <c r="A3971" s="24" t="s">
        <v>473</v>
      </c>
      <c r="B3971" s="24" t="s">
        <v>39</v>
      </c>
      <c r="C3971" s="24" t="s">
        <v>36</v>
      </c>
      <c r="D3971" s="24">
        <v>73</v>
      </c>
      <c r="E3971" s="24" t="s">
        <v>796</v>
      </c>
      <c r="F3971" s="24" t="s">
        <v>1042</v>
      </c>
      <c r="G3971" s="24">
        <v>169249</v>
      </c>
    </row>
    <row r="3972" spans="1:7" x14ac:dyDescent="0.25">
      <c r="A3972" s="24" t="s">
        <v>473</v>
      </c>
      <c r="B3972" s="24" t="s">
        <v>40</v>
      </c>
      <c r="C3972" s="24" t="s">
        <v>31</v>
      </c>
      <c r="D3972" s="24">
        <v>0</v>
      </c>
      <c r="E3972" s="24" t="s">
        <v>796</v>
      </c>
      <c r="F3972" s="24" t="s">
        <v>1042</v>
      </c>
      <c r="G3972" s="24">
        <v>169249</v>
      </c>
    </row>
    <row r="3973" spans="1:7" x14ac:dyDescent="0.25">
      <c r="A3973" s="24" t="s">
        <v>473</v>
      </c>
      <c r="B3973" s="24" t="s">
        <v>41</v>
      </c>
      <c r="C3973" s="24" t="s">
        <v>31</v>
      </c>
      <c r="D3973" s="24">
        <v>0</v>
      </c>
      <c r="E3973" s="24" t="s">
        <v>796</v>
      </c>
      <c r="F3973" s="24" t="s">
        <v>1042</v>
      </c>
      <c r="G3973" s="24">
        <v>169249</v>
      </c>
    </row>
    <row r="3974" spans="1:7" x14ac:dyDescent="0.25">
      <c r="A3974" s="24" t="s">
        <v>473</v>
      </c>
      <c r="B3974" s="24" t="s">
        <v>42</v>
      </c>
      <c r="C3974" s="24" t="s">
        <v>43</v>
      </c>
      <c r="D3974" s="24">
        <v>0.2</v>
      </c>
      <c r="E3974" s="24" t="s">
        <v>796</v>
      </c>
      <c r="F3974" s="24" t="s">
        <v>1042</v>
      </c>
      <c r="G3974" s="24">
        <v>169249</v>
      </c>
    </row>
    <row r="3975" spans="1:7" x14ac:dyDescent="0.25">
      <c r="A3975" s="24" t="s">
        <v>473</v>
      </c>
      <c r="B3975" s="24" t="s">
        <v>44</v>
      </c>
      <c r="C3975" s="24" t="s">
        <v>31</v>
      </c>
      <c r="D3975" s="24">
        <v>0.1</v>
      </c>
      <c r="E3975" s="24" t="s">
        <v>796</v>
      </c>
      <c r="F3975" s="24" t="s">
        <v>1042</v>
      </c>
      <c r="G3975" s="24">
        <v>169249</v>
      </c>
    </row>
    <row r="3976" spans="1:7" x14ac:dyDescent="0.25">
      <c r="A3976" s="24" t="s">
        <v>473</v>
      </c>
      <c r="B3976" s="24" t="s">
        <v>45</v>
      </c>
      <c r="C3976" s="24" t="s">
        <v>31</v>
      </c>
      <c r="D3976" s="24">
        <v>0.1</v>
      </c>
      <c r="E3976" s="24" t="s">
        <v>796</v>
      </c>
      <c r="F3976" s="24" t="s">
        <v>1042</v>
      </c>
      <c r="G3976" s="24">
        <v>169249</v>
      </c>
    </row>
    <row r="3977" spans="1:7" x14ac:dyDescent="0.25">
      <c r="A3977" s="24" t="s">
        <v>473</v>
      </c>
      <c r="B3977" s="24" t="s">
        <v>46</v>
      </c>
      <c r="C3977" s="24" t="s">
        <v>36</v>
      </c>
      <c r="D3977" s="24">
        <v>0</v>
      </c>
      <c r="E3977" s="24" t="s">
        <v>796</v>
      </c>
      <c r="F3977" s="24" t="s">
        <v>1042</v>
      </c>
      <c r="G3977" s="24">
        <v>169249</v>
      </c>
    </row>
    <row r="3978" spans="1:7" x14ac:dyDescent="0.25">
      <c r="A3978" s="24" t="s">
        <v>473</v>
      </c>
      <c r="B3978" s="24" t="s">
        <v>47</v>
      </c>
      <c r="C3978" s="24" t="s">
        <v>48</v>
      </c>
      <c r="D3978" s="24">
        <v>22</v>
      </c>
      <c r="E3978" s="24" t="s">
        <v>796</v>
      </c>
      <c r="F3978" s="24" t="s">
        <v>1042</v>
      </c>
      <c r="G3978" s="24">
        <v>169249</v>
      </c>
    </row>
    <row r="3979" spans="1:7" x14ac:dyDescent="0.25">
      <c r="A3979" s="24" t="s">
        <v>473</v>
      </c>
      <c r="B3979" s="24" t="s">
        <v>50</v>
      </c>
      <c r="C3979" s="24" t="s">
        <v>31</v>
      </c>
      <c r="D3979" s="24">
        <v>112.1</v>
      </c>
      <c r="E3979" s="24" t="s">
        <v>796</v>
      </c>
      <c r="F3979" s="24" t="s">
        <v>1042</v>
      </c>
      <c r="G3979" s="24">
        <v>169249</v>
      </c>
    </row>
    <row r="3980" spans="1:7" x14ac:dyDescent="0.25">
      <c r="A3980" s="24" t="s">
        <v>473</v>
      </c>
      <c r="B3980" s="24" t="s">
        <v>51</v>
      </c>
      <c r="C3980" s="24" t="s">
        <v>31</v>
      </c>
      <c r="D3980" s="24">
        <v>20.8</v>
      </c>
      <c r="E3980" s="24" t="s">
        <v>796</v>
      </c>
      <c r="F3980" s="24" t="s">
        <v>1042</v>
      </c>
      <c r="G3980" s="24">
        <v>169249</v>
      </c>
    </row>
    <row r="3981" spans="1:7" x14ac:dyDescent="0.25">
      <c r="A3981" s="24" t="s">
        <v>473</v>
      </c>
      <c r="B3981" s="24" t="s">
        <v>52</v>
      </c>
      <c r="C3981" s="24" t="s">
        <v>31</v>
      </c>
      <c r="D3981" s="24">
        <v>16.8</v>
      </c>
      <c r="E3981" s="24" t="s">
        <v>796</v>
      </c>
      <c r="F3981" s="24" t="s">
        <v>1042</v>
      </c>
      <c r="G3981" s="24">
        <v>169249</v>
      </c>
    </row>
    <row r="3982" spans="1:7" x14ac:dyDescent="0.25">
      <c r="A3982" s="24" t="s">
        <v>473</v>
      </c>
      <c r="B3982" s="24" t="s">
        <v>53</v>
      </c>
      <c r="C3982" s="24" t="s">
        <v>31</v>
      </c>
      <c r="D3982" s="24">
        <v>7.5</v>
      </c>
      <c r="E3982" s="24" t="s">
        <v>796</v>
      </c>
      <c r="F3982" s="24" t="s">
        <v>1042</v>
      </c>
      <c r="G3982" s="24">
        <v>169249</v>
      </c>
    </row>
    <row r="3983" spans="1:7" x14ac:dyDescent="0.25">
      <c r="A3983" s="24" t="s">
        <v>473</v>
      </c>
      <c r="B3983" s="24" t="s">
        <v>54</v>
      </c>
      <c r="C3983" s="24" t="s">
        <v>31</v>
      </c>
      <c r="D3983" s="24">
        <v>0.5</v>
      </c>
      <c r="E3983" s="24" t="s">
        <v>796</v>
      </c>
      <c r="F3983" s="24" t="s">
        <v>1042</v>
      </c>
      <c r="G3983" s="24">
        <v>169249</v>
      </c>
    </row>
    <row r="3984" spans="1:7" x14ac:dyDescent="0.25">
      <c r="A3984" s="24" t="s">
        <v>473</v>
      </c>
      <c r="B3984" s="24" t="s">
        <v>55</v>
      </c>
      <c r="C3984" s="24" t="s">
        <v>31</v>
      </c>
      <c r="D3984" s="24">
        <v>0.1</v>
      </c>
      <c r="E3984" s="24" t="s">
        <v>796</v>
      </c>
      <c r="F3984" s="24" t="s">
        <v>1042</v>
      </c>
      <c r="G3984" s="24">
        <v>169249</v>
      </c>
    </row>
    <row r="3985" spans="1:7" x14ac:dyDescent="0.25">
      <c r="A3985" s="24" t="s">
        <v>473</v>
      </c>
      <c r="B3985" s="24" t="s">
        <v>56</v>
      </c>
      <c r="C3985" s="24" t="s">
        <v>31</v>
      </c>
      <c r="D3985" s="24">
        <v>0</v>
      </c>
      <c r="E3985" s="24" t="s">
        <v>796</v>
      </c>
      <c r="F3985" s="24" t="s">
        <v>1042</v>
      </c>
      <c r="G3985" s="24">
        <v>169249</v>
      </c>
    </row>
    <row r="3986" spans="1:7" x14ac:dyDescent="0.25">
      <c r="A3986" s="24" t="s">
        <v>473</v>
      </c>
      <c r="B3986" s="24" t="s">
        <v>57</v>
      </c>
      <c r="C3986" s="24" t="s">
        <v>36</v>
      </c>
      <c r="D3986" s="24">
        <v>0.3</v>
      </c>
      <c r="E3986" s="24" t="s">
        <v>796</v>
      </c>
      <c r="F3986" s="24" t="s">
        <v>1042</v>
      </c>
      <c r="G3986" s="24">
        <v>169249</v>
      </c>
    </row>
    <row r="3987" spans="1:7" x14ac:dyDescent="0.25">
      <c r="A3987" s="24" t="s">
        <v>473</v>
      </c>
      <c r="B3987" s="24" t="s">
        <v>58</v>
      </c>
      <c r="C3987" s="24" t="s">
        <v>5</v>
      </c>
      <c r="D3987" s="24">
        <v>0</v>
      </c>
      <c r="E3987" s="24" t="s">
        <v>795</v>
      </c>
      <c r="F3987" s="24"/>
      <c r="G3987" s="24"/>
    </row>
    <row r="3988" spans="1:7" x14ac:dyDescent="0.25">
      <c r="A3988" s="24" t="s">
        <v>474</v>
      </c>
      <c r="B3988" s="24" t="s">
        <v>29</v>
      </c>
      <c r="C3988" s="24" t="s">
        <v>5</v>
      </c>
      <c r="D3988" s="24">
        <v>0</v>
      </c>
      <c r="E3988" s="24" t="s">
        <v>799</v>
      </c>
      <c r="F3988" s="24" t="s">
        <v>1043</v>
      </c>
      <c r="G3988" s="24">
        <v>168431</v>
      </c>
    </row>
    <row r="3989" spans="1:7" x14ac:dyDescent="0.25">
      <c r="A3989" s="24" t="s">
        <v>474</v>
      </c>
      <c r="B3989" s="24" t="s">
        <v>58</v>
      </c>
      <c r="C3989" s="24" t="s">
        <v>5</v>
      </c>
      <c r="D3989" s="24">
        <v>0</v>
      </c>
      <c r="E3989" s="24" t="s">
        <v>795</v>
      </c>
      <c r="F3989" s="24"/>
      <c r="G3989" s="24"/>
    </row>
    <row r="3990" spans="1:7" x14ac:dyDescent="0.25">
      <c r="A3990" s="24" t="s">
        <v>475</v>
      </c>
      <c r="B3990" s="24" t="s">
        <v>26</v>
      </c>
      <c r="C3990" s="24" t="s">
        <v>5</v>
      </c>
      <c r="D3990" s="24">
        <v>0.15</v>
      </c>
      <c r="E3990" s="24" t="s">
        <v>799</v>
      </c>
      <c r="F3990" s="24" t="s">
        <v>1044</v>
      </c>
      <c r="G3990" s="24">
        <v>168458</v>
      </c>
    </row>
    <row r="3991" spans="1:7" x14ac:dyDescent="0.25">
      <c r="A3991" s="24" t="s">
        <v>475</v>
      </c>
      <c r="B3991" s="24" t="s">
        <v>27</v>
      </c>
      <c r="C3991" s="24" t="s">
        <v>5</v>
      </c>
      <c r="D3991" s="24">
        <v>0.06</v>
      </c>
      <c r="E3991" s="24" t="s">
        <v>799</v>
      </c>
      <c r="F3991" s="24" t="s">
        <v>1044</v>
      </c>
      <c r="G3991" s="24">
        <v>168458</v>
      </c>
    </row>
    <row r="3992" spans="1:7" x14ac:dyDescent="0.25">
      <c r="A3992" s="24" t="s">
        <v>475</v>
      </c>
      <c r="B3992" s="24" t="s">
        <v>28</v>
      </c>
      <c r="C3992" s="24" t="s">
        <v>5</v>
      </c>
      <c r="D3992" s="24">
        <v>0.27</v>
      </c>
      <c r="E3992" s="24" t="s">
        <v>799</v>
      </c>
      <c r="F3992" s="24" t="s">
        <v>1044</v>
      </c>
      <c r="G3992" s="24">
        <v>168458</v>
      </c>
    </row>
    <row r="3993" spans="1:7" x14ac:dyDescent="0.25">
      <c r="A3993" s="24" t="s">
        <v>475</v>
      </c>
      <c r="B3993" s="24" t="s">
        <v>29</v>
      </c>
      <c r="C3993" s="24" t="s">
        <v>5</v>
      </c>
      <c r="D3993" s="24">
        <v>0</v>
      </c>
      <c r="E3993" s="24" t="s">
        <v>799</v>
      </c>
      <c r="F3993" s="24" t="s">
        <v>1044</v>
      </c>
      <c r="G3993" s="24">
        <v>168458</v>
      </c>
    </row>
    <row r="3994" spans="1:7" x14ac:dyDescent="0.25">
      <c r="A3994" s="24" t="s">
        <v>475</v>
      </c>
      <c r="B3994" s="24" t="s">
        <v>30</v>
      </c>
      <c r="C3994" s="24" t="s">
        <v>31</v>
      </c>
      <c r="D3994" s="24">
        <v>0</v>
      </c>
      <c r="E3994" s="24" t="s">
        <v>801</v>
      </c>
      <c r="F3994" s="24" t="s">
        <v>1044</v>
      </c>
      <c r="G3994" s="24">
        <v>168458</v>
      </c>
    </row>
    <row r="3995" spans="1:7" x14ac:dyDescent="0.25">
      <c r="A3995" s="24" t="s">
        <v>475</v>
      </c>
      <c r="B3995" s="24" t="s">
        <v>32</v>
      </c>
      <c r="C3995" s="24" t="s">
        <v>33</v>
      </c>
      <c r="D3995" s="24">
        <v>243.2</v>
      </c>
      <c r="E3995" s="24" t="s">
        <v>796</v>
      </c>
      <c r="F3995" s="24" t="s">
        <v>1044</v>
      </c>
      <c r="G3995" s="24">
        <v>168458</v>
      </c>
    </row>
    <row r="3996" spans="1:7" x14ac:dyDescent="0.25">
      <c r="A3996" s="24" t="s">
        <v>475</v>
      </c>
      <c r="B3996" s="24" t="s">
        <v>34</v>
      </c>
      <c r="C3996" s="24" t="s">
        <v>31</v>
      </c>
      <c r="D3996" s="24">
        <v>36.5</v>
      </c>
      <c r="E3996" s="24" t="s">
        <v>796</v>
      </c>
      <c r="F3996" s="24" t="s">
        <v>1044</v>
      </c>
      <c r="G3996" s="24">
        <v>168458</v>
      </c>
    </row>
    <row r="3997" spans="1:7" x14ac:dyDescent="0.25">
      <c r="A3997" s="24" t="s">
        <v>475</v>
      </c>
      <c r="B3997" s="24" t="s">
        <v>35</v>
      </c>
      <c r="C3997" s="24" t="s">
        <v>36</v>
      </c>
      <c r="D3997" s="24">
        <v>0</v>
      </c>
      <c r="E3997" s="24" t="s">
        <v>796</v>
      </c>
      <c r="F3997" s="24" t="s">
        <v>1044</v>
      </c>
      <c r="G3997" s="24">
        <v>168458</v>
      </c>
    </row>
    <row r="3998" spans="1:7" x14ac:dyDescent="0.25">
      <c r="A3998" s="24" t="s">
        <v>475</v>
      </c>
      <c r="B3998" s="24" t="s">
        <v>37</v>
      </c>
      <c r="C3998" s="24" t="s">
        <v>38</v>
      </c>
      <c r="D3998" s="24">
        <v>0.9</v>
      </c>
      <c r="E3998" s="24" t="s">
        <v>796</v>
      </c>
      <c r="F3998" s="24" t="s">
        <v>1044</v>
      </c>
      <c r="G3998" s="24">
        <v>168458</v>
      </c>
    </row>
    <row r="3999" spans="1:7" x14ac:dyDescent="0.25">
      <c r="A3999" s="24" t="s">
        <v>475</v>
      </c>
      <c r="B3999" s="24" t="s">
        <v>39</v>
      </c>
      <c r="C3999" s="24" t="s">
        <v>36</v>
      </c>
      <c r="D3999" s="24">
        <v>3.7</v>
      </c>
      <c r="E3999" s="24" t="s">
        <v>796</v>
      </c>
      <c r="F3999" s="24" t="s">
        <v>1044</v>
      </c>
      <c r="G3999" s="24">
        <v>168458</v>
      </c>
    </row>
    <row r="4000" spans="1:7" x14ac:dyDescent="0.25">
      <c r="A4000" s="24" t="s">
        <v>475</v>
      </c>
      <c r="B4000" s="24" t="s">
        <v>40</v>
      </c>
      <c r="C4000" s="24" t="s">
        <v>31</v>
      </c>
      <c r="D4000" s="24">
        <v>0.1</v>
      </c>
      <c r="E4000" s="24" t="s">
        <v>796</v>
      </c>
      <c r="F4000" s="24" t="s">
        <v>1044</v>
      </c>
      <c r="G4000" s="24">
        <v>168458</v>
      </c>
    </row>
    <row r="4001" spans="1:7" x14ac:dyDescent="0.25">
      <c r="A4001" s="24" t="s">
        <v>475</v>
      </c>
      <c r="B4001" s="24" t="s">
        <v>41</v>
      </c>
      <c r="C4001" s="24" t="s">
        <v>31</v>
      </c>
      <c r="D4001" s="24">
        <v>0.4</v>
      </c>
      <c r="E4001" s="24" t="s">
        <v>796</v>
      </c>
      <c r="F4001" s="24" t="s">
        <v>1044</v>
      </c>
      <c r="G4001" s="24">
        <v>168458</v>
      </c>
    </row>
    <row r="4002" spans="1:7" x14ac:dyDescent="0.25">
      <c r="A4002" s="24" t="s">
        <v>475</v>
      </c>
      <c r="B4002" s="24" t="s">
        <v>42</v>
      </c>
      <c r="C4002" s="24" t="s">
        <v>43</v>
      </c>
      <c r="D4002" s="24">
        <v>1.4</v>
      </c>
      <c r="E4002" s="24" t="s">
        <v>796</v>
      </c>
      <c r="F4002" s="24" t="s">
        <v>1044</v>
      </c>
      <c r="G4002" s="24">
        <v>168458</v>
      </c>
    </row>
    <row r="4003" spans="1:7" x14ac:dyDescent="0.25">
      <c r="A4003" s="24" t="s">
        <v>475</v>
      </c>
      <c r="B4003" s="24" t="s">
        <v>44</v>
      </c>
      <c r="C4003" s="24" t="s">
        <v>31</v>
      </c>
      <c r="D4003" s="24">
        <v>0.1</v>
      </c>
      <c r="E4003" s="24" t="s">
        <v>796</v>
      </c>
      <c r="F4003" s="24" t="s">
        <v>1044</v>
      </c>
      <c r="G4003" s="24">
        <v>168458</v>
      </c>
    </row>
    <row r="4004" spans="1:7" x14ac:dyDescent="0.25">
      <c r="A4004" s="24" t="s">
        <v>475</v>
      </c>
      <c r="B4004" s="24" t="s">
        <v>45</v>
      </c>
      <c r="C4004" s="24" t="s">
        <v>31</v>
      </c>
      <c r="D4004" s="24">
        <v>0.5</v>
      </c>
      <c r="E4004" s="24" t="s">
        <v>796</v>
      </c>
      <c r="F4004" s="24" t="s">
        <v>1044</v>
      </c>
      <c r="G4004" s="24">
        <v>168458</v>
      </c>
    </row>
    <row r="4005" spans="1:7" x14ac:dyDescent="0.25">
      <c r="A4005" s="24" t="s">
        <v>475</v>
      </c>
      <c r="B4005" s="24" t="s">
        <v>46</v>
      </c>
      <c r="C4005" s="24" t="s">
        <v>36</v>
      </c>
      <c r="D4005" s="24">
        <v>0</v>
      </c>
      <c r="E4005" s="24" t="s">
        <v>796</v>
      </c>
      <c r="F4005" s="24" t="s">
        <v>1044</v>
      </c>
      <c r="G4005" s="24">
        <v>168458</v>
      </c>
    </row>
    <row r="4006" spans="1:7" x14ac:dyDescent="0.25">
      <c r="A4006" s="24" t="s">
        <v>475</v>
      </c>
      <c r="B4006" s="24" t="s">
        <v>47</v>
      </c>
      <c r="C4006" s="24" t="s">
        <v>48</v>
      </c>
      <c r="D4006" s="24">
        <v>136.5</v>
      </c>
      <c r="E4006" s="24" t="s">
        <v>796</v>
      </c>
      <c r="F4006" s="24" t="s">
        <v>1044</v>
      </c>
      <c r="G4006" s="24">
        <v>168458</v>
      </c>
    </row>
    <row r="4007" spans="1:7" x14ac:dyDescent="0.25">
      <c r="A4007" s="24" t="s">
        <v>475</v>
      </c>
      <c r="B4007" s="24" t="s">
        <v>49</v>
      </c>
      <c r="C4007" s="24" t="s">
        <v>31</v>
      </c>
      <c r="D4007" s="24">
        <v>44.9</v>
      </c>
      <c r="E4007" s="24" t="s">
        <v>796</v>
      </c>
      <c r="F4007" s="24" t="s">
        <v>1044</v>
      </c>
      <c r="G4007" s="24">
        <v>168458</v>
      </c>
    </row>
    <row r="4008" spans="1:7" x14ac:dyDescent="0.25">
      <c r="A4008" s="24" t="s">
        <v>475</v>
      </c>
      <c r="B4008" s="24" t="s">
        <v>50</v>
      </c>
      <c r="C4008" s="24" t="s">
        <v>31</v>
      </c>
      <c r="D4008" s="24">
        <v>332.9</v>
      </c>
      <c r="E4008" s="24" t="s">
        <v>796</v>
      </c>
      <c r="F4008" s="24" t="s">
        <v>1044</v>
      </c>
      <c r="G4008" s="24">
        <v>168458</v>
      </c>
    </row>
    <row r="4009" spans="1:7" x14ac:dyDescent="0.25">
      <c r="A4009" s="24" t="s">
        <v>475</v>
      </c>
      <c r="B4009" s="24" t="s">
        <v>51</v>
      </c>
      <c r="C4009" s="24" t="s">
        <v>31</v>
      </c>
      <c r="D4009" s="24">
        <v>65.5</v>
      </c>
      <c r="E4009" s="24" t="s">
        <v>796</v>
      </c>
      <c r="F4009" s="24" t="s">
        <v>1044</v>
      </c>
      <c r="G4009" s="24">
        <v>168458</v>
      </c>
    </row>
    <row r="4010" spans="1:7" x14ac:dyDescent="0.25">
      <c r="A4010" s="24" t="s">
        <v>475</v>
      </c>
      <c r="B4010" s="24" t="s">
        <v>52</v>
      </c>
      <c r="C4010" s="24" t="s">
        <v>31</v>
      </c>
      <c r="D4010" s="24">
        <v>54.2</v>
      </c>
      <c r="E4010" s="24" t="s">
        <v>796</v>
      </c>
      <c r="F4010" s="24" t="s">
        <v>1044</v>
      </c>
      <c r="G4010" s="24">
        <v>168458</v>
      </c>
    </row>
    <row r="4011" spans="1:7" x14ac:dyDescent="0.25">
      <c r="A4011" s="24" t="s">
        <v>475</v>
      </c>
      <c r="B4011" s="24" t="s">
        <v>53</v>
      </c>
      <c r="C4011" s="24" t="s">
        <v>31</v>
      </c>
      <c r="D4011" s="24">
        <v>1.9</v>
      </c>
      <c r="E4011" s="24" t="s">
        <v>796</v>
      </c>
      <c r="F4011" s="24" t="s">
        <v>1044</v>
      </c>
      <c r="G4011" s="24">
        <v>168458</v>
      </c>
    </row>
    <row r="4012" spans="1:7" x14ac:dyDescent="0.25">
      <c r="A4012" s="24" t="s">
        <v>475</v>
      </c>
      <c r="B4012" s="24" t="s">
        <v>54</v>
      </c>
      <c r="C4012" s="24" t="s">
        <v>31</v>
      </c>
      <c r="D4012" s="24">
        <v>1.7</v>
      </c>
      <c r="E4012" s="24" t="s">
        <v>796</v>
      </c>
      <c r="F4012" s="24" t="s">
        <v>1044</v>
      </c>
      <c r="G4012" s="24">
        <v>168458</v>
      </c>
    </row>
    <row r="4013" spans="1:7" x14ac:dyDescent="0.25">
      <c r="A4013" s="24" t="s">
        <v>475</v>
      </c>
      <c r="B4013" s="24" t="s">
        <v>55</v>
      </c>
      <c r="C4013" s="24" t="s">
        <v>31</v>
      </c>
      <c r="D4013" s="24">
        <v>1</v>
      </c>
      <c r="E4013" s="24" t="s">
        <v>796</v>
      </c>
      <c r="F4013" s="24" t="s">
        <v>1044</v>
      </c>
      <c r="G4013" s="24">
        <v>168458</v>
      </c>
    </row>
    <row r="4014" spans="1:7" x14ac:dyDescent="0.25">
      <c r="A4014" s="24" t="s">
        <v>475</v>
      </c>
      <c r="B4014" s="24" t="s">
        <v>56</v>
      </c>
      <c r="C4014" s="24" t="s">
        <v>31</v>
      </c>
      <c r="D4014" s="24">
        <v>0.2</v>
      </c>
      <c r="E4014" s="24" t="s">
        <v>796</v>
      </c>
      <c r="F4014" s="24" t="s">
        <v>1044</v>
      </c>
      <c r="G4014" s="24">
        <v>168458</v>
      </c>
    </row>
    <row r="4015" spans="1:7" x14ac:dyDescent="0.25">
      <c r="A4015" s="24" t="s">
        <v>475</v>
      </c>
      <c r="B4015" s="24" t="s">
        <v>57</v>
      </c>
      <c r="C4015" s="24" t="s">
        <v>36</v>
      </c>
      <c r="D4015" s="24">
        <v>0.7</v>
      </c>
      <c r="E4015" s="24" t="s">
        <v>796</v>
      </c>
      <c r="F4015" s="24" t="s">
        <v>1044</v>
      </c>
      <c r="G4015" s="24">
        <v>168458</v>
      </c>
    </row>
    <row r="4016" spans="1:7" x14ac:dyDescent="0.25">
      <c r="A4016" s="24" t="s">
        <v>475</v>
      </c>
      <c r="B4016" s="24" t="s">
        <v>58</v>
      </c>
      <c r="C4016" s="24" t="s">
        <v>5</v>
      </c>
      <c r="D4016" s="24">
        <v>0</v>
      </c>
      <c r="E4016" s="24" t="s">
        <v>795</v>
      </c>
      <c r="F4016" s="24"/>
      <c r="G4016" s="24"/>
    </row>
    <row r="4017" spans="1:7" x14ac:dyDescent="0.25">
      <c r="A4017" s="24" t="s">
        <v>476</v>
      </c>
      <c r="B4017" s="24" t="s">
        <v>26</v>
      </c>
      <c r="C4017" s="24" t="s">
        <v>5</v>
      </c>
      <c r="D4017" s="24">
        <v>0.02</v>
      </c>
      <c r="E4017" s="24" t="s">
        <v>799</v>
      </c>
      <c r="F4017" s="24" t="s">
        <v>1044</v>
      </c>
      <c r="G4017" s="24">
        <v>168458</v>
      </c>
    </row>
    <row r="4018" spans="1:7" x14ac:dyDescent="0.25">
      <c r="A4018" s="24" t="s">
        <v>476</v>
      </c>
      <c r="B4018" s="24" t="s">
        <v>27</v>
      </c>
      <c r="C4018" s="24" t="s">
        <v>5</v>
      </c>
      <c r="D4018" s="24">
        <v>0.01</v>
      </c>
      <c r="E4018" s="24" t="s">
        <v>799</v>
      </c>
      <c r="F4018" s="24" t="s">
        <v>1044</v>
      </c>
      <c r="G4018" s="24">
        <v>168458</v>
      </c>
    </row>
    <row r="4019" spans="1:7" x14ac:dyDescent="0.25">
      <c r="A4019" s="24" t="s">
        <v>476</v>
      </c>
      <c r="B4019" s="24" t="s">
        <v>28</v>
      </c>
      <c r="C4019" s="24" t="s">
        <v>5</v>
      </c>
      <c r="D4019" s="24">
        <v>0.04</v>
      </c>
      <c r="E4019" s="24" t="s">
        <v>799</v>
      </c>
      <c r="F4019" s="24" t="s">
        <v>1044</v>
      </c>
      <c r="G4019" s="24">
        <v>168458</v>
      </c>
    </row>
    <row r="4020" spans="1:7" x14ac:dyDescent="0.25">
      <c r="A4020" s="24" t="s">
        <v>476</v>
      </c>
      <c r="B4020" s="24" t="s">
        <v>29</v>
      </c>
      <c r="C4020" s="24" t="s">
        <v>5</v>
      </c>
      <c r="D4020" s="24">
        <v>0</v>
      </c>
      <c r="E4020" s="24" t="s">
        <v>799</v>
      </c>
      <c r="F4020" s="24" t="s">
        <v>1044</v>
      </c>
      <c r="G4020" s="24">
        <v>168458</v>
      </c>
    </row>
    <row r="4021" spans="1:7" x14ac:dyDescent="0.25">
      <c r="A4021" s="24" t="s">
        <v>476</v>
      </c>
      <c r="B4021" s="24" t="s">
        <v>30</v>
      </c>
      <c r="C4021" s="24" t="s">
        <v>31</v>
      </c>
      <c r="D4021" s="24">
        <v>0</v>
      </c>
      <c r="E4021" s="24" t="s">
        <v>801</v>
      </c>
      <c r="F4021" s="24" t="s">
        <v>1044</v>
      </c>
      <c r="G4021" s="24">
        <v>168458</v>
      </c>
    </row>
    <row r="4022" spans="1:7" x14ac:dyDescent="0.25">
      <c r="A4022" s="24" t="s">
        <v>476</v>
      </c>
      <c r="B4022" s="24" t="s">
        <v>32</v>
      </c>
      <c r="C4022" s="24" t="s">
        <v>33</v>
      </c>
      <c r="D4022" s="24">
        <v>780</v>
      </c>
      <c r="E4022" s="24" t="s">
        <v>796</v>
      </c>
      <c r="F4022" s="24" t="s">
        <v>1044</v>
      </c>
      <c r="G4022" s="24">
        <v>168458</v>
      </c>
    </row>
    <row r="4023" spans="1:7" x14ac:dyDescent="0.25">
      <c r="A4023" s="24" t="s">
        <v>476</v>
      </c>
      <c r="B4023" s="24" t="s">
        <v>34</v>
      </c>
      <c r="C4023" s="24" t="s">
        <v>31</v>
      </c>
      <c r="D4023" s="24">
        <v>117</v>
      </c>
      <c r="E4023" s="24" t="s">
        <v>796</v>
      </c>
      <c r="F4023" s="24" t="s">
        <v>1044</v>
      </c>
      <c r="G4023" s="24">
        <v>168458</v>
      </c>
    </row>
    <row r="4024" spans="1:7" x14ac:dyDescent="0.25">
      <c r="A4024" s="24" t="s">
        <v>476</v>
      </c>
      <c r="B4024" s="24" t="s">
        <v>35</v>
      </c>
      <c r="C4024" s="24" t="s">
        <v>36</v>
      </c>
      <c r="D4024" s="24">
        <v>0</v>
      </c>
      <c r="E4024" s="24" t="s">
        <v>796</v>
      </c>
      <c r="F4024" s="24" t="s">
        <v>1044</v>
      </c>
      <c r="G4024" s="24">
        <v>168458</v>
      </c>
    </row>
    <row r="4025" spans="1:7" x14ac:dyDescent="0.25">
      <c r="A4025" s="24" t="s">
        <v>476</v>
      </c>
      <c r="B4025" s="24" t="s">
        <v>39</v>
      </c>
      <c r="C4025" s="24" t="s">
        <v>36</v>
      </c>
      <c r="D4025" s="24">
        <v>12</v>
      </c>
      <c r="E4025" s="24" t="s">
        <v>796</v>
      </c>
      <c r="F4025" s="24" t="s">
        <v>1044</v>
      </c>
      <c r="G4025" s="24">
        <v>168458</v>
      </c>
    </row>
    <row r="4026" spans="1:7" x14ac:dyDescent="0.25">
      <c r="A4026" s="24" t="s">
        <v>476</v>
      </c>
      <c r="B4026" s="24" t="s">
        <v>40</v>
      </c>
      <c r="C4026" s="24" t="s">
        <v>31</v>
      </c>
      <c r="D4026" s="24">
        <v>0.3</v>
      </c>
      <c r="E4026" s="24" t="s">
        <v>796</v>
      </c>
      <c r="F4026" s="24" t="s">
        <v>1044</v>
      </c>
      <c r="G4026" s="24">
        <v>168458</v>
      </c>
    </row>
    <row r="4027" spans="1:7" x14ac:dyDescent="0.25">
      <c r="A4027" s="24" t="s">
        <v>476</v>
      </c>
      <c r="B4027" s="24" t="s">
        <v>41</v>
      </c>
      <c r="C4027" s="24" t="s">
        <v>31</v>
      </c>
      <c r="D4027" s="24">
        <v>1.3</v>
      </c>
      <c r="E4027" s="24" t="s">
        <v>796</v>
      </c>
      <c r="F4027" s="24" t="s">
        <v>1044</v>
      </c>
      <c r="G4027" s="24">
        <v>168458</v>
      </c>
    </row>
    <row r="4028" spans="1:7" x14ac:dyDescent="0.25">
      <c r="A4028" s="24" t="s">
        <v>476</v>
      </c>
      <c r="B4028" s="24" t="s">
        <v>42</v>
      </c>
      <c r="C4028" s="24" t="s">
        <v>43</v>
      </c>
      <c r="D4028" s="24">
        <v>4.4000000000000004</v>
      </c>
      <c r="E4028" s="24" t="s">
        <v>796</v>
      </c>
      <c r="F4028" s="24" t="s">
        <v>1044</v>
      </c>
      <c r="G4028" s="24">
        <v>168458</v>
      </c>
    </row>
    <row r="4029" spans="1:7" x14ac:dyDescent="0.25">
      <c r="A4029" s="24" t="s">
        <v>476</v>
      </c>
      <c r="B4029" s="24" t="s">
        <v>44</v>
      </c>
      <c r="C4029" s="24" t="s">
        <v>31</v>
      </c>
      <c r="D4029" s="24">
        <v>0.5</v>
      </c>
      <c r="E4029" s="24" t="s">
        <v>796</v>
      </c>
      <c r="F4029" s="24" t="s">
        <v>1044</v>
      </c>
      <c r="G4029" s="24">
        <v>168458</v>
      </c>
    </row>
    <row r="4030" spans="1:7" x14ac:dyDescent="0.25">
      <c r="A4030" s="24" t="s">
        <v>476</v>
      </c>
      <c r="B4030" s="24" t="s">
        <v>45</v>
      </c>
      <c r="C4030" s="24" t="s">
        <v>31</v>
      </c>
      <c r="D4030" s="24">
        <v>1.6</v>
      </c>
      <c r="E4030" s="24" t="s">
        <v>796</v>
      </c>
      <c r="F4030" s="24" t="s">
        <v>1044</v>
      </c>
      <c r="G4030" s="24">
        <v>168458</v>
      </c>
    </row>
    <row r="4031" spans="1:7" x14ac:dyDescent="0.25">
      <c r="A4031" s="24" t="s">
        <v>476</v>
      </c>
      <c r="B4031" s="24" t="s">
        <v>46</v>
      </c>
      <c r="C4031" s="24" t="s">
        <v>36</v>
      </c>
      <c r="D4031" s="24">
        <v>0</v>
      </c>
      <c r="E4031" s="24" t="s">
        <v>796</v>
      </c>
      <c r="F4031" s="24" t="s">
        <v>1044</v>
      </c>
      <c r="G4031" s="24">
        <v>168458</v>
      </c>
    </row>
    <row r="4032" spans="1:7" x14ac:dyDescent="0.25">
      <c r="A4032" s="24" t="s">
        <v>476</v>
      </c>
      <c r="B4032" s="24" t="s">
        <v>47</v>
      </c>
      <c r="C4032" s="24" t="s">
        <v>48</v>
      </c>
      <c r="D4032" s="24">
        <v>438</v>
      </c>
      <c r="E4032" s="24" t="s">
        <v>796</v>
      </c>
      <c r="F4032" s="24" t="s">
        <v>1044</v>
      </c>
      <c r="G4032" s="24">
        <v>168458</v>
      </c>
    </row>
    <row r="4033" spans="1:7" x14ac:dyDescent="0.25">
      <c r="A4033" s="24" t="s">
        <v>476</v>
      </c>
      <c r="B4033" s="24" t="s">
        <v>50</v>
      </c>
      <c r="C4033" s="24" t="s">
        <v>31</v>
      </c>
      <c r="D4033" s="24">
        <v>1068</v>
      </c>
      <c r="E4033" s="24" t="s">
        <v>796</v>
      </c>
      <c r="F4033" s="24" t="s">
        <v>1044</v>
      </c>
      <c r="G4033" s="24">
        <v>168458</v>
      </c>
    </row>
    <row r="4034" spans="1:7" x14ac:dyDescent="0.25">
      <c r="A4034" s="24" t="s">
        <v>476</v>
      </c>
      <c r="B4034" s="24" t="s">
        <v>56</v>
      </c>
      <c r="C4034" s="24" t="s">
        <v>31</v>
      </c>
      <c r="D4034" s="24">
        <v>0.8</v>
      </c>
      <c r="E4034" s="24" t="s">
        <v>796</v>
      </c>
      <c r="F4034" s="24" t="s">
        <v>1044</v>
      </c>
      <c r="G4034" s="24">
        <v>168458</v>
      </c>
    </row>
    <row r="4035" spans="1:7" x14ac:dyDescent="0.25">
      <c r="A4035" s="24" t="s">
        <v>476</v>
      </c>
      <c r="B4035" s="24" t="s">
        <v>57</v>
      </c>
      <c r="C4035" s="24" t="s">
        <v>36</v>
      </c>
      <c r="D4035" s="24">
        <v>2.1</v>
      </c>
      <c r="E4035" s="24" t="s">
        <v>796</v>
      </c>
      <c r="F4035" s="24" t="s">
        <v>1044</v>
      </c>
      <c r="G4035" s="24">
        <v>168458</v>
      </c>
    </row>
    <row r="4036" spans="1:7" x14ac:dyDescent="0.25">
      <c r="A4036" s="24" t="s">
        <v>476</v>
      </c>
      <c r="B4036" s="24" t="s">
        <v>58</v>
      </c>
      <c r="C4036" s="24" t="s">
        <v>5</v>
      </c>
      <c r="D4036" s="24">
        <v>0</v>
      </c>
      <c r="E4036" s="24" t="s">
        <v>795</v>
      </c>
      <c r="F4036" s="24"/>
      <c r="G4036" s="24"/>
    </row>
    <row r="4037" spans="1:7" x14ac:dyDescent="0.25">
      <c r="A4037" s="24" t="s">
        <v>477</v>
      </c>
      <c r="B4037" s="24" t="s">
        <v>29</v>
      </c>
      <c r="C4037" s="24" t="s">
        <v>5</v>
      </c>
      <c r="D4037" s="24">
        <v>0</v>
      </c>
      <c r="E4037" s="24" t="s">
        <v>799</v>
      </c>
      <c r="F4037" s="24" t="s">
        <v>1045</v>
      </c>
      <c r="G4037" s="24">
        <v>170465</v>
      </c>
    </row>
    <row r="4038" spans="1:7" x14ac:dyDescent="0.25">
      <c r="A4038" s="24" t="s">
        <v>477</v>
      </c>
      <c r="B4038" s="24" t="s">
        <v>58</v>
      </c>
      <c r="C4038" s="24" t="s">
        <v>5</v>
      </c>
      <c r="D4038" s="24">
        <v>0</v>
      </c>
      <c r="E4038" s="24" t="s">
        <v>795</v>
      </c>
      <c r="F4038" s="24"/>
      <c r="G4038" s="24"/>
    </row>
    <row r="4039" spans="1:7" x14ac:dyDescent="0.25">
      <c r="A4039" s="24" t="s">
        <v>478</v>
      </c>
      <c r="B4039" s="24" t="s">
        <v>24</v>
      </c>
      <c r="C4039" s="24" t="s">
        <v>5</v>
      </c>
      <c r="D4039" s="24">
        <v>1.5</v>
      </c>
      <c r="E4039" s="24" t="s">
        <v>796</v>
      </c>
      <c r="F4039" s="24" t="s">
        <v>1046</v>
      </c>
      <c r="G4039" s="24">
        <v>169981</v>
      </c>
    </row>
    <row r="4040" spans="1:7" x14ac:dyDescent="0.25">
      <c r="A4040" s="24" t="s">
        <v>478</v>
      </c>
      <c r="B4040" s="24" t="s">
        <v>26</v>
      </c>
      <c r="C4040" s="24" t="s">
        <v>5</v>
      </c>
      <c r="D4040" s="24">
        <v>0.02</v>
      </c>
      <c r="E4040" s="24" t="s">
        <v>799</v>
      </c>
      <c r="F4040" s="24" t="s">
        <v>1046</v>
      </c>
      <c r="G4040" s="24">
        <v>169981</v>
      </c>
    </row>
    <row r="4041" spans="1:7" x14ac:dyDescent="0.25">
      <c r="A4041" s="24" t="s">
        <v>478</v>
      </c>
      <c r="B4041" s="24" t="s">
        <v>27</v>
      </c>
      <c r="C4041" s="24" t="s">
        <v>5</v>
      </c>
      <c r="D4041" s="24">
        <v>0.04</v>
      </c>
      <c r="E4041" s="24" t="s">
        <v>799</v>
      </c>
      <c r="F4041" s="24" t="s">
        <v>1046</v>
      </c>
      <c r="G4041" s="24">
        <v>169981</v>
      </c>
    </row>
    <row r="4042" spans="1:7" x14ac:dyDescent="0.25">
      <c r="A4042" s="24" t="s">
        <v>478</v>
      </c>
      <c r="B4042" s="24" t="s">
        <v>28</v>
      </c>
      <c r="C4042" s="24" t="s">
        <v>5</v>
      </c>
      <c r="D4042" s="24">
        <v>0.08</v>
      </c>
      <c r="E4042" s="24" t="s">
        <v>799</v>
      </c>
      <c r="F4042" s="24" t="s">
        <v>1046</v>
      </c>
      <c r="G4042" s="24">
        <v>169981</v>
      </c>
    </row>
    <row r="4043" spans="1:7" x14ac:dyDescent="0.25">
      <c r="A4043" s="24" t="s">
        <v>478</v>
      </c>
      <c r="B4043" s="24" t="s">
        <v>29</v>
      </c>
      <c r="C4043" s="24" t="s">
        <v>5</v>
      </c>
      <c r="D4043" s="24">
        <v>0</v>
      </c>
      <c r="E4043" s="24" t="s">
        <v>799</v>
      </c>
      <c r="F4043" s="24" t="s">
        <v>1046</v>
      </c>
      <c r="G4043" s="24">
        <v>169981</v>
      </c>
    </row>
    <row r="4044" spans="1:7" x14ac:dyDescent="0.25">
      <c r="A4044" s="24" t="s">
        <v>478</v>
      </c>
      <c r="B4044" s="24" t="s">
        <v>30</v>
      </c>
      <c r="C4044" s="24" t="s">
        <v>31</v>
      </c>
      <c r="D4044" s="24">
        <v>0</v>
      </c>
      <c r="E4044" s="24" t="s">
        <v>801</v>
      </c>
      <c r="F4044" s="24" t="s">
        <v>1046</v>
      </c>
      <c r="G4044" s="24">
        <v>169981</v>
      </c>
    </row>
    <row r="4045" spans="1:7" x14ac:dyDescent="0.25">
      <c r="A4045" s="24" t="s">
        <v>478</v>
      </c>
      <c r="B4045" s="24" t="s">
        <v>32</v>
      </c>
      <c r="C4045" s="24" t="s">
        <v>33</v>
      </c>
      <c r="D4045" s="24">
        <v>0</v>
      </c>
      <c r="E4045" s="24" t="s">
        <v>796</v>
      </c>
      <c r="F4045" s="24" t="s">
        <v>1046</v>
      </c>
      <c r="G4045" s="24">
        <v>169981</v>
      </c>
    </row>
    <row r="4046" spans="1:7" x14ac:dyDescent="0.25">
      <c r="A4046" s="24" t="s">
        <v>478</v>
      </c>
      <c r="B4046" s="24" t="s">
        <v>35</v>
      </c>
      <c r="C4046" s="24" t="s">
        <v>36</v>
      </c>
      <c r="D4046" s="24">
        <v>0</v>
      </c>
      <c r="E4046" s="24" t="s">
        <v>796</v>
      </c>
      <c r="F4046" s="24" t="s">
        <v>1046</v>
      </c>
      <c r="G4046" s="24">
        <v>169981</v>
      </c>
    </row>
    <row r="4047" spans="1:7" x14ac:dyDescent="0.25">
      <c r="A4047" s="24" t="s">
        <v>478</v>
      </c>
      <c r="B4047" s="24" t="s">
        <v>44</v>
      </c>
      <c r="C4047" s="24" t="s">
        <v>31</v>
      </c>
      <c r="D4047" s="24">
        <v>0.2</v>
      </c>
      <c r="E4047" s="24" t="s">
        <v>796</v>
      </c>
      <c r="F4047" s="24" t="s">
        <v>1046</v>
      </c>
      <c r="G4047" s="24">
        <v>169981</v>
      </c>
    </row>
    <row r="4048" spans="1:7" x14ac:dyDescent="0.25">
      <c r="A4048" s="24" t="s">
        <v>478</v>
      </c>
      <c r="B4048" s="24" t="s">
        <v>45</v>
      </c>
      <c r="C4048" s="24" t="s">
        <v>31</v>
      </c>
      <c r="D4048" s="24">
        <v>0.4</v>
      </c>
      <c r="E4048" s="24" t="s">
        <v>796</v>
      </c>
      <c r="F4048" s="24" t="s">
        <v>1046</v>
      </c>
      <c r="G4048" s="24">
        <v>169981</v>
      </c>
    </row>
    <row r="4049" spans="1:7" x14ac:dyDescent="0.25">
      <c r="A4049" s="24" t="s">
        <v>478</v>
      </c>
      <c r="B4049" s="24" t="s">
        <v>46</v>
      </c>
      <c r="C4049" s="24" t="s">
        <v>36</v>
      </c>
      <c r="D4049" s="24">
        <v>0</v>
      </c>
      <c r="E4049" s="24" t="s">
        <v>796</v>
      </c>
      <c r="F4049" s="24" t="s">
        <v>1046</v>
      </c>
      <c r="G4049" s="24">
        <v>169981</v>
      </c>
    </row>
    <row r="4050" spans="1:7" x14ac:dyDescent="0.25">
      <c r="A4050" s="24" t="s">
        <v>478</v>
      </c>
      <c r="B4050" s="24" t="s">
        <v>47</v>
      </c>
      <c r="C4050" s="24" t="s">
        <v>48</v>
      </c>
      <c r="D4050" s="24">
        <v>89.5</v>
      </c>
      <c r="E4050" s="24" t="s">
        <v>796</v>
      </c>
      <c r="F4050" s="24" t="s">
        <v>1046</v>
      </c>
      <c r="G4050" s="24">
        <v>169981</v>
      </c>
    </row>
    <row r="4051" spans="1:7" x14ac:dyDescent="0.25">
      <c r="A4051" s="24" t="s">
        <v>478</v>
      </c>
      <c r="B4051" s="24" t="s">
        <v>49</v>
      </c>
      <c r="C4051" s="24" t="s">
        <v>31</v>
      </c>
      <c r="D4051" s="24">
        <v>223.8</v>
      </c>
      <c r="E4051" s="24" t="s">
        <v>796</v>
      </c>
      <c r="F4051" s="24" t="s">
        <v>1046</v>
      </c>
      <c r="G4051" s="24">
        <v>169981</v>
      </c>
    </row>
    <row r="4052" spans="1:7" x14ac:dyDescent="0.25">
      <c r="A4052" s="24" t="s">
        <v>478</v>
      </c>
      <c r="B4052" s="24" t="s">
        <v>50</v>
      </c>
      <c r="C4052" s="24" t="s">
        <v>31</v>
      </c>
      <c r="D4052" s="24">
        <v>526.70000000000005</v>
      </c>
      <c r="E4052" s="24" t="s">
        <v>796</v>
      </c>
      <c r="F4052" s="24" t="s">
        <v>1046</v>
      </c>
      <c r="G4052" s="24">
        <v>169981</v>
      </c>
    </row>
    <row r="4053" spans="1:7" x14ac:dyDescent="0.25">
      <c r="A4053" s="24" t="s">
        <v>478</v>
      </c>
      <c r="B4053" s="24" t="s">
        <v>53</v>
      </c>
      <c r="C4053" s="24" t="s">
        <v>31</v>
      </c>
      <c r="D4053" s="24">
        <v>55.3</v>
      </c>
      <c r="E4053" s="24" t="s">
        <v>796</v>
      </c>
      <c r="F4053" s="24" t="s">
        <v>1046</v>
      </c>
      <c r="G4053" s="24">
        <v>169981</v>
      </c>
    </row>
    <row r="4054" spans="1:7" x14ac:dyDescent="0.25">
      <c r="A4054" s="24" t="s">
        <v>478</v>
      </c>
      <c r="B4054" s="24" t="s">
        <v>55</v>
      </c>
      <c r="C4054" s="24" t="s">
        <v>31</v>
      </c>
      <c r="D4054" s="24">
        <v>0.2</v>
      </c>
      <c r="E4054" s="24" t="s">
        <v>796</v>
      </c>
      <c r="F4054" s="24" t="s">
        <v>1046</v>
      </c>
      <c r="G4054" s="24">
        <v>169981</v>
      </c>
    </row>
    <row r="4055" spans="1:7" x14ac:dyDescent="0.25">
      <c r="A4055" s="24" t="s">
        <v>478</v>
      </c>
      <c r="B4055" s="24" t="s">
        <v>56</v>
      </c>
      <c r="C4055" s="24" t="s">
        <v>31</v>
      </c>
      <c r="D4055" s="24">
        <v>0.3</v>
      </c>
      <c r="E4055" s="24" t="s">
        <v>796</v>
      </c>
      <c r="F4055" s="24" t="s">
        <v>1046</v>
      </c>
      <c r="G4055" s="24">
        <v>169981</v>
      </c>
    </row>
    <row r="4056" spans="1:7" x14ac:dyDescent="0.25">
      <c r="A4056" s="24" t="s">
        <v>478</v>
      </c>
      <c r="B4056" s="24" t="s">
        <v>57</v>
      </c>
      <c r="C4056" s="24" t="s">
        <v>36</v>
      </c>
      <c r="D4056" s="24">
        <v>0.3</v>
      </c>
      <c r="E4056" s="24" t="s">
        <v>796</v>
      </c>
      <c r="F4056" s="24" t="s">
        <v>1046</v>
      </c>
      <c r="G4056" s="24">
        <v>169981</v>
      </c>
    </row>
    <row r="4057" spans="1:7" x14ac:dyDescent="0.25">
      <c r="A4057" s="24" t="s">
        <v>478</v>
      </c>
      <c r="B4057" s="24" t="s">
        <v>58</v>
      </c>
      <c r="C4057" s="24" t="s">
        <v>5</v>
      </c>
      <c r="D4057" s="24">
        <v>0</v>
      </c>
      <c r="E4057" s="24" t="s">
        <v>795</v>
      </c>
      <c r="F4057" s="24"/>
      <c r="G4057" s="24"/>
    </row>
    <row r="4058" spans="1:7" x14ac:dyDescent="0.25">
      <c r="A4058" s="24" t="s">
        <v>479</v>
      </c>
      <c r="B4058" s="24" t="s">
        <v>29</v>
      </c>
      <c r="C4058" s="24" t="s">
        <v>5</v>
      </c>
      <c r="D4058" s="24">
        <v>0</v>
      </c>
      <c r="E4058" s="24" t="s">
        <v>799</v>
      </c>
      <c r="F4058" s="24" t="s">
        <v>1047</v>
      </c>
      <c r="G4058" s="24">
        <v>168409</v>
      </c>
    </row>
    <row r="4059" spans="1:7" x14ac:dyDescent="0.25">
      <c r="A4059" s="24" t="s">
        <v>479</v>
      </c>
      <c r="B4059" s="24" t="s">
        <v>58</v>
      </c>
      <c r="C4059" s="24" t="s">
        <v>5</v>
      </c>
      <c r="D4059" s="24">
        <v>0</v>
      </c>
      <c r="E4059" s="24" t="s">
        <v>795</v>
      </c>
      <c r="F4059" s="24"/>
      <c r="G4059" s="24"/>
    </row>
    <row r="4060" spans="1:7" x14ac:dyDescent="0.25">
      <c r="A4060" s="24" t="s">
        <v>480</v>
      </c>
      <c r="B4060" s="24" t="s">
        <v>29</v>
      </c>
      <c r="C4060" s="24" t="s">
        <v>5</v>
      </c>
      <c r="D4060" s="24">
        <v>0</v>
      </c>
      <c r="E4060" s="24" t="s">
        <v>799</v>
      </c>
      <c r="F4060" s="24" t="s">
        <v>1048</v>
      </c>
      <c r="G4060" s="24">
        <v>168558</v>
      </c>
    </row>
    <row r="4061" spans="1:7" x14ac:dyDescent="0.25">
      <c r="A4061" s="24" t="s">
        <v>480</v>
      </c>
      <c r="B4061" s="24" t="s">
        <v>58</v>
      </c>
      <c r="C4061" s="24" t="s">
        <v>5</v>
      </c>
      <c r="D4061" s="24">
        <v>0</v>
      </c>
      <c r="E4061" s="24" t="s">
        <v>795</v>
      </c>
      <c r="F4061" s="24"/>
      <c r="G4061" s="24"/>
    </row>
    <row r="4062" spans="1:7" x14ac:dyDescent="0.25">
      <c r="A4062" s="24" t="s">
        <v>481</v>
      </c>
      <c r="B4062" s="24" t="s">
        <v>20</v>
      </c>
      <c r="C4062" s="24" t="s">
        <v>5</v>
      </c>
      <c r="D4062" s="24">
        <v>2.2999999999999998</v>
      </c>
      <c r="E4062" s="24" t="s">
        <v>809</v>
      </c>
      <c r="F4062" s="24"/>
      <c r="G4062" s="24"/>
    </row>
    <row r="4063" spans="1:7" x14ac:dyDescent="0.25">
      <c r="A4063" s="24" t="s">
        <v>481</v>
      </c>
      <c r="B4063" s="24" t="s">
        <v>23</v>
      </c>
      <c r="C4063" s="24" t="s">
        <v>5</v>
      </c>
      <c r="D4063" s="24">
        <v>16.100000000000001</v>
      </c>
      <c r="E4063" s="24" t="s">
        <v>796</v>
      </c>
      <c r="F4063" s="24" t="s">
        <v>1049</v>
      </c>
      <c r="G4063" s="24">
        <v>168561</v>
      </c>
    </row>
    <row r="4064" spans="1:7" x14ac:dyDescent="0.25">
      <c r="A4064" s="24" t="s">
        <v>481</v>
      </c>
      <c r="B4064" s="24" t="s">
        <v>29</v>
      </c>
      <c r="C4064" s="24" t="s">
        <v>5</v>
      </c>
      <c r="D4064" s="24">
        <v>0</v>
      </c>
      <c r="E4064" s="24" t="s">
        <v>799</v>
      </c>
      <c r="F4064" s="24" t="s">
        <v>1049</v>
      </c>
      <c r="G4064" s="24">
        <v>168561</v>
      </c>
    </row>
    <row r="4065" spans="1:7" x14ac:dyDescent="0.25">
      <c r="A4065" s="24" t="s">
        <v>481</v>
      </c>
      <c r="B4065" s="24" t="s">
        <v>35</v>
      </c>
      <c r="C4065" s="24" t="s">
        <v>36</v>
      </c>
      <c r="D4065" s="24">
        <v>0</v>
      </c>
      <c r="E4065" s="24" t="s">
        <v>796</v>
      </c>
      <c r="F4065" s="24" t="s">
        <v>1049</v>
      </c>
      <c r="G4065" s="24">
        <v>168561</v>
      </c>
    </row>
    <row r="4066" spans="1:7" x14ac:dyDescent="0.25">
      <c r="A4066" s="24" t="s">
        <v>481</v>
      </c>
      <c r="B4066" s="24" t="s">
        <v>39</v>
      </c>
      <c r="C4066" s="24" t="s">
        <v>36</v>
      </c>
      <c r="D4066" s="24">
        <v>46.4</v>
      </c>
      <c r="E4066" s="24" t="s">
        <v>796</v>
      </c>
      <c r="F4066" s="24" t="s">
        <v>1049</v>
      </c>
      <c r="G4066" s="24">
        <v>168561</v>
      </c>
    </row>
    <row r="4067" spans="1:7" x14ac:dyDescent="0.25">
      <c r="A4067" s="24" t="s">
        <v>481</v>
      </c>
      <c r="B4067" s="24" t="s">
        <v>58</v>
      </c>
      <c r="C4067" s="24" t="s">
        <v>5</v>
      </c>
      <c r="D4067" s="24">
        <v>0</v>
      </c>
      <c r="E4067" s="24" t="s">
        <v>795</v>
      </c>
      <c r="F4067" s="24"/>
      <c r="G4067" s="24"/>
    </row>
    <row r="4068" spans="1:7" x14ac:dyDescent="0.25">
      <c r="A4068" s="24" t="s">
        <v>482</v>
      </c>
      <c r="B4068" s="24" t="s">
        <v>29</v>
      </c>
      <c r="C4068" s="24" t="s">
        <v>5</v>
      </c>
      <c r="D4068" s="24">
        <v>0</v>
      </c>
      <c r="E4068" s="24" t="s">
        <v>799</v>
      </c>
      <c r="F4068" s="24" t="s">
        <v>1050</v>
      </c>
      <c r="G4068" s="24">
        <v>170108</v>
      </c>
    </row>
    <row r="4069" spans="1:7" x14ac:dyDescent="0.25">
      <c r="A4069" s="24" t="s">
        <v>482</v>
      </c>
      <c r="B4069" s="24" t="s">
        <v>58</v>
      </c>
      <c r="C4069" s="24" t="s">
        <v>5</v>
      </c>
      <c r="D4069" s="24">
        <v>0</v>
      </c>
      <c r="E4069" s="24" t="s">
        <v>795</v>
      </c>
      <c r="F4069" s="24"/>
      <c r="G4069" s="24"/>
    </row>
    <row r="4070" spans="1:7" x14ac:dyDescent="0.25">
      <c r="A4070" s="24" t="s">
        <v>483</v>
      </c>
      <c r="B4070" s="24" t="s">
        <v>29</v>
      </c>
      <c r="C4070" s="24" t="s">
        <v>5</v>
      </c>
      <c r="D4070" s="24">
        <v>0</v>
      </c>
      <c r="E4070" s="24" t="s">
        <v>799</v>
      </c>
      <c r="F4070" s="24" t="s">
        <v>1051</v>
      </c>
      <c r="G4070" s="24">
        <v>170427</v>
      </c>
    </row>
    <row r="4071" spans="1:7" x14ac:dyDescent="0.25">
      <c r="A4071" s="24" t="s">
        <v>483</v>
      </c>
      <c r="B4071" s="24" t="s">
        <v>58</v>
      </c>
      <c r="C4071" s="24" t="s">
        <v>5</v>
      </c>
      <c r="D4071" s="24">
        <v>0</v>
      </c>
      <c r="E4071" s="24" t="s">
        <v>795</v>
      </c>
      <c r="F4071" s="24"/>
      <c r="G4071" s="24"/>
    </row>
    <row r="4072" spans="1:7" x14ac:dyDescent="0.25">
      <c r="A4072" s="24" t="s">
        <v>484</v>
      </c>
      <c r="B4072" s="24" t="s">
        <v>29</v>
      </c>
      <c r="C4072" s="24" t="s">
        <v>5</v>
      </c>
      <c r="D4072" s="24">
        <v>0</v>
      </c>
      <c r="E4072" s="24" t="s">
        <v>799</v>
      </c>
      <c r="F4072" s="24" t="s">
        <v>1052</v>
      </c>
      <c r="G4072" s="24">
        <v>169143</v>
      </c>
    </row>
    <row r="4073" spans="1:7" x14ac:dyDescent="0.25">
      <c r="A4073" s="24" t="s">
        <v>484</v>
      </c>
      <c r="B4073" s="24" t="s">
        <v>58</v>
      </c>
      <c r="C4073" s="24" t="s">
        <v>5</v>
      </c>
      <c r="D4073" s="24">
        <v>0</v>
      </c>
      <c r="E4073" s="24" t="s">
        <v>795</v>
      </c>
      <c r="F4073" s="24"/>
      <c r="G4073" s="24"/>
    </row>
    <row r="4074" spans="1:7" x14ac:dyDescent="0.25">
      <c r="A4074" s="24" t="s">
        <v>485</v>
      </c>
      <c r="B4074" s="24" t="s">
        <v>29</v>
      </c>
      <c r="C4074" s="24" t="s">
        <v>5</v>
      </c>
      <c r="D4074" s="24">
        <v>0</v>
      </c>
      <c r="E4074" s="24" t="s">
        <v>799</v>
      </c>
      <c r="F4074" s="24" t="s">
        <v>1053</v>
      </c>
      <c r="G4074" s="24">
        <v>169961</v>
      </c>
    </row>
    <row r="4075" spans="1:7" x14ac:dyDescent="0.25">
      <c r="A4075" s="24" t="s">
        <v>485</v>
      </c>
      <c r="B4075" s="24" t="s">
        <v>58</v>
      </c>
      <c r="C4075" s="24" t="s">
        <v>5</v>
      </c>
      <c r="D4075" s="24">
        <v>0</v>
      </c>
      <c r="E4075" s="24" t="s">
        <v>795</v>
      </c>
      <c r="F4075" s="24"/>
      <c r="G4075" s="24"/>
    </row>
    <row r="4076" spans="1:7" x14ac:dyDescent="0.25">
      <c r="A4076" s="24" t="s">
        <v>486</v>
      </c>
      <c r="B4076" s="24" t="s">
        <v>29</v>
      </c>
      <c r="C4076" s="24" t="s">
        <v>5</v>
      </c>
      <c r="D4076" s="24">
        <v>0</v>
      </c>
      <c r="E4076" s="24" t="s">
        <v>799</v>
      </c>
      <c r="F4076" s="24" t="s">
        <v>1054</v>
      </c>
      <c r="G4076" s="24">
        <v>169246</v>
      </c>
    </row>
    <row r="4077" spans="1:7" x14ac:dyDescent="0.25">
      <c r="A4077" s="24" t="s">
        <v>486</v>
      </c>
      <c r="B4077" s="24" t="s">
        <v>58</v>
      </c>
      <c r="C4077" s="24" t="s">
        <v>5</v>
      </c>
      <c r="D4077" s="24">
        <v>0</v>
      </c>
      <c r="E4077" s="24" t="s">
        <v>795</v>
      </c>
      <c r="F4077" s="24"/>
      <c r="G4077" s="24"/>
    </row>
    <row r="4078" spans="1:7" x14ac:dyDescent="0.25">
      <c r="A4078" s="24" t="s">
        <v>487</v>
      </c>
      <c r="B4078" s="24" t="s">
        <v>29</v>
      </c>
      <c r="C4078" s="24" t="s">
        <v>5</v>
      </c>
      <c r="D4078" s="24">
        <v>0</v>
      </c>
      <c r="E4078" s="24" t="s">
        <v>799</v>
      </c>
      <c r="F4078" s="24" t="s">
        <v>1055</v>
      </c>
      <c r="G4078" s="24">
        <v>169276</v>
      </c>
    </row>
    <row r="4079" spans="1:7" x14ac:dyDescent="0.25">
      <c r="A4079" s="24" t="s">
        <v>487</v>
      </c>
      <c r="B4079" s="24" t="s">
        <v>58</v>
      </c>
      <c r="C4079" s="24" t="s">
        <v>5</v>
      </c>
      <c r="D4079" s="24">
        <v>0</v>
      </c>
      <c r="E4079" s="24" t="s">
        <v>795</v>
      </c>
      <c r="F4079" s="24"/>
      <c r="G4079" s="24"/>
    </row>
    <row r="4080" spans="1:7" x14ac:dyDescent="0.25">
      <c r="A4080" s="24" t="s">
        <v>488</v>
      </c>
      <c r="B4080" s="24" t="s">
        <v>29</v>
      </c>
      <c r="C4080" s="24" t="s">
        <v>5</v>
      </c>
      <c r="D4080" s="24">
        <v>0</v>
      </c>
      <c r="E4080" s="24" t="s">
        <v>799</v>
      </c>
      <c r="F4080" s="24" t="s">
        <v>1056</v>
      </c>
      <c r="G4080" s="24">
        <v>170383</v>
      </c>
    </row>
    <row r="4081" spans="1:7" x14ac:dyDescent="0.25">
      <c r="A4081" s="24" t="s">
        <v>488</v>
      </c>
      <c r="B4081" s="24" t="s">
        <v>58</v>
      </c>
      <c r="C4081" s="24" t="s">
        <v>5</v>
      </c>
      <c r="D4081" s="24">
        <v>0</v>
      </c>
      <c r="E4081" s="24" t="s">
        <v>795</v>
      </c>
      <c r="F4081" s="24"/>
      <c r="G4081" s="24"/>
    </row>
    <row r="4082" spans="1:7" x14ac:dyDescent="0.25">
      <c r="A4082" s="24" t="s">
        <v>489</v>
      </c>
      <c r="B4082" s="24" t="s">
        <v>29</v>
      </c>
      <c r="C4082" s="24" t="s">
        <v>5</v>
      </c>
      <c r="D4082" s="24">
        <v>0</v>
      </c>
      <c r="E4082" s="24" t="s">
        <v>799</v>
      </c>
      <c r="F4082" s="24" t="s">
        <v>1057</v>
      </c>
      <c r="G4082" s="24">
        <v>168513</v>
      </c>
    </row>
    <row r="4083" spans="1:7" x14ac:dyDescent="0.25">
      <c r="A4083" s="24" t="s">
        <v>489</v>
      </c>
      <c r="B4083" s="24" t="s">
        <v>58</v>
      </c>
      <c r="C4083" s="24" t="s">
        <v>5</v>
      </c>
      <c r="D4083" s="24">
        <v>0</v>
      </c>
      <c r="E4083" s="24" t="s">
        <v>795</v>
      </c>
      <c r="F4083" s="24"/>
      <c r="G4083" s="24"/>
    </row>
    <row r="4084" spans="1:7" x14ac:dyDescent="0.25">
      <c r="A4084" s="24" t="s">
        <v>490</v>
      </c>
      <c r="B4084" s="24" t="s">
        <v>29</v>
      </c>
      <c r="C4084" s="24" t="s">
        <v>5</v>
      </c>
      <c r="D4084" s="24">
        <v>0</v>
      </c>
      <c r="E4084" s="24" t="s">
        <v>799</v>
      </c>
      <c r="F4084" s="24" t="s">
        <v>1058</v>
      </c>
      <c r="G4084" s="24">
        <v>169975</v>
      </c>
    </row>
    <row r="4085" spans="1:7" x14ac:dyDescent="0.25">
      <c r="A4085" s="24" t="s">
        <v>490</v>
      </c>
      <c r="B4085" s="24" t="s">
        <v>58</v>
      </c>
      <c r="C4085" s="24" t="s">
        <v>5</v>
      </c>
      <c r="D4085" s="24">
        <v>0</v>
      </c>
      <c r="E4085" s="24" t="s">
        <v>795</v>
      </c>
      <c r="F4085" s="24"/>
      <c r="G4085" s="24"/>
    </row>
    <row r="4086" spans="1:7" x14ac:dyDescent="0.25">
      <c r="A4086" s="24" t="s">
        <v>491</v>
      </c>
      <c r="B4086" s="24" t="s">
        <v>29</v>
      </c>
      <c r="C4086" s="24" t="s">
        <v>5</v>
      </c>
      <c r="D4086" s="24">
        <v>0</v>
      </c>
      <c r="E4086" s="24" t="s">
        <v>799</v>
      </c>
      <c r="F4086" s="24" t="s">
        <v>1059</v>
      </c>
      <c r="G4086" s="24">
        <v>169977</v>
      </c>
    </row>
    <row r="4087" spans="1:7" x14ac:dyDescent="0.25">
      <c r="A4087" s="24" t="s">
        <v>491</v>
      </c>
      <c r="B4087" s="24" t="s">
        <v>58</v>
      </c>
      <c r="C4087" s="24" t="s">
        <v>5</v>
      </c>
      <c r="D4087" s="24">
        <v>0</v>
      </c>
      <c r="E4087" s="24" t="s">
        <v>795</v>
      </c>
      <c r="F4087" s="24"/>
      <c r="G4087" s="24"/>
    </row>
    <row r="4088" spans="1:7" x14ac:dyDescent="0.25">
      <c r="A4088" s="24" t="s">
        <v>492</v>
      </c>
      <c r="B4088" s="24" t="s">
        <v>29</v>
      </c>
      <c r="C4088" s="24" t="s">
        <v>5</v>
      </c>
      <c r="D4088" s="24">
        <v>0</v>
      </c>
      <c r="E4088" s="24" t="s">
        <v>799</v>
      </c>
      <c r="F4088" s="24" t="s">
        <v>1060</v>
      </c>
      <c r="G4088" s="24">
        <v>170457</v>
      </c>
    </row>
    <row r="4089" spans="1:7" x14ac:dyDescent="0.25">
      <c r="A4089" s="24" t="s">
        <v>492</v>
      </c>
      <c r="B4089" s="24" t="s">
        <v>58</v>
      </c>
      <c r="C4089" s="24" t="s">
        <v>5</v>
      </c>
      <c r="D4089" s="24">
        <v>0</v>
      </c>
      <c r="E4089" s="24" t="s">
        <v>795</v>
      </c>
      <c r="F4089" s="24"/>
      <c r="G4089" s="24"/>
    </row>
    <row r="4090" spans="1:7" x14ac:dyDescent="0.25">
      <c r="A4090" s="24" t="s">
        <v>493</v>
      </c>
      <c r="B4090" s="24" t="s">
        <v>23</v>
      </c>
      <c r="C4090" s="24" t="s">
        <v>5</v>
      </c>
      <c r="D4090" s="24">
        <v>0.6</v>
      </c>
      <c r="E4090" s="24" t="s">
        <v>796</v>
      </c>
      <c r="F4090" s="24" t="s">
        <v>1035</v>
      </c>
      <c r="G4090" s="24">
        <v>168457</v>
      </c>
    </row>
    <row r="4091" spans="1:7" x14ac:dyDescent="0.25">
      <c r="A4091" s="24" t="s">
        <v>493</v>
      </c>
      <c r="B4091" s="24" t="s">
        <v>26</v>
      </c>
      <c r="C4091" s="24" t="s">
        <v>5</v>
      </c>
      <c r="D4091" s="24">
        <v>0.18</v>
      </c>
      <c r="E4091" s="24" t="s">
        <v>799</v>
      </c>
      <c r="F4091" s="24" t="s">
        <v>1035</v>
      </c>
      <c r="G4091" s="24">
        <v>168457</v>
      </c>
    </row>
    <row r="4092" spans="1:7" x14ac:dyDescent="0.25">
      <c r="A4092" s="24" t="s">
        <v>493</v>
      </c>
      <c r="B4092" s="24" t="s">
        <v>27</v>
      </c>
      <c r="C4092" s="24" t="s">
        <v>5</v>
      </c>
      <c r="D4092" s="24">
        <v>7.0000000000000007E-2</v>
      </c>
      <c r="E4092" s="24" t="s">
        <v>799</v>
      </c>
      <c r="F4092" s="24" t="s">
        <v>1035</v>
      </c>
      <c r="G4092" s="24">
        <v>168457</v>
      </c>
    </row>
    <row r="4093" spans="1:7" x14ac:dyDescent="0.25">
      <c r="A4093" s="24" t="s">
        <v>493</v>
      </c>
      <c r="B4093" s="24" t="s">
        <v>28</v>
      </c>
      <c r="C4093" s="24" t="s">
        <v>5</v>
      </c>
      <c r="D4093" s="24">
        <v>0.03</v>
      </c>
      <c r="E4093" s="24" t="s">
        <v>799</v>
      </c>
      <c r="F4093" s="24" t="s">
        <v>1035</v>
      </c>
      <c r="G4093" s="24">
        <v>168457</v>
      </c>
    </row>
    <row r="4094" spans="1:7" x14ac:dyDescent="0.25">
      <c r="A4094" s="24" t="s">
        <v>493</v>
      </c>
      <c r="B4094" s="24" t="s">
        <v>29</v>
      </c>
      <c r="C4094" s="24" t="s">
        <v>5</v>
      </c>
      <c r="D4094" s="24">
        <v>0</v>
      </c>
      <c r="E4094" s="24" t="s">
        <v>799</v>
      </c>
      <c r="F4094" s="24" t="s">
        <v>1035</v>
      </c>
      <c r="G4094" s="24">
        <v>168457</v>
      </c>
    </row>
    <row r="4095" spans="1:7" x14ac:dyDescent="0.25">
      <c r="A4095" s="24" t="s">
        <v>493</v>
      </c>
      <c r="B4095" s="24" t="s">
        <v>30</v>
      </c>
      <c r="C4095" s="24" t="s">
        <v>31</v>
      </c>
      <c r="D4095" s="24">
        <v>0</v>
      </c>
      <c r="E4095" s="24" t="s">
        <v>801</v>
      </c>
      <c r="F4095" s="24" t="s">
        <v>1035</v>
      </c>
      <c r="G4095" s="24">
        <v>168457</v>
      </c>
    </row>
    <row r="4096" spans="1:7" x14ac:dyDescent="0.25">
      <c r="A4096" s="24" t="s">
        <v>493</v>
      </c>
      <c r="B4096" s="24" t="s">
        <v>32</v>
      </c>
      <c r="C4096" s="24" t="s">
        <v>33</v>
      </c>
      <c r="D4096" s="24">
        <v>5.6</v>
      </c>
      <c r="E4096" s="24" t="s">
        <v>796</v>
      </c>
      <c r="F4096" s="24" t="s">
        <v>1035</v>
      </c>
      <c r="G4096" s="24">
        <v>168457</v>
      </c>
    </row>
    <row r="4097" spans="1:7" x14ac:dyDescent="0.25">
      <c r="A4097" s="24" t="s">
        <v>493</v>
      </c>
      <c r="B4097" s="24" t="s">
        <v>34</v>
      </c>
      <c r="C4097" s="24" t="s">
        <v>31</v>
      </c>
      <c r="D4097" s="24">
        <v>2.8</v>
      </c>
      <c r="E4097" s="24" t="s">
        <v>796</v>
      </c>
      <c r="F4097" s="24" t="s">
        <v>1035</v>
      </c>
      <c r="G4097" s="24">
        <v>168457</v>
      </c>
    </row>
    <row r="4098" spans="1:7" x14ac:dyDescent="0.25">
      <c r="A4098" s="24" t="s">
        <v>493</v>
      </c>
      <c r="B4098" s="24" t="s">
        <v>35</v>
      </c>
      <c r="C4098" s="24" t="s">
        <v>36</v>
      </c>
      <c r="D4098" s="24">
        <v>0</v>
      </c>
      <c r="E4098" s="24" t="s">
        <v>796</v>
      </c>
      <c r="F4098" s="24" t="s">
        <v>1035</v>
      </c>
      <c r="G4098" s="24">
        <v>168457</v>
      </c>
    </row>
    <row r="4099" spans="1:7" x14ac:dyDescent="0.25">
      <c r="A4099" s="24" t="s">
        <v>493</v>
      </c>
      <c r="B4099" s="24" t="s">
        <v>37</v>
      </c>
      <c r="C4099" s="24" t="s">
        <v>38</v>
      </c>
      <c r="D4099" s="24">
        <v>0.8</v>
      </c>
      <c r="E4099" s="24" t="s">
        <v>796</v>
      </c>
      <c r="F4099" s="24" t="s">
        <v>1035</v>
      </c>
      <c r="G4099" s="24">
        <v>168457</v>
      </c>
    </row>
    <row r="4100" spans="1:7" x14ac:dyDescent="0.25">
      <c r="A4100" s="24" t="s">
        <v>493</v>
      </c>
      <c r="B4100" s="24" t="s">
        <v>39</v>
      </c>
      <c r="C4100" s="24" t="s">
        <v>36</v>
      </c>
      <c r="D4100" s="24">
        <v>62</v>
      </c>
      <c r="E4100" s="24" t="s">
        <v>796</v>
      </c>
      <c r="F4100" s="24" t="s">
        <v>1035</v>
      </c>
      <c r="G4100" s="24">
        <v>168457</v>
      </c>
    </row>
    <row r="4101" spans="1:7" x14ac:dyDescent="0.25">
      <c r="A4101" s="24" t="s">
        <v>493</v>
      </c>
      <c r="B4101" s="24" t="s">
        <v>40</v>
      </c>
      <c r="C4101" s="24" t="s">
        <v>31</v>
      </c>
      <c r="D4101" s="24">
        <v>0</v>
      </c>
      <c r="E4101" s="24" t="s">
        <v>796</v>
      </c>
      <c r="F4101" s="24" t="s">
        <v>1035</v>
      </c>
      <c r="G4101" s="24">
        <v>168457</v>
      </c>
    </row>
    <row r="4102" spans="1:7" x14ac:dyDescent="0.25">
      <c r="A4102" s="24" t="s">
        <v>493</v>
      </c>
      <c r="B4102" s="24" t="s">
        <v>41</v>
      </c>
      <c r="C4102" s="24" t="s">
        <v>31</v>
      </c>
      <c r="D4102" s="24">
        <v>0.1</v>
      </c>
      <c r="E4102" s="24" t="s">
        <v>796</v>
      </c>
      <c r="F4102" s="24" t="s">
        <v>1035</v>
      </c>
      <c r="G4102" s="24">
        <v>168457</v>
      </c>
    </row>
    <row r="4103" spans="1:7" x14ac:dyDescent="0.25">
      <c r="A4103" s="24" t="s">
        <v>493</v>
      </c>
      <c r="B4103" s="24" t="s">
        <v>42</v>
      </c>
      <c r="C4103" s="24" t="s">
        <v>43</v>
      </c>
      <c r="D4103" s="24">
        <v>0.4</v>
      </c>
      <c r="E4103" s="24" t="s">
        <v>796</v>
      </c>
      <c r="F4103" s="24" t="s">
        <v>1035</v>
      </c>
      <c r="G4103" s="24">
        <v>168457</v>
      </c>
    </row>
    <row r="4104" spans="1:7" x14ac:dyDescent="0.25">
      <c r="A4104" s="24" t="s">
        <v>493</v>
      </c>
      <c r="B4104" s="24" t="s">
        <v>44</v>
      </c>
      <c r="C4104" s="24" t="s">
        <v>31</v>
      </c>
      <c r="D4104" s="24">
        <v>0</v>
      </c>
      <c r="E4104" s="24" t="s">
        <v>796</v>
      </c>
      <c r="F4104" s="24" t="s">
        <v>1035</v>
      </c>
      <c r="G4104" s="24">
        <v>168457</v>
      </c>
    </row>
    <row r="4105" spans="1:7" x14ac:dyDescent="0.25">
      <c r="A4105" s="24" t="s">
        <v>493</v>
      </c>
      <c r="B4105" s="24" t="s">
        <v>45</v>
      </c>
      <c r="C4105" s="24" t="s">
        <v>31</v>
      </c>
      <c r="D4105" s="24">
        <v>0.6</v>
      </c>
      <c r="E4105" s="24" t="s">
        <v>796</v>
      </c>
      <c r="F4105" s="24" t="s">
        <v>1035</v>
      </c>
      <c r="G4105" s="24">
        <v>168457</v>
      </c>
    </row>
    <row r="4106" spans="1:7" x14ac:dyDescent="0.25">
      <c r="A4106" s="24" t="s">
        <v>493</v>
      </c>
      <c r="B4106" s="24" t="s">
        <v>46</v>
      </c>
      <c r="C4106" s="24" t="s">
        <v>36</v>
      </c>
      <c r="D4106" s="24">
        <v>0</v>
      </c>
      <c r="E4106" s="24" t="s">
        <v>796</v>
      </c>
      <c r="F4106" s="24" t="s">
        <v>1035</v>
      </c>
      <c r="G4106" s="24">
        <v>168457</v>
      </c>
    </row>
    <row r="4107" spans="1:7" x14ac:dyDescent="0.25">
      <c r="A4107" s="24" t="s">
        <v>493</v>
      </c>
      <c r="B4107" s="24" t="s">
        <v>47</v>
      </c>
      <c r="C4107" s="24" t="s">
        <v>48</v>
      </c>
      <c r="D4107" s="24">
        <v>169.1</v>
      </c>
      <c r="E4107" s="24" t="s">
        <v>796</v>
      </c>
      <c r="F4107" s="24" t="s">
        <v>1035</v>
      </c>
      <c r="G4107" s="24">
        <v>168457</v>
      </c>
    </row>
    <row r="4108" spans="1:7" x14ac:dyDescent="0.25">
      <c r="A4108" s="24" t="s">
        <v>493</v>
      </c>
      <c r="B4108" s="24" t="s">
        <v>49</v>
      </c>
      <c r="C4108" s="24" t="s">
        <v>31</v>
      </c>
      <c r="D4108" s="24">
        <v>218.8</v>
      </c>
      <c r="E4108" s="24" t="s">
        <v>796</v>
      </c>
      <c r="F4108" s="24" t="s">
        <v>1035</v>
      </c>
      <c r="G4108" s="24">
        <v>168457</v>
      </c>
    </row>
    <row r="4109" spans="1:7" x14ac:dyDescent="0.25">
      <c r="A4109" s="24" t="s">
        <v>493</v>
      </c>
      <c r="B4109" s="24" t="s">
        <v>50</v>
      </c>
      <c r="C4109" s="24" t="s">
        <v>31</v>
      </c>
      <c r="D4109" s="24">
        <v>83.6</v>
      </c>
      <c r="E4109" s="24" t="s">
        <v>796</v>
      </c>
      <c r="F4109" s="24" t="s">
        <v>1035</v>
      </c>
      <c r="G4109" s="24">
        <v>168457</v>
      </c>
    </row>
    <row r="4110" spans="1:7" x14ac:dyDescent="0.25">
      <c r="A4110" s="24" t="s">
        <v>493</v>
      </c>
      <c r="B4110" s="24" t="s">
        <v>51</v>
      </c>
      <c r="C4110" s="24" t="s">
        <v>31</v>
      </c>
      <c r="D4110" s="24">
        <v>157.80000000000001</v>
      </c>
      <c r="E4110" s="24" t="s">
        <v>796</v>
      </c>
      <c r="F4110" s="24" t="s">
        <v>1035</v>
      </c>
      <c r="G4110" s="24">
        <v>168457</v>
      </c>
    </row>
    <row r="4111" spans="1:7" x14ac:dyDescent="0.25">
      <c r="A4111" s="24" t="s">
        <v>493</v>
      </c>
      <c r="B4111" s="24" t="s">
        <v>52</v>
      </c>
      <c r="C4111" s="24" t="s">
        <v>31</v>
      </c>
      <c r="D4111" s="24">
        <v>39.4</v>
      </c>
      <c r="E4111" s="24" t="s">
        <v>796</v>
      </c>
      <c r="F4111" s="24" t="s">
        <v>1035</v>
      </c>
      <c r="G4111" s="24">
        <v>168457</v>
      </c>
    </row>
    <row r="4112" spans="1:7" x14ac:dyDescent="0.25">
      <c r="A4112" s="24" t="s">
        <v>493</v>
      </c>
      <c r="B4112" s="24" t="s">
        <v>53</v>
      </c>
      <c r="C4112" s="24" t="s">
        <v>31</v>
      </c>
      <c r="D4112" s="24">
        <v>113.6</v>
      </c>
      <c r="E4112" s="24" t="s">
        <v>796</v>
      </c>
      <c r="F4112" s="24" t="s">
        <v>1035</v>
      </c>
      <c r="G4112" s="24">
        <v>168457</v>
      </c>
    </row>
    <row r="4113" spans="1:7" x14ac:dyDescent="0.25">
      <c r="A4113" s="24" t="s">
        <v>493</v>
      </c>
      <c r="B4113" s="24" t="s">
        <v>54</v>
      </c>
      <c r="C4113" s="24" t="s">
        <v>31</v>
      </c>
      <c r="D4113" s="24">
        <v>2.7</v>
      </c>
      <c r="E4113" s="24" t="s">
        <v>796</v>
      </c>
      <c r="F4113" s="24" t="s">
        <v>1035</v>
      </c>
      <c r="G4113" s="24">
        <v>168457</v>
      </c>
    </row>
    <row r="4114" spans="1:7" x14ac:dyDescent="0.25">
      <c r="A4114" s="24" t="s">
        <v>493</v>
      </c>
      <c r="B4114" s="24" t="s">
        <v>55</v>
      </c>
      <c r="C4114" s="24" t="s">
        <v>31</v>
      </c>
      <c r="D4114" s="24">
        <v>1.2</v>
      </c>
      <c r="E4114" s="24" t="s">
        <v>796</v>
      </c>
      <c r="F4114" s="24" t="s">
        <v>1035</v>
      </c>
      <c r="G4114" s="24">
        <v>168457</v>
      </c>
    </row>
    <row r="4115" spans="1:7" x14ac:dyDescent="0.25">
      <c r="A4115" s="24" t="s">
        <v>493</v>
      </c>
      <c r="B4115" s="24" t="s">
        <v>56</v>
      </c>
      <c r="C4115" s="24" t="s">
        <v>31</v>
      </c>
      <c r="D4115" s="24">
        <v>0.1</v>
      </c>
      <c r="E4115" s="24" t="s">
        <v>796</v>
      </c>
      <c r="F4115" s="24" t="s">
        <v>1035</v>
      </c>
      <c r="G4115" s="24">
        <v>168457</v>
      </c>
    </row>
    <row r="4116" spans="1:7" x14ac:dyDescent="0.25">
      <c r="A4116" s="24" t="s">
        <v>493</v>
      </c>
      <c r="B4116" s="24" t="s">
        <v>57</v>
      </c>
      <c r="C4116" s="24" t="s">
        <v>36</v>
      </c>
      <c r="D4116" s="24">
        <v>0.7</v>
      </c>
      <c r="E4116" s="24" t="s">
        <v>796</v>
      </c>
      <c r="F4116" s="24" t="s">
        <v>1035</v>
      </c>
      <c r="G4116" s="24">
        <v>168457</v>
      </c>
    </row>
    <row r="4117" spans="1:7" x14ac:dyDescent="0.25">
      <c r="A4117" s="24" t="s">
        <v>493</v>
      </c>
      <c r="B4117" s="24" t="s">
        <v>58</v>
      </c>
      <c r="C4117" s="24" t="s">
        <v>5</v>
      </c>
      <c r="D4117" s="24">
        <v>0</v>
      </c>
      <c r="E4117" s="24" t="s">
        <v>795</v>
      </c>
      <c r="F4117" s="24"/>
      <c r="G4117" s="24"/>
    </row>
    <row r="4118" spans="1:7" x14ac:dyDescent="0.25">
      <c r="A4118" s="24" t="s">
        <v>494</v>
      </c>
      <c r="B4118" s="24" t="s">
        <v>29</v>
      </c>
      <c r="C4118" s="24" t="s">
        <v>5</v>
      </c>
      <c r="D4118" s="24">
        <v>0</v>
      </c>
      <c r="E4118" s="24" t="s">
        <v>799</v>
      </c>
      <c r="F4118" s="24" t="s">
        <v>1061</v>
      </c>
      <c r="G4118" s="24">
        <v>170393</v>
      </c>
    </row>
    <row r="4119" spans="1:7" x14ac:dyDescent="0.25">
      <c r="A4119" s="24" t="s">
        <v>494</v>
      </c>
      <c r="B4119" s="24" t="s">
        <v>58</v>
      </c>
      <c r="C4119" s="24" t="s">
        <v>5</v>
      </c>
      <c r="D4119" s="24">
        <v>0</v>
      </c>
      <c r="E4119" s="24" t="s">
        <v>795</v>
      </c>
      <c r="F4119" s="24"/>
      <c r="G4119" s="24"/>
    </row>
    <row r="4120" spans="1:7" x14ac:dyDescent="0.25">
      <c r="A4120" s="24" t="s">
        <v>495</v>
      </c>
      <c r="B4120" s="24" t="s">
        <v>29</v>
      </c>
      <c r="C4120" s="24" t="s">
        <v>5</v>
      </c>
      <c r="D4120" s="24">
        <v>0</v>
      </c>
      <c r="E4120" s="24" t="s">
        <v>799</v>
      </c>
      <c r="F4120" s="24" t="s">
        <v>1062</v>
      </c>
      <c r="G4120" s="24">
        <v>170394</v>
      </c>
    </row>
    <row r="4121" spans="1:7" x14ac:dyDescent="0.25">
      <c r="A4121" s="24" t="s">
        <v>495</v>
      </c>
      <c r="B4121" s="24" t="s">
        <v>58</v>
      </c>
      <c r="C4121" s="24" t="s">
        <v>5</v>
      </c>
      <c r="D4121" s="24">
        <v>0</v>
      </c>
      <c r="E4121" s="24" t="s">
        <v>795</v>
      </c>
      <c r="F4121" s="24"/>
      <c r="G4121" s="24"/>
    </row>
    <row r="4122" spans="1:7" x14ac:dyDescent="0.25">
      <c r="A4122" s="24" t="s">
        <v>496</v>
      </c>
      <c r="B4122" s="24" t="s">
        <v>29</v>
      </c>
      <c r="C4122" s="24" t="s">
        <v>5</v>
      </c>
      <c r="D4122" s="24">
        <v>0</v>
      </c>
      <c r="E4122" s="24" t="s">
        <v>799</v>
      </c>
      <c r="F4122" s="24" t="s">
        <v>1063</v>
      </c>
      <c r="G4122" s="24">
        <v>169291</v>
      </c>
    </row>
    <row r="4123" spans="1:7" x14ac:dyDescent="0.25">
      <c r="A4123" s="24" t="s">
        <v>496</v>
      </c>
      <c r="B4123" s="24" t="s">
        <v>58</v>
      </c>
      <c r="C4123" s="24" t="s">
        <v>5</v>
      </c>
      <c r="D4123" s="24">
        <v>0</v>
      </c>
      <c r="E4123" s="24" t="s">
        <v>795</v>
      </c>
      <c r="F4123" s="24"/>
      <c r="G4123" s="24"/>
    </row>
    <row r="4124" spans="1:7" x14ac:dyDescent="0.25">
      <c r="A4124" s="24" t="s">
        <v>497</v>
      </c>
      <c r="B4124" s="24" t="s">
        <v>29</v>
      </c>
      <c r="C4124" s="24" t="s">
        <v>5</v>
      </c>
      <c r="D4124" s="24">
        <v>0</v>
      </c>
      <c r="E4124" s="24" t="s">
        <v>799</v>
      </c>
      <c r="F4124" s="24" t="s">
        <v>1064</v>
      </c>
      <c r="G4124" s="24">
        <v>170534</v>
      </c>
    </row>
    <row r="4125" spans="1:7" x14ac:dyDescent="0.25">
      <c r="A4125" s="24" t="s">
        <v>497</v>
      </c>
      <c r="B4125" s="24" t="s">
        <v>58</v>
      </c>
      <c r="C4125" s="24" t="s">
        <v>5</v>
      </c>
      <c r="D4125" s="24">
        <v>0</v>
      </c>
      <c r="E4125" s="24" t="s">
        <v>795</v>
      </c>
      <c r="F4125" s="24"/>
      <c r="G4125" s="24"/>
    </row>
    <row r="4126" spans="1:7" x14ac:dyDescent="0.25">
      <c r="A4126" s="24" t="s">
        <v>498</v>
      </c>
      <c r="B4126" s="24" t="s">
        <v>29</v>
      </c>
      <c r="C4126" s="24" t="s">
        <v>5</v>
      </c>
      <c r="D4126" s="24">
        <v>0</v>
      </c>
      <c r="E4126" s="24" t="s">
        <v>799</v>
      </c>
      <c r="F4126" s="24" t="s">
        <v>1065</v>
      </c>
      <c r="G4126" s="24">
        <v>169295</v>
      </c>
    </row>
    <row r="4127" spans="1:7" x14ac:dyDescent="0.25">
      <c r="A4127" s="24" t="s">
        <v>498</v>
      </c>
      <c r="B4127" s="24" t="s">
        <v>58</v>
      </c>
      <c r="C4127" s="24" t="s">
        <v>5</v>
      </c>
      <c r="D4127" s="24">
        <v>0</v>
      </c>
      <c r="E4127" s="24" t="s">
        <v>795</v>
      </c>
      <c r="F4127" s="24"/>
      <c r="G4127" s="24"/>
    </row>
    <row r="4128" spans="1:7" x14ac:dyDescent="0.25">
      <c r="A4128" s="24" t="s">
        <v>500</v>
      </c>
      <c r="B4128" s="24" t="s">
        <v>20</v>
      </c>
      <c r="C4128" s="24" t="s">
        <v>5</v>
      </c>
      <c r="D4128" s="24">
        <v>2.2000000000000002</v>
      </c>
      <c r="E4128" s="24" t="s">
        <v>796</v>
      </c>
      <c r="F4128" s="24" t="s">
        <v>1066</v>
      </c>
      <c r="G4128" s="24">
        <v>169094</v>
      </c>
    </row>
    <row r="4129" spans="1:7" x14ac:dyDescent="0.25">
      <c r="A4129" s="24" t="s">
        <v>500</v>
      </c>
      <c r="B4129" s="24" t="s">
        <v>24</v>
      </c>
      <c r="C4129" s="24" t="s">
        <v>5</v>
      </c>
      <c r="D4129" s="24">
        <v>1.6</v>
      </c>
      <c r="E4129" s="24" t="s">
        <v>801</v>
      </c>
      <c r="F4129" s="24" t="s">
        <v>1066</v>
      </c>
      <c r="G4129" s="24">
        <v>169094</v>
      </c>
    </row>
    <row r="4130" spans="1:7" x14ac:dyDescent="0.25">
      <c r="A4130" s="24" t="s">
        <v>500</v>
      </c>
      <c r="B4130" s="24" t="s">
        <v>32</v>
      </c>
      <c r="C4130" s="24" t="s">
        <v>33</v>
      </c>
      <c r="D4130" s="24">
        <v>17</v>
      </c>
      <c r="E4130" s="24" t="s">
        <v>801</v>
      </c>
      <c r="F4130" s="24" t="s">
        <v>1066</v>
      </c>
      <c r="G4130" s="24">
        <v>169094</v>
      </c>
    </row>
    <row r="4131" spans="1:7" x14ac:dyDescent="0.25">
      <c r="A4131" s="24" t="s">
        <v>500</v>
      </c>
      <c r="B4131" s="24" t="s">
        <v>34</v>
      </c>
      <c r="C4131" s="24" t="s">
        <v>31</v>
      </c>
      <c r="D4131" s="24">
        <v>0.9</v>
      </c>
      <c r="E4131" s="24" t="s">
        <v>801</v>
      </c>
      <c r="F4131" s="24" t="s">
        <v>1066</v>
      </c>
      <c r="G4131" s="24">
        <v>169094</v>
      </c>
    </row>
    <row r="4132" spans="1:7" x14ac:dyDescent="0.25">
      <c r="A4132" s="24" t="s">
        <v>500</v>
      </c>
      <c r="B4132" s="24" t="s">
        <v>35</v>
      </c>
      <c r="C4132" s="24" t="s">
        <v>36</v>
      </c>
      <c r="D4132" s="24">
        <v>0</v>
      </c>
      <c r="E4132" s="24" t="s">
        <v>801</v>
      </c>
      <c r="F4132" s="24" t="s">
        <v>1066</v>
      </c>
      <c r="G4132" s="24">
        <v>169094</v>
      </c>
    </row>
    <row r="4133" spans="1:7" x14ac:dyDescent="0.25">
      <c r="A4133" s="24" t="s">
        <v>500</v>
      </c>
      <c r="B4133" s="24" t="s">
        <v>37</v>
      </c>
      <c r="C4133" s="24" t="s">
        <v>38</v>
      </c>
      <c r="D4133" s="24">
        <v>1.6</v>
      </c>
      <c r="E4133" s="24" t="s">
        <v>801</v>
      </c>
      <c r="F4133" s="24" t="s">
        <v>1066</v>
      </c>
      <c r="G4133" s="24">
        <v>169094</v>
      </c>
    </row>
    <row r="4134" spans="1:7" x14ac:dyDescent="0.25">
      <c r="A4134" s="24" t="s">
        <v>500</v>
      </c>
      <c r="B4134" s="24" t="s">
        <v>39</v>
      </c>
      <c r="C4134" s="24" t="s">
        <v>36</v>
      </c>
      <c r="D4134" s="24">
        <v>1.4</v>
      </c>
      <c r="E4134" s="24" t="s">
        <v>801</v>
      </c>
      <c r="F4134" s="24" t="s">
        <v>1066</v>
      </c>
      <c r="G4134" s="24">
        <v>169094</v>
      </c>
    </row>
    <row r="4135" spans="1:7" x14ac:dyDescent="0.25">
      <c r="A4135" s="24" t="s">
        <v>500</v>
      </c>
      <c r="B4135" s="24" t="s">
        <v>40</v>
      </c>
      <c r="C4135" s="24" t="s">
        <v>31</v>
      </c>
      <c r="D4135" s="24">
        <v>0</v>
      </c>
      <c r="E4135" s="24" t="s">
        <v>801</v>
      </c>
      <c r="F4135" s="24" t="s">
        <v>1066</v>
      </c>
      <c r="G4135" s="24">
        <v>169094</v>
      </c>
    </row>
    <row r="4136" spans="1:7" x14ac:dyDescent="0.25">
      <c r="A4136" s="24" t="s">
        <v>500</v>
      </c>
      <c r="B4136" s="24" t="s">
        <v>41</v>
      </c>
      <c r="C4136" s="24" t="s">
        <v>31</v>
      </c>
      <c r="D4136" s="24">
        <v>0</v>
      </c>
      <c r="E4136" s="24" t="s">
        <v>801</v>
      </c>
      <c r="F4136" s="24" t="s">
        <v>1066</v>
      </c>
      <c r="G4136" s="24">
        <v>169094</v>
      </c>
    </row>
    <row r="4137" spans="1:7" x14ac:dyDescent="0.25">
      <c r="A4137" s="24" t="s">
        <v>500</v>
      </c>
      <c r="B4137" s="24" t="s">
        <v>42</v>
      </c>
      <c r="C4137" s="24" t="s">
        <v>43</v>
      </c>
      <c r="D4137" s="24">
        <v>0</v>
      </c>
      <c r="E4137" s="24" t="s">
        <v>801</v>
      </c>
      <c r="F4137" s="24" t="s">
        <v>1066</v>
      </c>
      <c r="G4137" s="24">
        <v>169094</v>
      </c>
    </row>
    <row r="4138" spans="1:7" x14ac:dyDescent="0.25">
      <c r="A4138" s="24" t="s">
        <v>500</v>
      </c>
      <c r="B4138" s="24" t="s">
        <v>44</v>
      </c>
      <c r="C4138" s="24" t="s">
        <v>31</v>
      </c>
      <c r="D4138" s="24">
        <v>0</v>
      </c>
      <c r="E4138" s="24" t="s">
        <v>801</v>
      </c>
      <c r="F4138" s="24" t="s">
        <v>1066</v>
      </c>
      <c r="G4138" s="24">
        <v>169094</v>
      </c>
    </row>
    <row r="4139" spans="1:7" x14ac:dyDescent="0.25">
      <c r="A4139" s="24" t="s">
        <v>500</v>
      </c>
      <c r="B4139" s="24" t="s">
        <v>45</v>
      </c>
      <c r="C4139" s="24" t="s">
        <v>31</v>
      </c>
      <c r="D4139" s="24">
        <v>0</v>
      </c>
      <c r="E4139" s="24" t="s">
        <v>801</v>
      </c>
      <c r="F4139" s="24" t="s">
        <v>1066</v>
      </c>
      <c r="G4139" s="24">
        <v>169094</v>
      </c>
    </row>
    <row r="4140" spans="1:7" x14ac:dyDescent="0.25">
      <c r="A4140" s="24" t="s">
        <v>500</v>
      </c>
      <c r="B4140" s="24" t="s">
        <v>46</v>
      </c>
      <c r="C4140" s="24" t="s">
        <v>36</v>
      </c>
      <c r="D4140" s="24">
        <v>0</v>
      </c>
      <c r="E4140" s="24" t="s">
        <v>801</v>
      </c>
      <c r="F4140" s="24" t="s">
        <v>1066</v>
      </c>
      <c r="G4140" s="24">
        <v>169094</v>
      </c>
    </row>
    <row r="4141" spans="1:7" x14ac:dyDescent="0.25">
      <c r="A4141" s="24" t="s">
        <v>500</v>
      </c>
      <c r="B4141" s="24" t="s">
        <v>47</v>
      </c>
      <c r="C4141" s="24" t="s">
        <v>48</v>
      </c>
      <c r="D4141" s="24">
        <v>0</v>
      </c>
      <c r="E4141" s="24" t="s">
        <v>801</v>
      </c>
      <c r="F4141" s="24" t="s">
        <v>1066</v>
      </c>
      <c r="G4141" s="24">
        <v>169094</v>
      </c>
    </row>
    <row r="4142" spans="1:7" x14ac:dyDescent="0.25">
      <c r="A4142" s="24" t="s">
        <v>500</v>
      </c>
      <c r="B4142" s="24" t="s">
        <v>50</v>
      </c>
      <c r="C4142" s="24" t="s">
        <v>31</v>
      </c>
      <c r="D4142" s="24">
        <v>8</v>
      </c>
      <c r="E4142" s="24" t="s">
        <v>801</v>
      </c>
      <c r="F4142" s="24" t="s">
        <v>1066</v>
      </c>
      <c r="G4142" s="24">
        <v>169094</v>
      </c>
    </row>
    <row r="4143" spans="1:7" x14ac:dyDescent="0.25">
      <c r="A4143" s="24" t="s">
        <v>500</v>
      </c>
      <c r="B4143" s="24" t="s">
        <v>51</v>
      </c>
      <c r="C4143" s="24" t="s">
        <v>31</v>
      </c>
      <c r="D4143" s="24">
        <v>88</v>
      </c>
      <c r="E4143" s="24" t="s">
        <v>801</v>
      </c>
      <c r="F4143" s="24" t="s">
        <v>1066</v>
      </c>
      <c r="G4143" s="24">
        <v>169094</v>
      </c>
    </row>
    <row r="4144" spans="1:7" x14ac:dyDescent="0.25">
      <c r="A4144" s="24" t="s">
        <v>500</v>
      </c>
      <c r="B4144" s="24" t="s">
        <v>52</v>
      </c>
      <c r="C4144" s="24" t="s">
        <v>31</v>
      </c>
      <c r="D4144" s="24">
        <v>3</v>
      </c>
      <c r="E4144" s="24" t="s">
        <v>801</v>
      </c>
      <c r="F4144" s="24" t="s">
        <v>1066</v>
      </c>
      <c r="G4144" s="24">
        <v>169094</v>
      </c>
    </row>
    <row r="4145" spans="1:7" x14ac:dyDescent="0.25">
      <c r="A4145" s="24" t="s">
        <v>500</v>
      </c>
      <c r="B4145" s="24" t="s">
        <v>53</v>
      </c>
      <c r="C4145" s="24" t="s">
        <v>31</v>
      </c>
      <c r="D4145" s="24">
        <v>4</v>
      </c>
      <c r="E4145" s="24" t="s">
        <v>801</v>
      </c>
      <c r="F4145" s="24" t="s">
        <v>1066</v>
      </c>
      <c r="G4145" s="24">
        <v>169094</v>
      </c>
    </row>
    <row r="4146" spans="1:7" x14ac:dyDescent="0.25">
      <c r="A4146" s="24" t="s">
        <v>500</v>
      </c>
      <c r="B4146" s="24" t="s">
        <v>54</v>
      </c>
      <c r="C4146" s="24" t="s">
        <v>31</v>
      </c>
      <c r="D4146" s="24">
        <v>6.3</v>
      </c>
      <c r="E4146" s="24" t="s">
        <v>801</v>
      </c>
      <c r="F4146" s="24" t="s">
        <v>1066</v>
      </c>
      <c r="G4146" s="24">
        <v>169094</v>
      </c>
    </row>
    <row r="4147" spans="1:7" x14ac:dyDescent="0.25">
      <c r="A4147" s="24" t="s">
        <v>500</v>
      </c>
      <c r="B4147" s="24" t="s">
        <v>55</v>
      </c>
      <c r="C4147" s="24" t="s">
        <v>31</v>
      </c>
      <c r="D4147" s="24">
        <v>0.2</v>
      </c>
      <c r="E4147" s="24" t="s">
        <v>801</v>
      </c>
      <c r="F4147" s="24" t="s">
        <v>1066</v>
      </c>
      <c r="G4147" s="24">
        <v>169094</v>
      </c>
    </row>
    <row r="4148" spans="1:7" x14ac:dyDescent="0.25">
      <c r="A4148" s="24" t="s">
        <v>500</v>
      </c>
      <c r="B4148" s="24" t="s">
        <v>56</v>
      </c>
      <c r="C4148" s="24" t="s">
        <v>31</v>
      </c>
      <c r="D4148" s="24">
        <v>0.3</v>
      </c>
      <c r="E4148" s="24" t="s">
        <v>801</v>
      </c>
      <c r="F4148" s="24" t="s">
        <v>1066</v>
      </c>
      <c r="G4148" s="24">
        <v>169094</v>
      </c>
    </row>
    <row r="4149" spans="1:7" x14ac:dyDescent="0.25">
      <c r="A4149" s="24" t="s">
        <v>500</v>
      </c>
      <c r="B4149" s="24" t="s">
        <v>57</v>
      </c>
      <c r="C4149" s="24" t="s">
        <v>36</v>
      </c>
      <c r="D4149" s="24">
        <v>0.9</v>
      </c>
      <c r="E4149" s="24" t="s">
        <v>801</v>
      </c>
      <c r="F4149" s="24" t="s">
        <v>1066</v>
      </c>
      <c r="G4149" s="24">
        <v>169094</v>
      </c>
    </row>
    <row r="4150" spans="1:7" x14ac:dyDescent="0.25">
      <c r="A4150" s="24" t="s">
        <v>500</v>
      </c>
      <c r="B4150" s="24" t="s">
        <v>58</v>
      </c>
      <c r="C4150" s="24" t="s">
        <v>5</v>
      </c>
      <c r="D4150" s="24">
        <v>0</v>
      </c>
      <c r="E4150" s="24" t="s">
        <v>795</v>
      </c>
      <c r="F4150" s="24"/>
      <c r="G4150" s="24"/>
    </row>
    <row r="4151" spans="1:7" x14ac:dyDescent="0.25">
      <c r="A4151" s="24" t="s">
        <v>500</v>
      </c>
      <c r="B4151" s="24" t="s">
        <v>18</v>
      </c>
      <c r="C4151" s="24" t="s">
        <v>5</v>
      </c>
      <c r="D4151" s="24">
        <v>68.599999999999994</v>
      </c>
      <c r="E4151" s="24" t="s">
        <v>803</v>
      </c>
      <c r="F4151" s="24"/>
      <c r="G4151" s="24"/>
    </row>
    <row r="4152" spans="1:7" x14ac:dyDescent="0.25">
      <c r="A4152" s="24" t="s">
        <v>501</v>
      </c>
      <c r="B4152" s="24" t="s">
        <v>20</v>
      </c>
      <c r="C4152" s="24" t="s">
        <v>5</v>
      </c>
      <c r="D4152" s="24">
        <v>4.5</v>
      </c>
      <c r="E4152" s="24" t="s">
        <v>796</v>
      </c>
      <c r="F4152" s="24" t="s">
        <v>1067</v>
      </c>
      <c r="G4152" s="24">
        <v>169096</v>
      </c>
    </row>
    <row r="4153" spans="1:7" x14ac:dyDescent="0.25">
      <c r="A4153" s="24" t="s">
        <v>501</v>
      </c>
      <c r="B4153" s="24" t="s">
        <v>24</v>
      </c>
      <c r="C4153" s="24" t="s">
        <v>5</v>
      </c>
      <c r="D4153" s="24">
        <v>3.3</v>
      </c>
      <c r="E4153" s="24" t="s">
        <v>801</v>
      </c>
      <c r="F4153" s="24" t="s">
        <v>1067</v>
      </c>
      <c r="G4153" s="24">
        <v>169096</v>
      </c>
    </row>
    <row r="4154" spans="1:7" x14ac:dyDescent="0.25">
      <c r="A4154" s="24" t="s">
        <v>501</v>
      </c>
      <c r="B4154" s="24" t="s">
        <v>32</v>
      </c>
      <c r="C4154" s="24" t="s">
        <v>33</v>
      </c>
      <c r="D4154" s="24">
        <v>20</v>
      </c>
      <c r="E4154" s="24" t="s">
        <v>801</v>
      </c>
      <c r="F4154" s="24" t="s">
        <v>1067</v>
      </c>
      <c r="G4154" s="24">
        <v>169096</v>
      </c>
    </row>
    <row r="4155" spans="1:7" x14ac:dyDescent="0.25">
      <c r="A4155" s="24" t="s">
        <v>501</v>
      </c>
      <c r="B4155" s="24" t="s">
        <v>34</v>
      </c>
      <c r="C4155" s="24" t="s">
        <v>31</v>
      </c>
      <c r="D4155" s="24">
        <v>0</v>
      </c>
      <c r="E4155" s="24" t="s">
        <v>801</v>
      </c>
      <c r="F4155" s="24" t="s">
        <v>1067</v>
      </c>
      <c r="G4155" s="24">
        <v>169096</v>
      </c>
    </row>
    <row r="4156" spans="1:7" x14ac:dyDescent="0.25">
      <c r="A4156" s="24" t="s">
        <v>501</v>
      </c>
      <c r="B4156" s="24" t="s">
        <v>35</v>
      </c>
      <c r="C4156" s="24" t="s">
        <v>36</v>
      </c>
      <c r="D4156" s="24">
        <v>0</v>
      </c>
      <c r="E4156" s="24" t="s">
        <v>801</v>
      </c>
      <c r="F4156" s="24" t="s">
        <v>1067</v>
      </c>
      <c r="G4156" s="24">
        <v>169096</v>
      </c>
    </row>
    <row r="4157" spans="1:7" x14ac:dyDescent="0.25">
      <c r="A4157" s="24" t="s">
        <v>501</v>
      </c>
      <c r="B4157" s="24" t="s">
        <v>37</v>
      </c>
      <c r="C4157" s="24" t="s">
        <v>38</v>
      </c>
      <c r="D4157" s="24">
        <v>3.8</v>
      </c>
      <c r="E4157" s="24" t="s">
        <v>801</v>
      </c>
      <c r="F4157" s="24" t="s">
        <v>1067</v>
      </c>
      <c r="G4157" s="24">
        <v>169096</v>
      </c>
    </row>
    <row r="4158" spans="1:7" x14ac:dyDescent="0.25">
      <c r="A4158" s="24" t="s">
        <v>501</v>
      </c>
      <c r="B4158" s="24" t="s">
        <v>39</v>
      </c>
      <c r="C4158" s="24" t="s">
        <v>36</v>
      </c>
      <c r="D4158" s="24">
        <v>1.4</v>
      </c>
      <c r="E4158" s="24" t="s">
        <v>801</v>
      </c>
      <c r="F4158" s="24" t="s">
        <v>1067</v>
      </c>
      <c r="G4158" s="24">
        <v>169096</v>
      </c>
    </row>
    <row r="4159" spans="1:7" x14ac:dyDescent="0.25">
      <c r="A4159" s="24" t="s">
        <v>501</v>
      </c>
      <c r="B4159" s="24" t="s">
        <v>40</v>
      </c>
      <c r="C4159" s="24" t="s">
        <v>31</v>
      </c>
      <c r="D4159" s="24">
        <v>0</v>
      </c>
      <c r="E4159" s="24" t="s">
        <v>801</v>
      </c>
      <c r="F4159" s="24" t="s">
        <v>1067</v>
      </c>
      <c r="G4159" s="24">
        <v>169096</v>
      </c>
    </row>
    <row r="4160" spans="1:7" x14ac:dyDescent="0.25">
      <c r="A4160" s="24" t="s">
        <v>501</v>
      </c>
      <c r="B4160" s="24" t="s">
        <v>41</v>
      </c>
      <c r="C4160" s="24" t="s">
        <v>31</v>
      </c>
      <c r="D4160" s="24">
        <v>0</v>
      </c>
      <c r="E4160" s="24" t="s">
        <v>801</v>
      </c>
      <c r="F4160" s="24" t="s">
        <v>1067</v>
      </c>
      <c r="G4160" s="24">
        <v>169096</v>
      </c>
    </row>
    <row r="4161" spans="1:7" x14ac:dyDescent="0.25">
      <c r="A4161" s="24" t="s">
        <v>501</v>
      </c>
      <c r="B4161" s="24" t="s">
        <v>42</v>
      </c>
      <c r="C4161" s="24" t="s">
        <v>43</v>
      </c>
      <c r="D4161" s="24">
        <v>0.2</v>
      </c>
      <c r="E4161" s="24" t="s">
        <v>801</v>
      </c>
      <c r="F4161" s="24" t="s">
        <v>1067</v>
      </c>
      <c r="G4161" s="24">
        <v>169096</v>
      </c>
    </row>
    <row r="4162" spans="1:7" x14ac:dyDescent="0.25">
      <c r="A4162" s="24" t="s">
        <v>501</v>
      </c>
      <c r="B4162" s="24" t="s">
        <v>44</v>
      </c>
      <c r="C4162" s="24" t="s">
        <v>31</v>
      </c>
      <c r="D4162" s="24">
        <v>0</v>
      </c>
      <c r="E4162" s="24" t="s">
        <v>801</v>
      </c>
      <c r="F4162" s="24" t="s">
        <v>1067</v>
      </c>
      <c r="G4162" s="24">
        <v>169096</v>
      </c>
    </row>
    <row r="4163" spans="1:7" x14ac:dyDescent="0.25">
      <c r="A4163" s="24" t="s">
        <v>501</v>
      </c>
      <c r="B4163" s="24" t="s">
        <v>45</v>
      </c>
      <c r="C4163" s="24" t="s">
        <v>31</v>
      </c>
      <c r="D4163" s="24">
        <v>0</v>
      </c>
      <c r="E4163" s="24" t="s">
        <v>801</v>
      </c>
      <c r="F4163" s="24" t="s">
        <v>1067</v>
      </c>
      <c r="G4163" s="24">
        <v>169096</v>
      </c>
    </row>
    <row r="4164" spans="1:7" x14ac:dyDescent="0.25">
      <c r="A4164" s="24" t="s">
        <v>501</v>
      </c>
      <c r="B4164" s="24" t="s">
        <v>46</v>
      </c>
      <c r="C4164" s="24" t="s">
        <v>36</v>
      </c>
      <c r="D4164" s="24">
        <v>0</v>
      </c>
      <c r="E4164" s="24" t="s">
        <v>801</v>
      </c>
      <c r="F4164" s="24" t="s">
        <v>1067</v>
      </c>
      <c r="G4164" s="24">
        <v>169096</v>
      </c>
    </row>
    <row r="4165" spans="1:7" x14ac:dyDescent="0.25">
      <c r="A4165" s="24" t="s">
        <v>501</v>
      </c>
      <c r="B4165" s="24" t="s">
        <v>47</v>
      </c>
      <c r="C4165" s="24" t="s">
        <v>48</v>
      </c>
      <c r="D4165" s="24">
        <v>3</v>
      </c>
      <c r="E4165" s="24" t="s">
        <v>801</v>
      </c>
      <c r="F4165" s="24" t="s">
        <v>1067</v>
      </c>
      <c r="G4165" s="24">
        <v>169096</v>
      </c>
    </row>
    <row r="4166" spans="1:7" x14ac:dyDescent="0.25">
      <c r="A4166" s="24" t="s">
        <v>501</v>
      </c>
      <c r="B4166" s="24" t="s">
        <v>50</v>
      </c>
      <c r="C4166" s="24" t="s">
        <v>31</v>
      </c>
      <c r="D4166" s="24">
        <v>42</v>
      </c>
      <c r="E4166" s="24" t="s">
        <v>801</v>
      </c>
      <c r="F4166" s="24" t="s">
        <v>1067</v>
      </c>
      <c r="G4166" s="24">
        <v>169096</v>
      </c>
    </row>
    <row r="4167" spans="1:7" x14ac:dyDescent="0.25">
      <c r="A4167" s="24" t="s">
        <v>501</v>
      </c>
      <c r="B4167" s="24" t="s">
        <v>51</v>
      </c>
      <c r="C4167" s="24" t="s">
        <v>31</v>
      </c>
      <c r="D4167" s="24">
        <v>52</v>
      </c>
      <c r="E4167" s="24" t="s">
        <v>801</v>
      </c>
      <c r="F4167" s="24" t="s">
        <v>1067</v>
      </c>
      <c r="G4167" s="24">
        <v>169096</v>
      </c>
    </row>
    <row r="4168" spans="1:7" x14ac:dyDescent="0.25">
      <c r="A4168" s="24" t="s">
        <v>501</v>
      </c>
      <c r="B4168" s="24" t="s">
        <v>52</v>
      </c>
      <c r="C4168" s="24" t="s">
        <v>31</v>
      </c>
      <c r="D4168" s="24">
        <v>4</v>
      </c>
      <c r="E4168" s="24" t="s">
        <v>801</v>
      </c>
      <c r="F4168" s="24" t="s">
        <v>1067</v>
      </c>
      <c r="G4168" s="24">
        <v>169096</v>
      </c>
    </row>
    <row r="4169" spans="1:7" x14ac:dyDescent="0.25">
      <c r="A4169" s="24" t="s">
        <v>501</v>
      </c>
      <c r="B4169" s="24" t="s">
        <v>53</v>
      </c>
      <c r="C4169" s="24" t="s">
        <v>31</v>
      </c>
      <c r="D4169" s="24">
        <v>11</v>
      </c>
      <c r="E4169" s="24" t="s">
        <v>801</v>
      </c>
      <c r="F4169" s="24" t="s">
        <v>1067</v>
      </c>
      <c r="G4169" s="24">
        <v>169096</v>
      </c>
    </row>
    <row r="4170" spans="1:7" x14ac:dyDescent="0.25">
      <c r="A4170" s="24" t="s">
        <v>501</v>
      </c>
      <c r="B4170" s="24" t="s">
        <v>54</v>
      </c>
      <c r="C4170" s="24" t="s">
        <v>31</v>
      </c>
      <c r="D4170" s="24">
        <v>0.5</v>
      </c>
      <c r="E4170" s="24" t="s">
        <v>801</v>
      </c>
      <c r="F4170" s="24" t="s">
        <v>1067</v>
      </c>
      <c r="G4170" s="24">
        <v>169096</v>
      </c>
    </row>
    <row r="4171" spans="1:7" x14ac:dyDescent="0.25">
      <c r="A4171" s="24" t="s">
        <v>501</v>
      </c>
      <c r="B4171" s="24" t="s">
        <v>55</v>
      </c>
      <c r="C4171" s="24" t="s">
        <v>31</v>
      </c>
      <c r="D4171" s="24">
        <v>0</v>
      </c>
      <c r="E4171" s="24" t="s">
        <v>801</v>
      </c>
      <c r="F4171" s="24" t="s">
        <v>1067</v>
      </c>
      <c r="G4171" s="24">
        <v>169096</v>
      </c>
    </row>
    <row r="4172" spans="1:7" x14ac:dyDescent="0.25">
      <c r="A4172" s="24" t="s">
        <v>501</v>
      </c>
      <c r="B4172" s="24" t="s">
        <v>56</v>
      </c>
      <c r="C4172" s="24" t="s">
        <v>31</v>
      </c>
      <c r="D4172" s="24">
        <v>0.1</v>
      </c>
      <c r="E4172" s="24" t="s">
        <v>801</v>
      </c>
      <c r="F4172" s="24" t="s">
        <v>1067</v>
      </c>
      <c r="G4172" s="24">
        <v>169096</v>
      </c>
    </row>
    <row r="4173" spans="1:7" x14ac:dyDescent="0.25">
      <c r="A4173" s="24" t="s">
        <v>501</v>
      </c>
      <c r="B4173" s="24" t="s">
        <v>57</v>
      </c>
      <c r="C4173" s="24" t="s">
        <v>36</v>
      </c>
      <c r="D4173" s="24">
        <v>0.9</v>
      </c>
      <c r="E4173" s="24" t="s">
        <v>801</v>
      </c>
      <c r="F4173" s="24" t="s">
        <v>1067</v>
      </c>
      <c r="G4173" s="24">
        <v>169096</v>
      </c>
    </row>
    <row r="4174" spans="1:7" x14ac:dyDescent="0.25">
      <c r="A4174" s="24" t="s">
        <v>501</v>
      </c>
      <c r="B4174" s="24" t="s">
        <v>58</v>
      </c>
      <c r="C4174" s="24" t="s">
        <v>5</v>
      </c>
      <c r="D4174" s="24">
        <v>0</v>
      </c>
      <c r="E4174" s="24" t="s">
        <v>795</v>
      </c>
      <c r="F4174" s="24"/>
      <c r="G4174" s="24"/>
    </row>
    <row r="4175" spans="1:7" x14ac:dyDescent="0.25">
      <c r="A4175" s="24" t="s">
        <v>501</v>
      </c>
      <c r="B4175" s="24" t="s">
        <v>18</v>
      </c>
      <c r="C4175" s="24" t="s">
        <v>5</v>
      </c>
      <c r="D4175" s="24">
        <v>60.6</v>
      </c>
      <c r="E4175" s="24" t="s">
        <v>803</v>
      </c>
      <c r="F4175" s="24"/>
      <c r="G4175" s="24"/>
    </row>
    <row r="4176" spans="1:7" x14ac:dyDescent="0.25">
      <c r="A4176" s="24" t="s">
        <v>502</v>
      </c>
      <c r="B4176" s="24" t="s">
        <v>29</v>
      </c>
      <c r="C4176" s="24" t="s">
        <v>5</v>
      </c>
      <c r="D4176" s="24">
        <v>0</v>
      </c>
      <c r="E4176" s="24" t="s">
        <v>799</v>
      </c>
      <c r="F4176" s="24" t="s">
        <v>1068</v>
      </c>
      <c r="G4176" s="24">
        <v>171711</v>
      </c>
    </row>
    <row r="4177" spans="1:7" x14ac:dyDescent="0.25">
      <c r="A4177" s="24" t="s">
        <v>502</v>
      </c>
      <c r="B4177" s="24" t="s">
        <v>58</v>
      </c>
      <c r="C4177" s="24" t="s">
        <v>5</v>
      </c>
      <c r="D4177" s="24">
        <v>0</v>
      </c>
      <c r="E4177" s="24" t="s">
        <v>795</v>
      </c>
      <c r="F4177" s="24"/>
      <c r="G4177" s="24"/>
    </row>
    <row r="4178" spans="1:7" x14ac:dyDescent="0.25">
      <c r="A4178" s="24" t="s">
        <v>503</v>
      </c>
      <c r="B4178" s="24" t="s">
        <v>29</v>
      </c>
      <c r="C4178" s="24" t="s">
        <v>5</v>
      </c>
      <c r="D4178" s="24">
        <v>0</v>
      </c>
      <c r="E4178" s="24" t="s">
        <v>799</v>
      </c>
      <c r="F4178" s="24" t="s">
        <v>1069</v>
      </c>
      <c r="G4178" s="24">
        <v>171722</v>
      </c>
    </row>
    <row r="4179" spans="1:7" x14ac:dyDescent="0.25">
      <c r="A4179" s="24" t="s">
        <v>503</v>
      </c>
      <c r="B4179" s="24" t="s">
        <v>58</v>
      </c>
      <c r="C4179" s="24" t="s">
        <v>5</v>
      </c>
      <c r="D4179" s="24">
        <v>0</v>
      </c>
      <c r="E4179" s="24" t="s">
        <v>795</v>
      </c>
      <c r="F4179" s="24"/>
      <c r="G4179" s="24"/>
    </row>
    <row r="4180" spans="1:7" x14ac:dyDescent="0.25">
      <c r="A4180" s="24" t="s">
        <v>504</v>
      </c>
      <c r="B4180" s="24" t="s">
        <v>23</v>
      </c>
      <c r="C4180" s="24" t="s">
        <v>5</v>
      </c>
      <c r="D4180" s="24">
        <v>12.5</v>
      </c>
      <c r="E4180" s="24" t="s">
        <v>796</v>
      </c>
      <c r="F4180" s="24" t="s">
        <v>1070</v>
      </c>
      <c r="G4180" s="24">
        <v>169941</v>
      </c>
    </row>
    <row r="4181" spans="1:7" x14ac:dyDescent="0.25">
      <c r="A4181" s="24" t="s">
        <v>504</v>
      </c>
      <c r="B4181" s="24" t="s">
        <v>29</v>
      </c>
      <c r="C4181" s="24" t="s">
        <v>5</v>
      </c>
      <c r="D4181" s="24">
        <v>0</v>
      </c>
      <c r="E4181" s="24" t="s">
        <v>799</v>
      </c>
      <c r="F4181" s="24" t="s">
        <v>1070</v>
      </c>
      <c r="G4181" s="24">
        <v>169941</v>
      </c>
    </row>
    <row r="4182" spans="1:7" x14ac:dyDescent="0.25">
      <c r="A4182" s="24" t="s">
        <v>504</v>
      </c>
      <c r="B4182" s="24" t="s">
        <v>35</v>
      </c>
      <c r="C4182" s="24" t="s">
        <v>36</v>
      </c>
      <c r="D4182" s="24">
        <v>0</v>
      </c>
      <c r="E4182" s="24" t="s">
        <v>796</v>
      </c>
      <c r="F4182" s="24" t="s">
        <v>1070</v>
      </c>
      <c r="G4182" s="24">
        <v>169941</v>
      </c>
    </row>
    <row r="4183" spans="1:7" x14ac:dyDescent="0.25">
      <c r="A4183" s="24" t="s">
        <v>504</v>
      </c>
      <c r="B4183" s="24" t="s">
        <v>37</v>
      </c>
      <c r="C4183" s="24" t="s">
        <v>38</v>
      </c>
      <c r="D4183" s="24">
        <v>0.7</v>
      </c>
      <c r="E4183" s="24" t="s">
        <v>796</v>
      </c>
      <c r="F4183" s="24" t="s">
        <v>1070</v>
      </c>
      <c r="G4183" s="24">
        <v>169941</v>
      </c>
    </row>
    <row r="4184" spans="1:7" x14ac:dyDescent="0.25">
      <c r="A4184" s="24" t="s">
        <v>504</v>
      </c>
      <c r="B4184" s="24" t="s">
        <v>39</v>
      </c>
      <c r="C4184" s="24" t="s">
        <v>36</v>
      </c>
      <c r="D4184" s="24">
        <v>2.6</v>
      </c>
      <c r="E4184" s="24" t="s">
        <v>796</v>
      </c>
      <c r="F4184" s="24" t="s">
        <v>1070</v>
      </c>
      <c r="G4184" s="24">
        <v>169941</v>
      </c>
    </row>
    <row r="4185" spans="1:7" x14ac:dyDescent="0.25">
      <c r="A4185" s="24" t="s">
        <v>504</v>
      </c>
      <c r="B4185" s="24" t="s">
        <v>44</v>
      </c>
      <c r="C4185" s="24" t="s">
        <v>31</v>
      </c>
      <c r="D4185" s="24">
        <v>0.1</v>
      </c>
      <c r="E4185" s="24" t="s">
        <v>796</v>
      </c>
      <c r="F4185" s="24" t="s">
        <v>1070</v>
      </c>
      <c r="G4185" s="24">
        <v>169941</v>
      </c>
    </row>
    <row r="4186" spans="1:7" x14ac:dyDescent="0.25">
      <c r="A4186" s="24" t="s">
        <v>504</v>
      </c>
      <c r="B4186" s="24" t="s">
        <v>57</v>
      </c>
      <c r="C4186" s="24" t="s">
        <v>36</v>
      </c>
      <c r="D4186" s="24">
        <v>0.6</v>
      </c>
      <c r="E4186" s="24" t="s">
        <v>796</v>
      </c>
      <c r="F4186" s="24" t="s">
        <v>1070</v>
      </c>
      <c r="G4186" s="24">
        <v>169941</v>
      </c>
    </row>
    <row r="4187" spans="1:7" x14ac:dyDescent="0.25">
      <c r="A4187" s="24" t="s">
        <v>504</v>
      </c>
      <c r="B4187" s="24" t="s">
        <v>58</v>
      </c>
      <c r="C4187" s="24" t="s">
        <v>5</v>
      </c>
      <c r="D4187" s="24">
        <v>0</v>
      </c>
      <c r="E4187" s="24" t="s">
        <v>795</v>
      </c>
      <c r="F4187" s="24"/>
      <c r="G4187" s="24"/>
    </row>
    <row r="4188" spans="1:7" x14ac:dyDescent="0.25">
      <c r="A4188" s="24" t="s">
        <v>505</v>
      </c>
      <c r="B4188" s="24" t="s">
        <v>29</v>
      </c>
      <c r="C4188" s="24" t="s">
        <v>5</v>
      </c>
      <c r="D4188" s="24">
        <v>0</v>
      </c>
      <c r="E4188" s="24" t="s">
        <v>799</v>
      </c>
      <c r="F4188" s="24" t="s">
        <v>1071</v>
      </c>
      <c r="G4188" s="24">
        <v>171719</v>
      </c>
    </row>
    <row r="4189" spans="1:7" x14ac:dyDescent="0.25">
      <c r="A4189" s="24" t="s">
        <v>505</v>
      </c>
      <c r="B4189" s="24" t="s">
        <v>58</v>
      </c>
      <c r="C4189" s="24" t="s">
        <v>5</v>
      </c>
      <c r="D4189" s="24">
        <v>0</v>
      </c>
      <c r="E4189" s="24" t="s">
        <v>795</v>
      </c>
      <c r="F4189" s="24"/>
      <c r="G4189" s="24"/>
    </row>
    <row r="4190" spans="1:7" x14ac:dyDescent="0.25">
      <c r="A4190" s="24" t="s">
        <v>506</v>
      </c>
      <c r="B4190" s="24" t="s">
        <v>29</v>
      </c>
      <c r="C4190" s="24" t="s">
        <v>5</v>
      </c>
      <c r="D4190" s="24">
        <v>0</v>
      </c>
      <c r="E4190" s="24" t="s">
        <v>799</v>
      </c>
      <c r="F4190" s="24" t="s">
        <v>1072</v>
      </c>
      <c r="G4190" s="24">
        <v>173953</v>
      </c>
    </row>
    <row r="4191" spans="1:7" x14ac:dyDescent="0.25">
      <c r="A4191" s="24" t="s">
        <v>506</v>
      </c>
      <c r="B4191" s="24" t="s">
        <v>58</v>
      </c>
      <c r="C4191" s="24" t="s">
        <v>5</v>
      </c>
      <c r="D4191" s="24">
        <v>0</v>
      </c>
      <c r="E4191" s="24" t="s">
        <v>795</v>
      </c>
      <c r="F4191" s="24"/>
      <c r="G4191" s="24"/>
    </row>
    <row r="4192" spans="1:7" x14ac:dyDescent="0.25">
      <c r="A4192" s="24" t="s">
        <v>507</v>
      </c>
      <c r="B4192" s="24" t="s">
        <v>29</v>
      </c>
      <c r="C4192" s="24" t="s">
        <v>5</v>
      </c>
      <c r="D4192" s="24">
        <v>0</v>
      </c>
      <c r="E4192" s="24" t="s">
        <v>799</v>
      </c>
      <c r="F4192" s="24" t="s">
        <v>1073</v>
      </c>
      <c r="G4192" s="24">
        <v>169949</v>
      </c>
    </row>
    <row r="4193" spans="1:7" x14ac:dyDescent="0.25">
      <c r="A4193" s="24" t="s">
        <v>507</v>
      </c>
      <c r="B4193" s="24" t="s">
        <v>58</v>
      </c>
      <c r="C4193" s="24" t="s">
        <v>5</v>
      </c>
      <c r="D4193" s="24">
        <v>0</v>
      </c>
      <c r="E4193" s="24" t="s">
        <v>795</v>
      </c>
      <c r="F4193" s="24"/>
      <c r="G4193" s="24"/>
    </row>
    <row r="4194" spans="1:7" x14ac:dyDescent="0.25">
      <c r="A4194" s="24" t="s">
        <v>508</v>
      </c>
      <c r="B4194" s="24" t="s">
        <v>29</v>
      </c>
      <c r="C4194" s="24" t="s">
        <v>5</v>
      </c>
      <c r="D4194" s="24">
        <v>0</v>
      </c>
      <c r="E4194" s="24" t="s">
        <v>940</v>
      </c>
      <c r="F4194" s="24"/>
      <c r="G4194" s="24"/>
    </row>
    <row r="4195" spans="1:7" x14ac:dyDescent="0.25">
      <c r="A4195" s="24" t="s">
        <v>508</v>
      </c>
      <c r="B4195" s="24" t="s">
        <v>58</v>
      </c>
      <c r="C4195" s="24" t="s">
        <v>5</v>
      </c>
      <c r="D4195" s="24">
        <v>0</v>
      </c>
      <c r="E4195" s="24" t="s">
        <v>795</v>
      </c>
      <c r="F4195" s="24"/>
      <c r="G4195" s="24"/>
    </row>
    <row r="4196" spans="1:7" x14ac:dyDescent="0.25">
      <c r="A4196" s="24" t="s">
        <v>509</v>
      </c>
      <c r="B4196" s="24" t="s">
        <v>29</v>
      </c>
      <c r="C4196" s="24" t="s">
        <v>5</v>
      </c>
      <c r="D4196" s="24">
        <v>0</v>
      </c>
      <c r="E4196" s="24" t="s">
        <v>799</v>
      </c>
      <c r="F4196" s="24" t="s">
        <v>1074</v>
      </c>
      <c r="G4196" s="24">
        <v>168195</v>
      </c>
    </row>
    <row r="4197" spans="1:7" x14ac:dyDescent="0.25">
      <c r="A4197" s="24" t="s">
        <v>509</v>
      </c>
      <c r="B4197" s="24" t="s">
        <v>58</v>
      </c>
      <c r="C4197" s="24" t="s">
        <v>5</v>
      </c>
      <c r="D4197" s="24">
        <v>0</v>
      </c>
      <c r="E4197" s="24" t="s">
        <v>795</v>
      </c>
      <c r="F4197" s="24"/>
      <c r="G4197" s="24"/>
    </row>
    <row r="4198" spans="1:7" x14ac:dyDescent="0.25">
      <c r="A4198" s="24" t="s">
        <v>510</v>
      </c>
      <c r="B4198" s="24" t="s">
        <v>29</v>
      </c>
      <c r="C4198" s="24" t="s">
        <v>5</v>
      </c>
      <c r="D4198" s="24">
        <v>0</v>
      </c>
      <c r="E4198" s="24" t="s">
        <v>799</v>
      </c>
      <c r="F4198" s="24" t="s">
        <v>1075</v>
      </c>
      <c r="G4198" s="24">
        <v>171697</v>
      </c>
    </row>
    <row r="4199" spans="1:7" x14ac:dyDescent="0.25">
      <c r="A4199" s="24" t="s">
        <v>510</v>
      </c>
      <c r="B4199" s="24" t="s">
        <v>58</v>
      </c>
      <c r="C4199" s="24" t="s">
        <v>5</v>
      </c>
      <c r="D4199" s="24">
        <v>0</v>
      </c>
      <c r="E4199" s="24" t="s">
        <v>795</v>
      </c>
      <c r="F4199" s="24"/>
      <c r="G4199" s="24"/>
    </row>
    <row r="4200" spans="1:7" x14ac:dyDescent="0.25">
      <c r="A4200" s="24" t="s">
        <v>511</v>
      </c>
      <c r="B4200" s="24" t="s">
        <v>26</v>
      </c>
      <c r="C4200" s="24" t="s">
        <v>5</v>
      </c>
      <c r="D4200" s="24">
        <v>0</v>
      </c>
      <c r="E4200" s="24" t="s">
        <v>799</v>
      </c>
      <c r="F4200" s="24" t="s">
        <v>1076</v>
      </c>
      <c r="G4200" s="24">
        <v>173941</v>
      </c>
    </row>
    <row r="4201" spans="1:7" x14ac:dyDescent="0.25">
      <c r="A4201" s="24" t="s">
        <v>511</v>
      </c>
      <c r="B4201" s="24" t="s">
        <v>27</v>
      </c>
      <c r="C4201" s="24" t="s">
        <v>5</v>
      </c>
      <c r="D4201" s="24">
        <v>0.01</v>
      </c>
      <c r="E4201" s="24" t="s">
        <v>799</v>
      </c>
      <c r="F4201" s="24" t="s">
        <v>1076</v>
      </c>
      <c r="G4201" s="24">
        <v>173941</v>
      </c>
    </row>
    <row r="4202" spans="1:7" x14ac:dyDescent="0.25">
      <c r="A4202" s="24" t="s">
        <v>511</v>
      </c>
      <c r="B4202" s="24" t="s">
        <v>28</v>
      </c>
      <c r="C4202" s="24" t="s">
        <v>5</v>
      </c>
      <c r="D4202" s="24">
        <v>0.01</v>
      </c>
      <c r="E4202" s="24" t="s">
        <v>799</v>
      </c>
      <c r="F4202" s="24" t="s">
        <v>1076</v>
      </c>
      <c r="G4202" s="24">
        <v>173941</v>
      </c>
    </row>
    <row r="4203" spans="1:7" x14ac:dyDescent="0.25">
      <c r="A4203" s="24" t="s">
        <v>511</v>
      </c>
      <c r="B4203" s="24" t="s">
        <v>29</v>
      </c>
      <c r="C4203" s="24" t="s">
        <v>5</v>
      </c>
      <c r="D4203" s="24">
        <v>0</v>
      </c>
      <c r="E4203" s="24" t="s">
        <v>940</v>
      </c>
      <c r="F4203" s="24"/>
      <c r="G4203" s="24"/>
    </row>
    <row r="4204" spans="1:7" x14ac:dyDescent="0.25">
      <c r="A4204" s="24" t="s">
        <v>511</v>
      </c>
      <c r="B4204" s="24" t="s">
        <v>30</v>
      </c>
      <c r="C4204" s="24" t="s">
        <v>31</v>
      </c>
      <c r="D4204" s="24">
        <v>0</v>
      </c>
      <c r="E4204" s="24" t="s">
        <v>801</v>
      </c>
      <c r="F4204" s="24" t="s">
        <v>1076</v>
      </c>
      <c r="G4204" s="24">
        <v>173941</v>
      </c>
    </row>
    <row r="4205" spans="1:7" x14ac:dyDescent="0.25">
      <c r="A4205" s="24" t="s">
        <v>511</v>
      </c>
      <c r="B4205" s="24" t="s">
        <v>32</v>
      </c>
      <c r="C4205" s="24" t="s">
        <v>33</v>
      </c>
      <c r="D4205" s="24">
        <v>197.4</v>
      </c>
      <c r="E4205" s="24" t="s">
        <v>796</v>
      </c>
      <c r="F4205" s="24" t="s">
        <v>1076</v>
      </c>
      <c r="G4205" s="24">
        <v>173941</v>
      </c>
    </row>
    <row r="4206" spans="1:7" x14ac:dyDescent="0.25">
      <c r="A4206" s="24" t="s">
        <v>511</v>
      </c>
      <c r="B4206" s="24" t="s">
        <v>34</v>
      </c>
      <c r="C4206" s="24" t="s">
        <v>31</v>
      </c>
      <c r="D4206" s="24">
        <v>1.1000000000000001</v>
      </c>
      <c r="E4206" s="24" t="s">
        <v>796</v>
      </c>
      <c r="F4206" s="24" t="s">
        <v>1076</v>
      </c>
      <c r="G4206" s="24">
        <v>173941</v>
      </c>
    </row>
    <row r="4207" spans="1:7" x14ac:dyDescent="0.25">
      <c r="A4207" s="24" t="s">
        <v>511</v>
      </c>
      <c r="B4207" s="24" t="s">
        <v>35</v>
      </c>
      <c r="C4207" s="24" t="s">
        <v>36</v>
      </c>
      <c r="D4207" s="24">
        <v>0</v>
      </c>
      <c r="E4207" s="24" t="s">
        <v>796</v>
      </c>
      <c r="F4207" s="24" t="s">
        <v>1076</v>
      </c>
      <c r="G4207" s="24">
        <v>173941</v>
      </c>
    </row>
    <row r="4208" spans="1:7" x14ac:dyDescent="0.25">
      <c r="A4208" s="24" t="s">
        <v>511</v>
      </c>
      <c r="B4208" s="24" t="s">
        <v>37</v>
      </c>
      <c r="C4208" s="24" t="s">
        <v>38</v>
      </c>
      <c r="D4208" s="24">
        <v>4.7</v>
      </c>
      <c r="E4208" s="24" t="s">
        <v>796</v>
      </c>
      <c r="F4208" s="24" t="s">
        <v>1076</v>
      </c>
      <c r="G4208" s="24">
        <v>173941</v>
      </c>
    </row>
    <row r="4209" spans="1:7" x14ac:dyDescent="0.25">
      <c r="A4209" s="24" t="s">
        <v>511</v>
      </c>
      <c r="B4209" s="24" t="s">
        <v>39</v>
      </c>
      <c r="C4209" s="24" t="s">
        <v>36</v>
      </c>
      <c r="D4209" s="24">
        <v>3.4</v>
      </c>
      <c r="E4209" s="24" t="s">
        <v>796</v>
      </c>
      <c r="F4209" s="24" t="s">
        <v>1076</v>
      </c>
      <c r="G4209" s="24">
        <v>173941</v>
      </c>
    </row>
    <row r="4210" spans="1:7" x14ac:dyDescent="0.25">
      <c r="A4210" s="24" t="s">
        <v>511</v>
      </c>
      <c r="B4210" s="24" t="s">
        <v>40</v>
      </c>
      <c r="C4210" s="24" t="s">
        <v>31</v>
      </c>
      <c r="D4210" s="24">
        <v>0</v>
      </c>
      <c r="E4210" s="24" t="s">
        <v>796</v>
      </c>
      <c r="F4210" s="24" t="s">
        <v>1076</v>
      </c>
      <c r="G4210" s="24">
        <v>173941</v>
      </c>
    </row>
    <row r="4211" spans="1:7" x14ac:dyDescent="0.25">
      <c r="A4211" s="24" t="s">
        <v>511</v>
      </c>
      <c r="B4211" s="24" t="s">
        <v>41</v>
      </c>
      <c r="C4211" s="24" t="s">
        <v>31</v>
      </c>
      <c r="D4211" s="24">
        <v>0.1</v>
      </c>
      <c r="E4211" s="24" t="s">
        <v>796</v>
      </c>
      <c r="F4211" s="24" t="s">
        <v>1076</v>
      </c>
      <c r="G4211" s="24">
        <v>173941</v>
      </c>
    </row>
    <row r="4212" spans="1:7" x14ac:dyDescent="0.25">
      <c r="A4212" s="24" t="s">
        <v>511</v>
      </c>
      <c r="B4212" s="24" t="s">
        <v>42</v>
      </c>
      <c r="C4212" s="24" t="s">
        <v>43</v>
      </c>
      <c r="D4212" s="24">
        <v>2.8</v>
      </c>
      <c r="E4212" s="24" t="s">
        <v>796</v>
      </c>
      <c r="F4212" s="24" t="s">
        <v>1076</v>
      </c>
      <c r="G4212" s="24">
        <v>173941</v>
      </c>
    </row>
    <row r="4213" spans="1:7" x14ac:dyDescent="0.25">
      <c r="A4213" s="24" t="s">
        <v>511</v>
      </c>
      <c r="B4213" s="24" t="s">
        <v>44</v>
      </c>
      <c r="C4213" s="24" t="s">
        <v>31</v>
      </c>
      <c r="D4213" s="24">
        <v>0.2</v>
      </c>
      <c r="E4213" s="24" t="s">
        <v>796</v>
      </c>
      <c r="F4213" s="24" t="s">
        <v>1076</v>
      </c>
      <c r="G4213" s="24">
        <v>173941</v>
      </c>
    </row>
    <row r="4214" spans="1:7" x14ac:dyDescent="0.25">
      <c r="A4214" s="24" t="s">
        <v>511</v>
      </c>
      <c r="B4214" s="24" t="s">
        <v>45</v>
      </c>
      <c r="C4214" s="24" t="s">
        <v>31</v>
      </c>
      <c r="D4214" s="24">
        <v>0.6</v>
      </c>
      <c r="E4214" s="24" t="s">
        <v>796</v>
      </c>
      <c r="F4214" s="24" t="s">
        <v>1076</v>
      </c>
      <c r="G4214" s="24">
        <v>173941</v>
      </c>
    </row>
    <row r="4215" spans="1:7" x14ac:dyDescent="0.25">
      <c r="A4215" s="24" t="s">
        <v>511</v>
      </c>
      <c r="B4215" s="24" t="s">
        <v>46</v>
      </c>
      <c r="C4215" s="24" t="s">
        <v>36</v>
      </c>
      <c r="D4215" s="24">
        <v>0</v>
      </c>
      <c r="E4215" s="24" t="s">
        <v>796</v>
      </c>
      <c r="F4215" s="24" t="s">
        <v>1076</v>
      </c>
      <c r="G4215" s="24">
        <v>173941</v>
      </c>
    </row>
    <row r="4216" spans="1:7" x14ac:dyDescent="0.25">
      <c r="A4216" s="24" t="s">
        <v>511</v>
      </c>
      <c r="B4216" s="24" t="s">
        <v>47</v>
      </c>
      <c r="C4216" s="24" t="s">
        <v>48</v>
      </c>
      <c r="D4216" s="24">
        <v>11</v>
      </c>
      <c r="E4216" s="24" t="s">
        <v>796</v>
      </c>
      <c r="F4216" s="24" t="s">
        <v>1076</v>
      </c>
      <c r="G4216" s="24">
        <v>173941</v>
      </c>
    </row>
    <row r="4217" spans="1:7" x14ac:dyDescent="0.25">
      <c r="A4217" s="24" t="s">
        <v>511</v>
      </c>
      <c r="B4217" s="24" t="s">
        <v>50</v>
      </c>
      <c r="C4217" s="24" t="s">
        <v>31</v>
      </c>
      <c r="D4217" s="24">
        <v>1274.5</v>
      </c>
      <c r="E4217" s="24" t="s">
        <v>796</v>
      </c>
      <c r="F4217" s="24" t="s">
        <v>1076</v>
      </c>
      <c r="G4217" s="24">
        <v>173941</v>
      </c>
    </row>
    <row r="4218" spans="1:7" x14ac:dyDescent="0.25">
      <c r="A4218" s="24" t="s">
        <v>511</v>
      </c>
      <c r="B4218" s="24" t="s">
        <v>51</v>
      </c>
      <c r="C4218" s="24" t="s">
        <v>31</v>
      </c>
      <c r="D4218" s="24">
        <v>60.3</v>
      </c>
      <c r="E4218" s="24" t="s">
        <v>796</v>
      </c>
      <c r="F4218" s="24" t="s">
        <v>1076</v>
      </c>
      <c r="G4218" s="24">
        <v>173941</v>
      </c>
    </row>
    <row r="4219" spans="1:7" x14ac:dyDescent="0.25">
      <c r="A4219" s="24" t="s">
        <v>511</v>
      </c>
      <c r="B4219" s="24" t="s">
        <v>52</v>
      </c>
      <c r="C4219" s="24" t="s">
        <v>31</v>
      </c>
      <c r="D4219" s="24">
        <v>77.900000000000006</v>
      </c>
      <c r="E4219" s="24" t="s">
        <v>796</v>
      </c>
      <c r="F4219" s="24" t="s">
        <v>1076</v>
      </c>
      <c r="G4219" s="24">
        <v>173941</v>
      </c>
    </row>
    <row r="4220" spans="1:7" x14ac:dyDescent="0.25">
      <c r="A4220" s="24" t="s">
        <v>511</v>
      </c>
      <c r="B4220" s="24" t="s">
        <v>54</v>
      </c>
      <c r="C4220" s="24" t="s">
        <v>31</v>
      </c>
      <c r="D4220" s="24">
        <v>2.9</v>
      </c>
      <c r="E4220" s="24" t="s">
        <v>796</v>
      </c>
      <c r="F4220" s="24" t="s">
        <v>1076</v>
      </c>
      <c r="G4220" s="24">
        <v>173941</v>
      </c>
    </row>
    <row r="4221" spans="1:7" x14ac:dyDescent="0.25">
      <c r="A4221" s="24" t="s">
        <v>511</v>
      </c>
      <c r="B4221" s="24" t="s">
        <v>55</v>
      </c>
      <c r="C4221" s="24" t="s">
        <v>31</v>
      </c>
      <c r="D4221" s="24">
        <v>0.4</v>
      </c>
      <c r="E4221" s="24" t="s">
        <v>796</v>
      </c>
      <c r="F4221" s="24" t="s">
        <v>1076</v>
      </c>
      <c r="G4221" s="24">
        <v>173941</v>
      </c>
    </row>
    <row r="4222" spans="1:7" x14ac:dyDescent="0.25">
      <c r="A4222" s="24" t="s">
        <v>511</v>
      </c>
      <c r="B4222" s="24" t="s">
        <v>57</v>
      </c>
      <c r="C4222" s="24" t="s">
        <v>36</v>
      </c>
      <c r="D4222" s="24">
        <v>2.4</v>
      </c>
      <c r="E4222" s="24" t="s">
        <v>796</v>
      </c>
      <c r="F4222" s="24" t="s">
        <v>1076</v>
      </c>
      <c r="G4222" s="24">
        <v>173941</v>
      </c>
    </row>
    <row r="4223" spans="1:7" x14ac:dyDescent="0.25">
      <c r="A4223" s="24" t="s">
        <v>511</v>
      </c>
      <c r="B4223" s="24" t="s">
        <v>58</v>
      </c>
      <c r="C4223" s="24" t="s">
        <v>5</v>
      </c>
      <c r="D4223" s="24">
        <v>0</v>
      </c>
      <c r="E4223" s="24" t="s">
        <v>795</v>
      </c>
      <c r="F4223" s="24"/>
      <c r="G4223" s="24"/>
    </row>
    <row r="4224" spans="1:7" x14ac:dyDescent="0.25">
      <c r="A4224" s="24" t="s">
        <v>512</v>
      </c>
      <c r="B4224" s="24" t="s">
        <v>29</v>
      </c>
      <c r="C4224" s="24" t="s">
        <v>5</v>
      </c>
      <c r="D4224" s="24">
        <v>0</v>
      </c>
      <c r="E4224" s="24" t="s">
        <v>799</v>
      </c>
      <c r="F4224" s="24" t="s">
        <v>1077</v>
      </c>
      <c r="G4224" s="24">
        <v>169928</v>
      </c>
    </row>
    <row r="4225" spans="1:7" x14ac:dyDescent="0.25">
      <c r="A4225" s="24" t="s">
        <v>512</v>
      </c>
      <c r="B4225" s="24" t="s">
        <v>58</v>
      </c>
      <c r="C4225" s="24" t="s">
        <v>5</v>
      </c>
      <c r="D4225" s="24">
        <v>0</v>
      </c>
      <c r="E4225" s="24" t="s">
        <v>795</v>
      </c>
      <c r="F4225" s="24"/>
      <c r="G4225" s="24"/>
    </row>
    <row r="4226" spans="1:7" x14ac:dyDescent="0.25">
      <c r="A4226" s="24" t="s">
        <v>513</v>
      </c>
      <c r="B4226" s="24" t="s">
        <v>20</v>
      </c>
      <c r="C4226" s="24" t="s">
        <v>5</v>
      </c>
      <c r="D4226" s="24">
        <v>0.2</v>
      </c>
      <c r="E4226" s="24" t="s">
        <v>796</v>
      </c>
      <c r="F4226" s="24" t="s">
        <v>1078</v>
      </c>
      <c r="G4226" s="24">
        <v>169111</v>
      </c>
    </row>
    <row r="4227" spans="1:7" x14ac:dyDescent="0.25">
      <c r="A4227" s="24" t="s">
        <v>513</v>
      </c>
      <c r="B4227" s="24" t="s">
        <v>24</v>
      </c>
      <c r="C4227" s="24" t="s">
        <v>5</v>
      </c>
      <c r="D4227" s="24">
        <v>1.3</v>
      </c>
      <c r="E4227" s="24" t="s">
        <v>801</v>
      </c>
      <c r="F4227" s="24" t="s">
        <v>1078</v>
      </c>
      <c r="G4227" s="24">
        <v>169111</v>
      </c>
    </row>
    <row r="4228" spans="1:7" x14ac:dyDescent="0.25">
      <c r="A4228" s="24" t="s">
        <v>513</v>
      </c>
      <c r="B4228" s="24" t="s">
        <v>26</v>
      </c>
      <c r="C4228" s="24" t="s">
        <v>5</v>
      </c>
      <c r="D4228" s="24">
        <v>0.03</v>
      </c>
      <c r="E4228" s="24" t="s">
        <v>799</v>
      </c>
      <c r="F4228" s="24" t="s">
        <v>1078</v>
      </c>
      <c r="G4228" s="24">
        <v>169111</v>
      </c>
    </row>
    <row r="4229" spans="1:7" x14ac:dyDescent="0.25">
      <c r="A4229" s="24" t="s">
        <v>513</v>
      </c>
      <c r="B4229" s="24" t="s">
        <v>27</v>
      </c>
      <c r="C4229" s="24" t="s">
        <v>5</v>
      </c>
      <c r="D4229" s="24">
        <v>0.12</v>
      </c>
      <c r="E4229" s="24" t="s">
        <v>799</v>
      </c>
      <c r="F4229" s="24" t="s">
        <v>1078</v>
      </c>
      <c r="G4229" s="24">
        <v>169111</v>
      </c>
    </row>
    <row r="4230" spans="1:7" x14ac:dyDescent="0.25">
      <c r="A4230" s="24" t="s">
        <v>513</v>
      </c>
      <c r="B4230" s="24" t="s">
        <v>28</v>
      </c>
      <c r="C4230" s="24" t="s">
        <v>5</v>
      </c>
      <c r="D4230" s="24">
        <v>0.15</v>
      </c>
      <c r="E4230" s="24" t="s">
        <v>799</v>
      </c>
      <c r="F4230" s="24" t="s">
        <v>1078</v>
      </c>
      <c r="G4230" s="24">
        <v>169111</v>
      </c>
    </row>
    <row r="4231" spans="1:7" x14ac:dyDescent="0.25">
      <c r="A4231" s="24" t="s">
        <v>513</v>
      </c>
      <c r="B4231" s="24" t="s">
        <v>29</v>
      </c>
      <c r="C4231" s="24" t="s">
        <v>5</v>
      </c>
      <c r="D4231" s="24">
        <v>0</v>
      </c>
      <c r="E4231" s="24" t="s">
        <v>799</v>
      </c>
      <c r="F4231" s="24" t="s">
        <v>1078</v>
      </c>
      <c r="G4231" s="24">
        <v>169111</v>
      </c>
    </row>
    <row r="4232" spans="1:7" x14ac:dyDescent="0.25">
      <c r="A4232" s="24" t="s">
        <v>513</v>
      </c>
      <c r="B4232" s="24" t="s">
        <v>30</v>
      </c>
      <c r="C4232" s="24" t="s">
        <v>31</v>
      </c>
      <c r="D4232" s="24">
        <v>0</v>
      </c>
      <c r="E4232" s="24" t="s">
        <v>801</v>
      </c>
      <c r="F4232" s="24" t="s">
        <v>1078</v>
      </c>
      <c r="G4232" s="24">
        <v>169111</v>
      </c>
    </row>
    <row r="4233" spans="1:7" x14ac:dyDescent="0.25">
      <c r="A4233" s="24" t="s">
        <v>513</v>
      </c>
      <c r="B4233" s="24" t="s">
        <v>32</v>
      </c>
      <c r="C4233" s="24" t="s">
        <v>33</v>
      </c>
      <c r="D4233" s="24">
        <v>18</v>
      </c>
      <c r="E4233" s="24" t="s">
        <v>801</v>
      </c>
      <c r="F4233" s="24" t="s">
        <v>1078</v>
      </c>
      <c r="G4233" s="24">
        <v>169111</v>
      </c>
    </row>
    <row r="4234" spans="1:7" x14ac:dyDescent="0.25">
      <c r="A4234" s="24" t="s">
        <v>513</v>
      </c>
      <c r="B4234" s="24" t="s">
        <v>34</v>
      </c>
      <c r="C4234" s="24" t="s">
        <v>31</v>
      </c>
      <c r="D4234" s="24">
        <v>2.4</v>
      </c>
      <c r="E4234" s="24" t="s">
        <v>801</v>
      </c>
      <c r="F4234" s="24" t="s">
        <v>1078</v>
      </c>
      <c r="G4234" s="24">
        <v>169111</v>
      </c>
    </row>
    <row r="4235" spans="1:7" x14ac:dyDescent="0.25">
      <c r="A4235" s="24" t="s">
        <v>513</v>
      </c>
      <c r="B4235" s="24" t="s">
        <v>35</v>
      </c>
      <c r="C4235" s="24" t="s">
        <v>36</v>
      </c>
      <c r="D4235" s="24">
        <v>0</v>
      </c>
      <c r="E4235" s="24" t="s">
        <v>801</v>
      </c>
      <c r="F4235" s="24" t="s">
        <v>1078</v>
      </c>
      <c r="G4235" s="24">
        <v>169111</v>
      </c>
    </row>
    <row r="4236" spans="1:7" x14ac:dyDescent="0.25">
      <c r="A4236" s="24" t="s">
        <v>513</v>
      </c>
      <c r="B4236" s="24" t="s">
        <v>37</v>
      </c>
      <c r="C4236" s="24" t="s">
        <v>38</v>
      </c>
      <c r="D4236" s="24">
        <v>0.5</v>
      </c>
      <c r="E4236" s="24" t="s">
        <v>801</v>
      </c>
      <c r="F4236" s="24" t="s">
        <v>1078</v>
      </c>
      <c r="G4236" s="24">
        <v>169111</v>
      </c>
    </row>
    <row r="4237" spans="1:7" x14ac:dyDescent="0.25">
      <c r="A4237" s="24" t="s">
        <v>513</v>
      </c>
      <c r="B4237" s="24" t="s">
        <v>39</v>
      </c>
      <c r="C4237" s="24" t="s">
        <v>36</v>
      </c>
      <c r="D4237" s="24">
        <v>1.7</v>
      </c>
      <c r="E4237" s="24" t="s">
        <v>801</v>
      </c>
      <c r="F4237" s="24" t="s">
        <v>1078</v>
      </c>
      <c r="G4237" s="24">
        <v>169111</v>
      </c>
    </row>
    <row r="4238" spans="1:7" x14ac:dyDescent="0.25">
      <c r="A4238" s="24" t="s">
        <v>513</v>
      </c>
      <c r="B4238" s="24" t="s">
        <v>40</v>
      </c>
      <c r="C4238" s="24" t="s">
        <v>31</v>
      </c>
      <c r="D4238" s="24">
        <v>0</v>
      </c>
      <c r="E4238" s="24" t="s">
        <v>801</v>
      </c>
      <c r="F4238" s="24" t="s">
        <v>1078</v>
      </c>
      <c r="G4238" s="24">
        <v>169111</v>
      </c>
    </row>
    <row r="4239" spans="1:7" x14ac:dyDescent="0.25">
      <c r="A4239" s="24" t="s">
        <v>513</v>
      </c>
      <c r="B4239" s="24" t="s">
        <v>41</v>
      </c>
      <c r="C4239" s="24" t="s">
        <v>31</v>
      </c>
      <c r="D4239" s="24">
        <v>0</v>
      </c>
      <c r="E4239" s="24" t="s">
        <v>801</v>
      </c>
      <c r="F4239" s="24" t="s">
        <v>1078</v>
      </c>
      <c r="G4239" s="24">
        <v>169111</v>
      </c>
    </row>
    <row r="4240" spans="1:7" x14ac:dyDescent="0.25">
      <c r="A4240" s="24" t="s">
        <v>513</v>
      </c>
      <c r="B4240" s="24" t="s">
        <v>42</v>
      </c>
      <c r="C4240" s="24" t="s">
        <v>43</v>
      </c>
      <c r="D4240" s="24">
        <v>0.6</v>
      </c>
      <c r="E4240" s="24" t="s">
        <v>801</v>
      </c>
      <c r="F4240" s="24" t="s">
        <v>1078</v>
      </c>
      <c r="G4240" s="24">
        <v>169111</v>
      </c>
    </row>
    <row r="4241" spans="1:7" x14ac:dyDescent="0.25">
      <c r="A4241" s="24" t="s">
        <v>513</v>
      </c>
      <c r="B4241" s="24" t="s">
        <v>44</v>
      </c>
      <c r="C4241" s="24" t="s">
        <v>31</v>
      </c>
      <c r="D4241" s="24">
        <v>0</v>
      </c>
      <c r="E4241" s="24" t="s">
        <v>801</v>
      </c>
      <c r="F4241" s="24" t="s">
        <v>1078</v>
      </c>
      <c r="G4241" s="24">
        <v>169111</v>
      </c>
    </row>
    <row r="4242" spans="1:7" x14ac:dyDescent="0.25">
      <c r="A4242" s="24" t="s">
        <v>513</v>
      </c>
      <c r="B4242" s="24" t="s">
        <v>45</v>
      </c>
      <c r="C4242" s="24" t="s">
        <v>31</v>
      </c>
      <c r="D4242" s="24">
        <v>0.1</v>
      </c>
      <c r="E4242" s="24" t="s">
        <v>801</v>
      </c>
      <c r="F4242" s="24" t="s">
        <v>1078</v>
      </c>
      <c r="G4242" s="24">
        <v>169111</v>
      </c>
    </row>
    <row r="4243" spans="1:7" x14ac:dyDescent="0.25">
      <c r="A4243" s="24" t="s">
        <v>513</v>
      </c>
      <c r="B4243" s="24" t="s">
        <v>46</v>
      </c>
      <c r="C4243" s="24" t="s">
        <v>36</v>
      </c>
      <c r="D4243" s="24">
        <v>0</v>
      </c>
      <c r="E4243" s="24" t="s">
        <v>801</v>
      </c>
      <c r="F4243" s="24" t="s">
        <v>1078</v>
      </c>
      <c r="G4243" s="24">
        <v>169111</v>
      </c>
    </row>
    <row r="4244" spans="1:7" x14ac:dyDescent="0.25">
      <c r="A4244" s="24" t="s">
        <v>513</v>
      </c>
      <c r="B4244" s="24" t="s">
        <v>47</v>
      </c>
      <c r="C4244" s="24" t="s">
        <v>48</v>
      </c>
      <c r="D4244" s="24">
        <v>3</v>
      </c>
      <c r="E4244" s="24" t="s">
        <v>801</v>
      </c>
      <c r="F4244" s="24" t="s">
        <v>1078</v>
      </c>
      <c r="G4244" s="24">
        <v>169111</v>
      </c>
    </row>
    <row r="4245" spans="1:7" x14ac:dyDescent="0.25">
      <c r="A4245" s="24" t="s">
        <v>513</v>
      </c>
      <c r="B4245" s="24" t="s">
        <v>50</v>
      </c>
      <c r="C4245" s="24" t="s">
        <v>31</v>
      </c>
      <c r="D4245" s="24">
        <v>97</v>
      </c>
      <c r="E4245" s="24" t="s">
        <v>801</v>
      </c>
      <c r="F4245" s="24" t="s">
        <v>1078</v>
      </c>
      <c r="G4245" s="24">
        <v>169111</v>
      </c>
    </row>
    <row r="4246" spans="1:7" x14ac:dyDescent="0.25">
      <c r="A4246" s="24" t="s">
        <v>513</v>
      </c>
      <c r="B4246" s="24" t="s">
        <v>51</v>
      </c>
      <c r="C4246" s="24" t="s">
        <v>31</v>
      </c>
      <c r="D4246" s="24">
        <v>3</v>
      </c>
      <c r="E4246" s="24" t="s">
        <v>801</v>
      </c>
      <c r="F4246" s="24" t="s">
        <v>1078</v>
      </c>
      <c r="G4246" s="24">
        <v>169111</v>
      </c>
    </row>
    <row r="4247" spans="1:7" x14ac:dyDescent="0.25">
      <c r="A4247" s="24" t="s">
        <v>513</v>
      </c>
      <c r="B4247" s="24" t="s">
        <v>52</v>
      </c>
      <c r="C4247" s="24" t="s">
        <v>31</v>
      </c>
      <c r="D4247" s="24">
        <v>11</v>
      </c>
      <c r="E4247" s="24" t="s">
        <v>801</v>
      </c>
      <c r="F4247" s="24" t="s">
        <v>1078</v>
      </c>
      <c r="G4247" s="24">
        <v>169111</v>
      </c>
    </row>
    <row r="4248" spans="1:7" x14ac:dyDescent="0.25">
      <c r="A4248" s="24" t="s">
        <v>513</v>
      </c>
      <c r="B4248" s="24" t="s">
        <v>53</v>
      </c>
      <c r="C4248" s="24" t="s">
        <v>31</v>
      </c>
      <c r="D4248" s="24">
        <v>5</v>
      </c>
      <c r="E4248" s="24" t="s">
        <v>801</v>
      </c>
      <c r="F4248" s="24" t="s">
        <v>1078</v>
      </c>
      <c r="G4248" s="24">
        <v>169111</v>
      </c>
    </row>
    <row r="4249" spans="1:7" x14ac:dyDescent="0.25">
      <c r="A4249" s="24" t="s">
        <v>513</v>
      </c>
      <c r="B4249" s="24" t="s">
        <v>54</v>
      </c>
      <c r="C4249" s="24" t="s">
        <v>31</v>
      </c>
      <c r="D4249" s="24">
        <v>0.4</v>
      </c>
      <c r="E4249" s="24" t="s">
        <v>801</v>
      </c>
      <c r="F4249" s="24" t="s">
        <v>1078</v>
      </c>
      <c r="G4249" s="24">
        <v>169111</v>
      </c>
    </row>
    <row r="4250" spans="1:7" x14ac:dyDescent="0.25">
      <c r="A4250" s="24" t="s">
        <v>513</v>
      </c>
      <c r="B4250" s="24" t="s">
        <v>55</v>
      </c>
      <c r="C4250" s="24" t="s">
        <v>31</v>
      </c>
      <c r="D4250" s="24">
        <v>0.1</v>
      </c>
      <c r="E4250" s="24" t="s">
        <v>801</v>
      </c>
      <c r="F4250" s="24" t="s">
        <v>1078</v>
      </c>
      <c r="G4250" s="24">
        <v>169111</v>
      </c>
    </row>
    <row r="4251" spans="1:7" x14ac:dyDescent="0.25">
      <c r="A4251" s="24" t="s">
        <v>513</v>
      </c>
      <c r="B4251" s="24" t="s">
        <v>56</v>
      </c>
      <c r="C4251" s="24" t="s">
        <v>31</v>
      </c>
      <c r="D4251" s="24">
        <v>0.1</v>
      </c>
      <c r="E4251" s="24" t="s">
        <v>801</v>
      </c>
      <c r="F4251" s="24" t="s">
        <v>1078</v>
      </c>
      <c r="G4251" s="24">
        <v>169111</v>
      </c>
    </row>
    <row r="4252" spans="1:7" x14ac:dyDescent="0.25">
      <c r="A4252" s="24" t="s">
        <v>513</v>
      </c>
      <c r="B4252" s="24" t="s">
        <v>57</v>
      </c>
      <c r="C4252" s="24" t="s">
        <v>36</v>
      </c>
      <c r="D4252" s="24">
        <v>0.3</v>
      </c>
      <c r="E4252" s="24" t="s">
        <v>801</v>
      </c>
      <c r="F4252" s="24" t="s">
        <v>1078</v>
      </c>
      <c r="G4252" s="24">
        <v>169111</v>
      </c>
    </row>
    <row r="4253" spans="1:7" x14ac:dyDescent="0.25">
      <c r="A4253" s="24" t="s">
        <v>513</v>
      </c>
      <c r="B4253" s="24" t="s">
        <v>58</v>
      </c>
      <c r="C4253" s="24" t="s">
        <v>5</v>
      </c>
      <c r="D4253" s="24">
        <v>0</v>
      </c>
      <c r="E4253" s="24" t="s">
        <v>795</v>
      </c>
      <c r="F4253" s="24"/>
      <c r="G4253" s="24"/>
    </row>
    <row r="4254" spans="1:7" x14ac:dyDescent="0.25">
      <c r="A4254" s="24" t="s">
        <v>513</v>
      </c>
      <c r="B4254" s="24" t="s">
        <v>18</v>
      </c>
      <c r="C4254" s="24" t="s">
        <v>5</v>
      </c>
      <c r="D4254" s="24">
        <v>87.6</v>
      </c>
      <c r="E4254" s="24" t="s">
        <v>803</v>
      </c>
      <c r="F4254" s="24"/>
      <c r="G4254" s="24"/>
    </row>
    <row r="4255" spans="1:7" x14ac:dyDescent="0.25">
      <c r="A4255" s="24" t="s">
        <v>514</v>
      </c>
      <c r="B4255" s="24" t="s">
        <v>29</v>
      </c>
      <c r="C4255" s="24" t="s">
        <v>5</v>
      </c>
      <c r="D4255" s="24">
        <v>0</v>
      </c>
      <c r="E4255" s="24" t="s">
        <v>799</v>
      </c>
      <c r="F4255" s="24" t="s">
        <v>1079</v>
      </c>
      <c r="G4255" s="24">
        <v>167755</v>
      </c>
    </row>
    <row r="4256" spans="1:7" x14ac:dyDescent="0.25">
      <c r="A4256" s="24" t="s">
        <v>514</v>
      </c>
      <c r="B4256" s="24" t="s">
        <v>58</v>
      </c>
      <c r="C4256" s="24" t="s">
        <v>5</v>
      </c>
      <c r="D4256" s="24">
        <v>0</v>
      </c>
      <c r="E4256" s="24" t="s">
        <v>795</v>
      </c>
      <c r="F4256" s="24"/>
      <c r="G4256" s="24"/>
    </row>
    <row r="4257" spans="1:7" x14ac:dyDescent="0.25">
      <c r="A4257" s="24" t="s">
        <v>515</v>
      </c>
      <c r="B4257" s="24" t="s">
        <v>29</v>
      </c>
      <c r="C4257" s="24" t="s">
        <v>5</v>
      </c>
      <c r="D4257" s="24">
        <v>0</v>
      </c>
      <c r="E4257" s="24" t="s">
        <v>799</v>
      </c>
      <c r="F4257" s="24" t="s">
        <v>1080</v>
      </c>
      <c r="G4257" s="24">
        <v>167762</v>
      </c>
    </row>
    <row r="4258" spans="1:7" x14ac:dyDescent="0.25">
      <c r="A4258" s="24" t="s">
        <v>515</v>
      </c>
      <c r="B4258" s="24" t="s">
        <v>58</v>
      </c>
      <c r="C4258" s="24" t="s">
        <v>5</v>
      </c>
      <c r="D4258" s="24">
        <v>0</v>
      </c>
      <c r="E4258" s="24" t="s">
        <v>795</v>
      </c>
      <c r="F4258" s="24"/>
      <c r="G4258" s="24"/>
    </row>
    <row r="4259" spans="1:7" x14ac:dyDescent="0.25">
      <c r="A4259" s="24" t="s">
        <v>516</v>
      </c>
      <c r="B4259" s="24" t="s">
        <v>29</v>
      </c>
      <c r="C4259" s="24" t="s">
        <v>5</v>
      </c>
      <c r="D4259" s="24">
        <v>0</v>
      </c>
      <c r="E4259" s="24" t="s">
        <v>799</v>
      </c>
      <c r="F4259" s="24" t="s">
        <v>1081</v>
      </c>
      <c r="G4259" s="24">
        <v>169134</v>
      </c>
    </row>
    <row r="4260" spans="1:7" x14ac:dyDescent="0.25">
      <c r="A4260" s="24" t="s">
        <v>516</v>
      </c>
      <c r="B4260" s="24" t="s">
        <v>58</v>
      </c>
      <c r="C4260" s="24" t="s">
        <v>5</v>
      </c>
      <c r="D4260" s="24">
        <v>0</v>
      </c>
      <c r="E4260" s="24" t="s">
        <v>795</v>
      </c>
      <c r="F4260" s="24"/>
      <c r="G4260" s="24"/>
    </row>
    <row r="4261" spans="1:7" x14ac:dyDescent="0.25">
      <c r="A4261" s="24" t="s">
        <v>517</v>
      </c>
      <c r="B4261" s="24" t="s">
        <v>29</v>
      </c>
      <c r="C4261" s="24" t="s">
        <v>5</v>
      </c>
      <c r="D4261" s="24">
        <v>0</v>
      </c>
      <c r="E4261" s="24" t="s">
        <v>799</v>
      </c>
      <c r="F4261" s="24" t="s">
        <v>1082</v>
      </c>
      <c r="G4261" s="24">
        <v>173964</v>
      </c>
    </row>
    <row r="4262" spans="1:7" x14ac:dyDescent="0.25">
      <c r="A4262" s="24" t="s">
        <v>517</v>
      </c>
      <c r="B4262" s="24" t="s">
        <v>58</v>
      </c>
      <c r="C4262" s="24" t="s">
        <v>5</v>
      </c>
      <c r="D4262" s="24">
        <v>0</v>
      </c>
      <c r="E4262" s="24" t="s">
        <v>795</v>
      </c>
      <c r="F4262" s="24"/>
      <c r="G4262" s="24"/>
    </row>
    <row r="4263" spans="1:7" x14ac:dyDescent="0.25">
      <c r="A4263" s="24" t="s">
        <v>518</v>
      </c>
      <c r="B4263" s="24" t="s">
        <v>29</v>
      </c>
      <c r="C4263" s="24" t="s">
        <v>5</v>
      </c>
      <c r="D4263" s="24">
        <v>0</v>
      </c>
      <c r="E4263" s="24" t="s">
        <v>799</v>
      </c>
      <c r="F4263" s="24" t="s">
        <v>1083</v>
      </c>
      <c r="G4263" s="24">
        <v>173044</v>
      </c>
    </row>
    <row r="4264" spans="1:7" x14ac:dyDescent="0.25">
      <c r="A4264" s="24" t="s">
        <v>518</v>
      </c>
      <c r="B4264" s="24" t="s">
        <v>58</v>
      </c>
      <c r="C4264" s="24" t="s">
        <v>5</v>
      </c>
      <c r="D4264" s="24">
        <v>0</v>
      </c>
      <c r="E4264" s="24" t="s">
        <v>795</v>
      </c>
      <c r="F4264" s="24"/>
      <c r="G4264" s="24"/>
    </row>
    <row r="4265" spans="1:7" x14ac:dyDescent="0.25">
      <c r="A4265" s="24" t="s">
        <v>519</v>
      </c>
      <c r="B4265" s="24" t="s">
        <v>29</v>
      </c>
      <c r="C4265" s="24" t="s">
        <v>5</v>
      </c>
      <c r="D4265" s="24">
        <v>0</v>
      </c>
      <c r="E4265" s="24" t="s">
        <v>799</v>
      </c>
      <c r="F4265" s="24" t="s">
        <v>1084</v>
      </c>
      <c r="G4265" s="24">
        <v>173954</v>
      </c>
    </row>
    <row r="4266" spans="1:7" x14ac:dyDescent="0.25">
      <c r="A4266" s="24" t="s">
        <v>519</v>
      </c>
      <c r="B4266" s="24" t="s">
        <v>58</v>
      </c>
      <c r="C4266" s="24" t="s">
        <v>5</v>
      </c>
      <c r="D4266" s="24">
        <v>0</v>
      </c>
      <c r="E4266" s="24" t="s">
        <v>795</v>
      </c>
      <c r="F4266" s="24"/>
      <c r="G4266" s="24"/>
    </row>
    <row r="4267" spans="1:7" x14ac:dyDescent="0.25">
      <c r="A4267" s="24" t="s">
        <v>520</v>
      </c>
      <c r="B4267" s="24" t="s">
        <v>29</v>
      </c>
      <c r="C4267" s="24" t="s">
        <v>5</v>
      </c>
      <c r="D4267" s="24">
        <v>0</v>
      </c>
      <c r="E4267" s="24" t="s">
        <v>799</v>
      </c>
      <c r="F4267" s="24" t="s">
        <v>1084</v>
      </c>
      <c r="G4267" s="24">
        <v>173954</v>
      </c>
    </row>
    <row r="4268" spans="1:7" x14ac:dyDescent="0.25">
      <c r="A4268" s="24" t="s">
        <v>520</v>
      </c>
      <c r="B4268" s="24" t="s">
        <v>58</v>
      </c>
      <c r="C4268" s="24" t="s">
        <v>5</v>
      </c>
      <c r="D4268" s="24">
        <v>0</v>
      </c>
      <c r="E4268" s="24" t="s">
        <v>795</v>
      </c>
      <c r="F4268" s="24"/>
      <c r="G4268" s="24"/>
    </row>
    <row r="4269" spans="1:7" x14ac:dyDescent="0.25">
      <c r="A4269" s="24" t="s">
        <v>521</v>
      </c>
      <c r="B4269" s="24" t="s">
        <v>29</v>
      </c>
      <c r="C4269" s="24" t="s">
        <v>5</v>
      </c>
      <c r="D4269" s="24">
        <v>0</v>
      </c>
      <c r="E4269" s="24" t="s">
        <v>799</v>
      </c>
      <c r="F4269" s="24" t="s">
        <v>1085</v>
      </c>
      <c r="G4269" s="24">
        <v>173021</v>
      </c>
    </row>
    <row r="4270" spans="1:7" x14ac:dyDescent="0.25">
      <c r="A4270" s="24" t="s">
        <v>521</v>
      </c>
      <c r="B4270" s="24" t="s">
        <v>58</v>
      </c>
      <c r="C4270" s="24" t="s">
        <v>5</v>
      </c>
      <c r="D4270" s="24">
        <v>0</v>
      </c>
      <c r="E4270" s="24" t="s">
        <v>795</v>
      </c>
      <c r="F4270" s="24"/>
      <c r="G4270" s="24"/>
    </row>
    <row r="4271" spans="1:7" x14ac:dyDescent="0.25">
      <c r="A4271" s="24" t="s">
        <v>522</v>
      </c>
      <c r="B4271" s="24" t="s">
        <v>29</v>
      </c>
      <c r="C4271" s="24" t="s">
        <v>5</v>
      </c>
      <c r="D4271" s="24">
        <v>0</v>
      </c>
      <c r="E4271" s="24" t="s">
        <v>940</v>
      </c>
      <c r="F4271" s="24"/>
      <c r="G4271" s="24"/>
    </row>
    <row r="4272" spans="1:7" x14ac:dyDescent="0.25">
      <c r="A4272" s="24" t="s">
        <v>522</v>
      </c>
      <c r="B4272" s="24" t="s">
        <v>58</v>
      </c>
      <c r="C4272" s="24" t="s">
        <v>5</v>
      </c>
      <c r="D4272" s="24">
        <v>0</v>
      </c>
      <c r="E4272" s="24" t="s">
        <v>795</v>
      </c>
      <c r="F4272" s="24"/>
      <c r="G4272" s="24"/>
    </row>
    <row r="4273" spans="1:7" x14ac:dyDescent="0.25">
      <c r="A4273" s="24" t="s">
        <v>523</v>
      </c>
      <c r="B4273" s="24" t="s">
        <v>29</v>
      </c>
      <c r="C4273" s="24" t="s">
        <v>5</v>
      </c>
      <c r="D4273" s="24">
        <v>0</v>
      </c>
      <c r="E4273" s="24" t="s">
        <v>940</v>
      </c>
      <c r="F4273" s="24"/>
      <c r="G4273" s="24"/>
    </row>
    <row r="4274" spans="1:7" x14ac:dyDescent="0.25">
      <c r="A4274" s="24" t="s">
        <v>523</v>
      </c>
      <c r="B4274" s="24" t="s">
        <v>58</v>
      </c>
      <c r="C4274" s="24" t="s">
        <v>5</v>
      </c>
      <c r="D4274" s="24">
        <v>0</v>
      </c>
      <c r="E4274" s="24" t="s">
        <v>795</v>
      </c>
      <c r="F4274" s="24"/>
      <c r="G4274" s="24"/>
    </row>
    <row r="4275" spans="1:7" x14ac:dyDescent="0.25">
      <c r="A4275" s="24" t="s">
        <v>524</v>
      </c>
      <c r="B4275" s="24" t="s">
        <v>29</v>
      </c>
      <c r="C4275" s="24" t="s">
        <v>5</v>
      </c>
      <c r="D4275" s="24">
        <v>0</v>
      </c>
      <c r="E4275" s="24" t="s">
        <v>799</v>
      </c>
      <c r="F4275" s="24" t="s">
        <v>1086</v>
      </c>
      <c r="G4275" s="24">
        <v>168153</v>
      </c>
    </row>
    <row r="4276" spans="1:7" x14ac:dyDescent="0.25">
      <c r="A4276" s="24" t="s">
        <v>524</v>
      </c>
      <c r="B4276" s="24" t="s">
        <v>58</v>
      </c>
      <c r="C4276" s="24" t="s">
        <v>5</v>
      </c>
      <c r="D4276" s="24">
        <v>0</v>
      </c>
      <c r="E4276" s="24" t="s">
        <v>795</v>
      </c>
      <c r="F4276" s="24"/>
      <c r="G4276" s="24"/>
    </row>
    <row r="4277" spans="1:7" x14ac:dyDescent="0.25">
      <c r="A4277" s="24" t="s">
        <v>525</v>
      </c>
      <c r="B4277" s="24" t="s">
        <v>29</v>
      </c>
      <c r="C4277" s="24" t="s">
        <v>5</v>
      </c>
      <c r="D4277" s="24">
        <v>0</v>
      </c>
      <c r="E4277" s="24" t="s">
        <v>799</v>
      </c>
      <c r="F4277" s="24" t="s">
        <v>1087</v>
      </c>
      <c r="G4277" s="24">
        <v>167746</v>
      </c>
    </row>
    <row r="4278" spans="1:7" x14ac:dyDescent="0.25">
      <c r="A4278" s="24" t="s">
        <v>525</v>
      </c>
      <c r="B4278" s="24" t="s">
        <v>58</v>
      </c>
      <c r="C4278" s="24" t="s">
        <v>5</v>
      </c>
      <c r="D4278" s="24">
        <v>0</v>
      </c>
      <c r="E4278" s="24" t="s">
        <v>795</v>
      </c>
      <c r="F4278" s="24"/>
      <c r="G4278" s="24"/>
    </row>
    <row r="4279" spans="1:7" x14ac:dyDescent="0.25">
      <c r="A4279" s="24" t="s">
        <v>526</v>
      </c>
      <c r="B4279" s="24" t="s">
        <v>29</v>
      </c>
      <c r="C4279" s="24" t="s">
        <v>5</v>
      </c>
      <c r="D4279" s="24">
        <v>0</v>
      </c>
      <c r="E4279" s="24" t="s">
        <v>799</v>
      </c>
      <c r="F4279" s="24" t="s">
        <v>1088</v>
      </c>
      <c r="G4279" s="24">
        <v>169105</v>
      </c>
    </row>
    <row r="4280" spans="1:7" x14ac:dyDescent="0.25">
      <c r="A4280" s="24" t="s">
        <v>526</v>
      </c>
      <c r="B4280" s="24" t="s">
        <v>58</v>
      </c>
      <c r="C4280" s="24" t="s">
        <v>5</v>
      </c>
      <c r="D4280" s="24">
        <v>0</v>
      </c>
      <c r="E4280" s="24" t="s">
        <v>795</v>
      </c>
      <c r="F4280" s="24"/>
      <c r="G4280" s="24"/>
    </row>
    <row r="4281" spans="1:7" x14ac:dyDescent="0.25">
      <c r="A4281" s="24" t="s">
        <v>527</v>
      </c>
      <c r="B4281" s="24" t="s">
        <v>29</v>
      </c>
      <c r="C4281" s="24" t="s">
        <v>5</v>
      </c>
      <c r="D4281" s="24">
        <v>0</v>
      </c>
      <c r="E4281" s="24" t="s">
        <v>799</v>
      </c>
      <c r="F4281" s="24" t="s">
        <v>1089</v>
      </c>
      <c r="G4281" s="24">
        <v>169910</v>
      </c>
    </row>
    <row r="4282" spans="1:7" x14ac:dyDescent="0.25">
      <c r="A4282" s="24" t="s">
        <v>527</v>
      </c>
      <c r="B4282" s="24" t="s">
        <v>58</v>
      </c>
      <c r="C4282" s="24" t="s">
        <v>5</v>
      </c>
      <c r="D4282" s="24">
        <v>0</v>
      </c>
      <c r="E4282" s="24" t="s">
        <v>795</v>
      </c>
      <c r="F4282" s="24"/>
      <c r="G4282" s="24"/>
    </row>
    <row r="4283" spans="1:7" x14ac:dyDescent="0.25">
      <c r="A4283" s="24" t="s">
        <v>528</v>
      </c>
      <c r="B4283" s="24" t="s">
        <v>29</v>
      </c>
      <c r="C4283" s="24" t="s">
        <v>5</v>
      </c>
      <c r="D4283" s="24">
        <v>0</v>
      </c>
      <c r="E4283" s="24" t="s">
        <v>799</v>
      </c>
      <c r="F4283" s="24" t="s">
        <v>1090</v>
      </c>
      <c r="G4283" s="24">
        <v>171688</v>
      </c>
    </row>
    <row r="4284" spans="1:7" x14ac:dyDescent="0.25">
      <c r="A4284" s="24" t="s">
        <v>528</v>
      </c>
      <c r="B4284" s="24" t="s">
        <v>58</v>
      </c>
      <c r="C4284" s="24" t="s">
        <v>5</v>
      </c>
      <c r="D4284" s="24">
        <v>0</v>
      </c>
      <c r="E4284" s="24" t="s">
        <v>795</v>
      </c>
      <c r="F4284" s="24"/>
      <c r="G4284" s="24"/>
    </row>
    <row r="4285" spans="1:7" x14ac:dyDescent="0.25">
      <c r="A4285" s="24" t="s">
        <v>529</v>
      </c>
      <c r="B4285" s="24" t="s">
        <v>29</v>
      </c>
      <c r="C4285" s="24" t="s">
        <v>5</v>
      </c>
      <c r="D4285" s="24">
        <v>0</v>
      </c>
      <c r="E4285" s="24" t="s">
        <v>799</v>
      </c>
      <c r="F4285" s="24" t="s">
        <v>1091</v>
      </c>
      <c r="G4285" s="24">
        <v>167793</v>
      </c>
    </row>
    <row r="4286" spans="1:7" x14ac:dyDescent="0.25">
      <c r="A4286" s="24" t="s">
        <v>529</v>
      </c>
      <c r="B4286" s="24" t="s">
        <v>58</v>
      </c>
      <c r="C4286" s="24" t="s">
        <v>5</v>
      </c>
      <c r="D4286" s="24">
        <v>0</v>
      </c>
      <c r="E4286" s="24" t="s">
        <v>795</v>
      </c>
      <c r="F4286" s="24"/>
      <c r="G4286" s="24"/>
    </row>
    <row r="4287" spans="1:7" x14ac:dyDescent="0.25">
      <c r="A4287" s="24" t="s">
        <v>530</v>
      </c>
      <c r="B4287" s="24" t="s">
        <v>29</v>
      </c>
      <c r="C4287" s="24" t="s">
        <v>5</v>
      </c>
      <c r="D4287" s="24">
        <v>0</v>
      </c>
      <c r="E4287" s="24" t="s">
        <v>799</v>
      </c>
      <c r="F4287" s="24" t="s">
        <v>1092</v>
      </c>
      <c r="G4287" s="24">
        <v>168202</v>
      </c>
    </row>
    <row r="4288" spans="1:7" x14ac:dyDescent="0.25">
      <c r="A4288" s="24" t="s">
        <v>530</v>
      </c>
      <c r="B4288" s="24" t="s">
        <v>58</v>
      </c>
      <c r="C4288" s="24" t="s">
        <v>5</v>
      </c>
      <c r="D4288" s="24">
        <v>0</v>
      </c>
      <c r="E4288" s="24" t="s">
        <v>795</v>
      </c>
      <c r="F4288" s="24"/>
      <c r="G4288" s="24"/>
    </row>
    <row r="4289" spans="1:7" x14ac:dyDescent="0.25">
      <c r="A4289" s="24" t="s">
        <v>531</v>
      </c>
      <c r="B4289" s="24" t="s">
        <v>29</v>
      </c>
      <c r="C4289" s="24" t="s">
        <v>5</v>
      </c>
      <c r="D4289" s="24">
        <v>0</v>
      </c>
      <c r="E4289" s="24" t="s">
        <v>799</v>
      </c>
      <c r="F4289" s="24" t="s">
        <v>1093</v>
      </c>
      <c r="G4289" s="24">
        <v>168201</v>
      </c>
    </row>
    <row r="4290" spans="1:7" x14ac:dyDescent="0.25">
      <c r="A4290" s="24" t="s">
        <v>531</v>
      </c>
      <c r="B4290" s="24" t="s">
        <v>58</v>
      </c>
      <c r="C4290" s="24" t="s">
        <v>5</v>
      </c>
      <c r="D4290" s="24">
        <v>0</v>
      </c>
      <c r="E4290" s="24" t="s">
        <v>795</v>
      </c>
      <c r="F4290" s="24"/>
      <c r="G4290" s="24"/>
    </row>
    <row r="4291" spans="1:7" x14ac:dyDescent="0.25">
      <c r="A4291" s="24" t="s">
        <v>532</v>
      </c>
      <c r="B4291" s="24" t="s">
        <v>29</v>
      </c>
      <c r="C4291" s="24" t="s">
        <v>5</v>
      </c>
      <c r="D4291" s="24">
        <v>0</v>
      </c>
      <c r="E4291" s="24" t="s">
        <v>799</v>
      </c>
      <c r="F4291" s="24" t="s">
        <v>1094</v>
      </c>
      <c r="G4291" s="24">
        <v>171689</v>
      </c>
    </row>
    <row r="4292" spans="1:7" x14ac:dyDescent="0.25">
      <c r="A4292" s="24" t="s">
        <v>532</v>
      </c>
      <c r="B4292" s="24" t="s">
        <v>58</v>
      </c>
      <c r="C4292" s="24" t="s">
        <v>5</v>
      </c>
      <c r="D4292" s="24">
        <v>0</v>
      </c>
      <c r="E4292" s="24" t="s">
        <v>795</v>
      </c>
      <c r="F4292" s="24"/>
      <c r="G4292" s="24"/>
    </row>
    <row r="4293" spans="1:7" x14ac:dyDescent="0.25">
      <c r="A4293" s="24" t="s">
        <v>533</v>
      </c>
      <c r="B4293" s="24" t="s">
        <v>29</v>
      </c>
      <c r="C4293" s="24" t="s">
        <v>5</v>
      </c>
      <c r="D4293" s="24">
        <v>0</v>
      </c>
      <c r="E4293" s="24" t="s">
        <v>799</v>
      </c>
      <c r="F4293" s="24" t="s">
        <v>1095</v>
      </c>
      <c r="G4293" s="24">
        <v>168203</v>
      </c>
    </row>
    <row r="4294" spans="1:7" x14ac:dyDescent="0.25">
      <c r="A4294" s="24" t="s">
        <v>533</v>
      </c>
      <c r="B4294" s="24" t="s">
        <v>58</v>
      </c>
      <c r="C4294" s="24" t="s">
        <v>5</v>
      </c>
      <c r="D4294" s="24">
        <v>0</v>
      </c>
      <c r="E4294" s="24" t="s">
        <v>795</v>
      </c>
      <c r="F4294" s="24"/>
      <c r="G4294" s="24"/>
    </row>
    <row r="4295" spans="1:7" x14ac:dyDescent="0.25">
      <c r="A4295" s="24" t="s">
        <v>534</v>
      </c>
      <c r="B4295" s="24" t="s">
        <v>29</v>
      </c>
      <c r="C4295" s="24" t="s">
        <v>5</v>
      </c>
      <c r="D4295" s="24">
        <v>0</v>
      </c>
      <c r="E4295" s="24" t="s">
        <v>799</v>
      </c>
      <c r="F4295" s="24" t="s">
        <v>1096</v>
      </c>
      <c r="G4295" s="24">
        <v>169092</v>
      </c>
    </row>
    <row r="4296" spans="1:7" x14ac:dyDescent="0.25">
      <c r="A4296" s="24" t="s">
        <v>534</v>
      </c>
      <c r="B4296" s="24" t="s">
        <v>58</v>
      </c>
      <c r="C4296" s="24" t="s">
        <v>5</v>
      </c>
      <c r="D4296" s="24">
        <v>0</v>
      </c>
      <c r="E4296" s="24" t="s">
        <v>795</v>
      </c>
      <c r="F4296" s="24"/>
      <c r="G4296" s="24"/>
    </row>
    <row r="4297" spans="1:7" x14ac:dyDescent="0.25">
      <c r="A4297" s="24" t="s">
        <v>535</v>
      </c>
      <c r="B4297" s="24" t="s">
        <v>29</v>
      </c>
      <c r="C4297" s="24" t="s">
        <v>5</v>
      </c>
      <c r="D4297" s="24">
        <v>0</v>
      </c>
      <c r="E4297" s="24" t="s">
        <v>799</v>
      </c>
      <c r="F4297" s="24" t="s">
        <v>1097</v>
      </c>
      <c r="G4297" s="24">
        <v>168163</v>
      </c>
    </row>
    <row r="4298" spans="1:7" x14ac:dyDescent="0.25">
      <c r="A4298" s="24" t="s">
        <v>535</v>
      </c>
      <c r="B4298" s="24" t="s">
        <v>58</v>
      </c>
      <c r="C4298" s="24" t="s">
        <v>5</v>
      </c>
      <c r="D4298" s="24">
        <v>0</v>
      </c>
      <c r="E4298" s="24" t="s">
        <v>795</v>
      </c>
      <c r="F4298" s="24"/>
      <c r="G4298" s="24"/>
    </row>
    <row r="4299" spans="1:7" x14ac:dyDescent="0.25">
      <c r="A4299" s="24" t="s">
        <v>536</v>
      </c>
      <c r="B4299" s="24" t="s">
        <v>29</v>
      </c>
      <c r="C4299" s="24" t="s">
        <v>5</v>
      </c>
      <c r="D4299" s="24">
        <v>0</v>
      </c>
      <c r="E4299" s="24" t="s">
        <v>799</v>
      </c>
      <c r="F4299" s="24" t="s">
        <v>1098</v>
      </c>
      <c r="G4299" s="24">
        <v>173946</v>
      </c>
    </row>
    <row r="4300" spans="1:7" x14ac:dyDescent="0.25">
      <c r="A4300" s="24" t="s">
        <v>536</v>
      </c>
      <c r="B4300" s="24" t="s">
        <v>58</v>
      </c>
      <c r="C4300" s="24" t="s">
        <v>5</v>
      </c>
      <c r="D4300" s="24">
        <v>0</v>
      </c>
      <c r="E4300" s="24" t="s">
        <v>795</v>
      </c>
      <c r="F4300" s="24"/>
      <c r="G4300" s="24"/>
    </row>
    <row r="4301" spans="1:7" x14ac:dyDescent="0.25">
      <c r="A4301" s="24" t="s">
        <v>537</v>
      </c>
      <c r="B4301" s="24" t="s">
        <v>29</v>
      </c>
      <c r="C4301" s="24" t="s">
        <v>5</v>
      </c>
      <c r="D4301" s="24">
        <v>0</v>
      </c>
      <c r="E4301" s="24" t="s">
        <v>799</v>
      </c>
      <c r="F4301" s="24" t="s">
        <v>1099</v>
      </c>
      <c r="G4301" s="24">
        <v>169097</v>
      </c>
    </row>
    <row r="4302" spans="1:7" x14ac:dyDescent="0.25">
      <c r="A4302" s="24" t="s">
        <v>537</v>
      </c>
      <c r="B4302" s="24" t="s">
        <v>58</v>
      </c>
      <c r="C4302" s="24" t="s">
        <v>5</v>
      </c>
      <c r="D4302" s="24">
        <v>0</v>
      </c>
      <c r="E4302" s="24" t="s">
        <v>795</v>
      </c>
      <c r="F4302" s="24"/>
      <c r="G4302" s="24"/>
    </row>
    <row r="4303" spans="1:7" x14ac:dyDescent="0.25">
      <c r="A4303" s="24" t="s">
        <v>538</v>
      </c>
      <c r="B4303" s="24" t="s">
        <v>29</v>
      </c>
      <c r="C4303" s="24" t="s">
        <v>5</v>
      </c>
      <c r="D4303" s="24">
        <v>0</v>
      </c>
      <c r="E4303" s="24" t="s">
        <v>799</v>
      </c>
      <c r="F4303" s="24" t="s">
        <v>1100</v>
      </c>
      <c r="G4303" s="24">
        <v>169908</v>
      </c>
    </row>
    <row r="4304" spans="1:7" x14ac:dyDescent="0.25">
      <c r="A4304" s="24" t="s">
        <v>538</v>
      </c>
      <c r="B4304" s="24" t="s">
        <v>44</v>
      </c>
      <c r="C4304" s="24" t="s">
        <v>31</v>
      </c>
      <c r="D4304" s="24">
        <v>0.1</v>
      </c>
      <c r="E4304" s="24" t="s">
        <v>796</v>
      </c>
      <c r="F4304" s="24" t="s">
        <v>1100</v>
      </c>
      <c r="G4304" s="24">
        <v>169908</v>
      </c>
    </row>
    <row r="4305" spans="1:7" x14ac:dyDescent="0.25">
      <c r="A4305" s="24" t="s">
        <v>538</v>
      </c>
      <c r="B4305" s="24" t="s">
        <v>58</v>
      </c>
      <c r="C4305" s="24" t="s">
        <v>5</v>
      </c>
      <c r="D4305" s="24">
        <v>0</v>
      </c>
      <c r="E4305" s="24" t="s">
        <v>795</v>
      </c>
      <c r="F4305" s="24"/>
      <c r="G4305" s="24"/>
    </row>
    <row r="4306" spans="1:7" x14ac:dyDescent="0.25">
      <c r="A4306" s="24" t="s">
        <v>539</v>
      </c>
      <c r="B4306" s="24" t="s">
        <v>29</v>
      </c>
      <c r="C4306" s="24" t="s">
        <v>5</v>
      </c>
      <c r="D4306" s="24">
        <v>0</v>
      </c>
      <c r="E4306" s="24" t="s">
        <v>799</v>
      </c>
      <c r="F4306" s="24" t="s">
        <v>1101</v>
      </c>
      <c r="G4306" s="24">
        <v>171705</v>
      </c>
    </row>
    <row r="4307" spans="1:7" x14ac:dyDescent="0.25">
      <c r="A4307" s="24" t="s">
        <v>539</v>
      </c>
      <c r="B4307" s="24" t="s">
        <v>58</v>
      </c>
      <c r="C4307" s="24" t="s">
        <v>5</v>
      </c>
      <c r="D4307" s="24">
        <v>0</v>
      </c>
      <c r="E4307" s="24" t="s">
        <v>795</v>
      </c>
      <c r="F4307" s="24"/>
      <c r="G4307" s="24"/>
    </row>
    <row r="4308" spans="1:7" x14ac:dyDescent="0.25">
      <c r="A4308" s="24" t="s">
        <v>540</v>
      </c>
      <c r="B4308" s="24" t="s">
        <v>20</v>
      </c>
      <c r="C4308" s="24" t="s">
        <v>5</v>
      </c>
      <c r="D4308" s="24">
        <v>1.7</v>
      </c>
      <c r="E4308" s="24" t="s">
        <v>796</v>
      </c>
      <c r="F4308" s="24" t="s">
        <v>1102</v>
      </c>
      <c r="G4308" s="24">
        <v>171706</v>
      </c>
    </row>
    <row r="4309" spans="1:7" x14ac:dyDescent="0.25">
      <c r="A4309" s="24" t="s">
        <v>540</v>
      </c>
      <c r="B4309" s="24" t="s">
        <v>22</v>
      </c>
      <c r="C4309" s="24" t="s">
        <v>5</v>
      </c>
      <c r="D4309" s="24">
        <v>8.6</v>
      </c>
      <c r="E4309" s="24" t="s">
        <v>801</v>
      </c>
      <c r="F4309" s="24" t="s">
        <v>1102</v>
      </c>
      <c r="G4309" s="24">
        <v>171706</v>
      </c>
    </row>
    <row r="4310" spans="1:7" x14ac:dyDescent="0.25">
      <c r="A4310" s="24" t="s">
        <v>540</v>
      </c>
      <c r="B4310" s="24" t="s">
        <v>24</v>
      </c>
      <c r="C4310" s="24" t="s">
        <v>5</v>
      </c>
      <c r="D4310" s="24">
        <v>6.8</v>
      </c>
      <c r="E4310" s="24" t="s">
        <v>801</v>
      </c>
      <c r="F4310" s="24" t="s">
        <v>1102</v>
      </c>
      <c r="G4310" s="24">
        <v>171706</v>
      </c>
    </row>
    <row r="4311" spans="1:7" x14ac:dyDescent="0.25">
      <c r="A4311" s="24" t="s">
        <v>540</v>
      </c>
      <c r="B4311" s="24" t="s">
        <v>32</v>
      </c>
      <c r="C4311" s="24" t="s">
        <v>33</v>
      </c>
      <c r="D4311" s="24">
        <v>7</v>
      </c>
      <c r="E4311" s="24" t="s">
        <v>801</v>
      </c>
      <c r="F4311" s="24" t="s">
        <v>1102</v>
      </c>
      <c r="G4311" s="24">
        <v>171706</v>
      </c>
    </row>
    <row r="4312" spans="1:7" x14ac:dyDescent="0.25">
      <c r="A4312" s="24" t="s">
        <v>540</v>
      </c>
      <c r="B4312" s="24" t="s">
        <v>34</v>
      </c>
      <c r="C4312" s="24" t="s">
        <v>31</v>
      </c>
      <c r="D4312" s="24">
        <v>8.8000000000000007</v>
      </c>
      <c r="E4312" s="24" t="s">
        <v>801</v>
      </c>
      <c r="F4312" s="24" t="s">
        <v>1102</v>
      </c>
      <c r="G4312" s="24">
        <v>171706</v>
      </c>
    </row>
    <row r="4313" spans="1:7" x14ac:dyDescent="0.25">
      <c r="A4313" s="24" t="s">
        <v>540</v>
      </c>
      <c r="B4313" s="24" t="s">
        <v>35</v>
      </c>
      <c r="C4313" s="24" t="s">
        <v>36</v>
      </c>
      <c r="D4313" s="24">
        <v>0</v>
      </c>
      <c r="E4313" s="24" t="s">
        <v>801</v>
      </c>
      <c r="F4313" s="24" t="s">
        <v>1102</v>
      </c>
      <c r="G4313" s="24">
        <v>171706</v>
      </c>
    </row>
    <row r="4314" spans="1:7" x14ac:dyDescent="0.25">
      <c r="A4314" s="24" t="s">
        <v>540</v>
      </c>
      <c r="B4314" s="24" t="s">
        <v>37</v>
      </c>
      <c r="C4314" s="24" t="s">
        <v>38</v>
      </c>
      <c r="D4314" s="24">
        <v>2</v>
      </c>
      <c r="E4314" s="24" t="s">
        <v>801</v>
      </c>
      <c r="F4314" s="24" t="s">
        <v>1102</v>
      </c>
      <c r="G4314" s="24">
        <v>171706</v>
      </c>
    </row>
    <row r="4315" spans="1:7" x14ac:dyDescent="0.25">
      <c r="A4315" s="24" t="s">
        <v>540</v>
      </c>
      <c r="B4315" s="24" t="s">
        <v>39</v>
      </c>
      <c r="C4315" s="24" t="s">
        <v>36</v>
      </c>
      <c r="D4315" s="24">
        <v>21</v>
      </c>
      <c r="E4315" s="24" t="s">
        <v>801</v>
      </c>
      <c r="F4315" s="24" t="s">
        <v>1102</v>
      </c>
      <c r="G4315" s="24">
        <v>171706</v>
      </c>
    </row>
    <row r="4316" spans="1:7" x14ac:dyDescent="0.25">
      <c r="A4316" s="24" t="s">
        <v>540</v>
      </c>
      <c r="B4316" s="24" t="s">
        <v>40</v>
      </c>
      <c r="C4316" s="24" t="s">
        <v>31</v>
      </c>
      <c r="D4316" s="24">
        <v>0.1</v>
      </c>
      <c r="E4316" s="24" t="s">
        <v>801</v>
      </c>
      <c r="F4316" s="24" t="s">
        <v>1102</v>
      </c>
      <c r="G4316" s="24">
        <v>171706</v>
      </c>
    </row>
    <row r="4317" spans="1:7" x14ac:dyDescent="0.25">
      <c r="A4317" s="24" t="s">
        <v>540</v>
      </c>
      <c r="B4317" s="24" t="s">
        <v>41</v>
      </c>
      <c r="C4317" s="24" t="s">
        <v>31</v>
      </c>
      <c r="D4317" s="24">
        <v>0.1</v>
      </c>
      <c r="E4317" s="24" t="s">
        <v>801</v>
      </c>
      <c r="F4317" s="24" t="s">
        <v>1102</v>
      </c>
      <c r="G4317" s="24">
        <v>171706</v>
      </c>
    </row>
    <row r="4318" spans="1:7" x14ac:dyDescent="0.25">
      <c r="A4318" s="24" t="s">
        <v>540</v>
      </c>
      <c r="B4318" s="24" t="s">
        <v>42</v>
      </c>
      <c r="C4318" s="24" t="s">
        <v>43</v>
      </c>
      <c r="D4318" s="24">
        <v>1.9</v>
      </c>
      <c r="E4318" s="24" t="s">
        <v>801</v>
      </c>
      <c r="F4318" s="24" t="s">
        <v>1102</v>
      </c>
      <c r="G4318" s="24">
        <v>171706</v>
      </c>
    </row>
    <row r="4319" spans="1:7" x14ac:dyDescent="0.25">
      <c r="A4319" s="24" t="s">
        <v>540</v>
      </c>
      <c r="B4319" s="24" t="s">
        <v>44</v>
      </c>
      <c r="C4319" s="24" t="s">
        <v>31</v>
      </c>
      <c r="D4319" s="24">
        <v>0.3</v>
      </c>
      <c r="E4319" s="24" t="s">
        <v>801</v>
      </c>
      <c r="F4319" s="24" t="s">
        <v>1102</v>
      </c>
      <c r="G4319" s="24">
        <v>171706</v>
      </c>
    </row>
    <row r="4320" spans="1:7" x14ac:dyDescent="0.25">
      <c r="A4320" s="24" t="s">
        <v>540</v>
      </c>
      <c r="B4320" s="24" t="s">
        <v>45</v>
      </c>
      <c r="C4320" s="24" t="s">
        <v>31</v>
      </c>
      <c r="D4320" s="24">
        <v>1.5</v>
      </c>
      <c r="E4320" s="24" t="s">
        <v>801</v>
      </c>
      <c r="F4320" s="24" t="s">
        <v>1102</v>
      </c>
      <c r="G4320" s="24">
        <v>171706</v>
      </c>
    </row>
    <row r="4321" spans="1:7" x14ac:dyDescent="0.25">
      <c r="A4321" s="24" t="s">
        <v>540</v>
      </c>
      <c r="B4321" s="24" t="s">
        <v>46</v>
      </c>
      <c r="C4321" s="24" t="s">
        <v>36</v>
      </c>
      <c r="D4321" s="24">
        <v>0</v>
      </c>
      <c r="E4321" s="24" t="s">
        <v>801</v>
      </c>
      <c r="F4321" s="24" t="s">
        <v>1102</v>
      </c>
      <c r="G4321" s="24">
        <v>171706</v>
      </c>
    </row>
    <row r="4322" spans="1:7" x14ac:dyDescent="0.25">
      <c r="A4322" s="24" t="s">
        <v>540</v>
      </c>
      <c r="B4322" s="24" t="s">
        <v>47</v>
      </c>
      <c r="C4322" s="24" t="s">
        <v>48</v>
      </c>
      <c r="D4322" s="24">
        <v>89</v>
      </c>
      <c r="E4322" s="24" t="s">
        <v>801</v>
      </c>
      <c r="F4322" s="24" t="s">
        <v>1102</v>
      </c>
      <c r="G4322" s="24">
        <v>171706</v>
      </c>
    </row>
    <row r="4323" spans="1:7" x14ac:dyDescent="0.25">
      <c r="A4323" s="24" t="s">
        <v>540</v>
      </c>
      <c r="B4323" s="24" t="s">
        <v>50</v>
      </c>
      <c r="C4323" s="24" t="s">
        <v>31</v>
      </c>
      <c r="D4323" s="24">
        <v>507</v>
      </c>
      <c r="E4323" s="24" t="s">
        <v>801</v>
      </c>
      <c r="F4323" s="24" t="s">
        <v>1102</v>
      </c>
      <c r="G4323" s="24">
        <v>171706</v>
      </c>
    </row>
    <row r="4324" spans="1:7" x14ac:dyDescent="0.25">
      <c r="A4324" s="24" t="s">
        <v>540</v>
      </c>
      <c r="B4324" s="24" t="s">
        <v>51</v>
      </c>
      <c r="C4324" s="24" t="s">
        <v>31</v>
      </c>
      <c r="D4324" s="24">
        <v>13</v>
      </c>
      <c r="E4324" s="24" t="s">
        <v>801</v>
      </c>
      <c r="F4324" s="24" t="s">
        <v>1102</v>
      </c>
      <c r="G4324" s="24">
        <v>171706</v>
      </c>
    </row>
    <row r="4325" spans="1:7" x14ac:dyDescent="0.25">
      <c r="A4325" s="24" t="s">
        <v>540</v>
      </c>
      <c r="B4325" s="24" t="s">
        <v>52</v>
      </c>
      <c r="C4325" s="24" t="s">
        <v>31</v>
      </c>
      <c r="D4325" s="24">
        <v>54</v>
      </c>
      <c r="E4325" s="24" t="s">
        <v>801</v>
      </c>
      <c r="F4325" s="24" t="s">
        <v>1102</v>
      </c>
      <c r="G4325" s="24">
        <v>171706</v>
      </c>
    </row>
    <row r="4326" spans="1:7" x14ac:dyDescent="0.25">
      <c r="A4326" s="24" t="s">
        <v>540</v>
      </c>
      <c r="B4326" s="24" t="s">
        <v>53</v>
      </c>
      <c r="C4326" s="24" t="s">
        <v>31</v>
      </c>
      <c r="D4326" s="24">
        <v>29</v>
      </c>
      <c r="E4326" s="24" t="s">
        <v>801</v>
      </c>
      <c r="F4326" s="24" t="s">
        <v>1102</v>
      </c>
      <c r="G4326" s="24">
        <v>171706</v>
      </c>
    </row>
    <row r="4327" spans="1:7" x14ac:dyDescent="0.25">
      <c r="A4327" s="24" t="s">
        <v>540</v>
      </c>
      <c r="B4327" s="24" t="s">
        <v>54</v>
      </c>
      <c r="C4327" s="24" t="s">
        <v>31</v>
      </c>
      <c r="D4327" s="24">
        <v>0.6</v>
      </c>
      <c r="E4327" s="24" t="s">
        <v>801</v>
      </c>
      <c r="F4327" s="24" t="s">
        <v>1102</v>
      </c>
      <c r="G4327" s="24">
        <v>171706</v>
      </c>
    </row>
    <row r="4328" spans="1:7" x14ac:dyDescent="0.25">
      <c r="A4328" s="24" t="s">
        <v>540</v>
      </c>
      <c r="B4328" s="24" t="s">
        <v>55</v>
      </c>
      <c r="C4328" s="24" t="s">
        <v>31</v>
      </c>
      <c r="D4328" s="24">
        <v>0.7</v>
      </c>
      <c r="E4328" s="24" t="s">
        <v>801</v>
      </c>
      <c r="F4328" s="24" t="s">
        <v>1102</v>
      </c>
      <c r="G4328" s="24">
        <v>171706</v>
      </c>
    </row>
    <row r="4329" spans="1:7" x14ac:dyDescent="0.25">
      <c r="A4329" s="24" t="s">
        <v>540</v>
      </c>
      <c r="B4329" s="24" t="s">
        <v>56</v>
      </c>
      <c r="C4329" s="24" t="s">
        <v>31</v>
      </c>
      <c r="D4329" s="24">
        <v>0.2</v>
      </c>
      <c r="E4329" s="24" t="s">
        <v>801</v>
      </c>
      <c r="F4329" s="24" t="s">
        <v>1102</v>
      </c>
      <c r="G4329" s="24">
        <v>171706</v>
      </c>
    </row>
    <row r="4330" spans="1:7" x14ac:dyDescent="0.25">
      <c r="A4330" s="24" t="s">
        <v>540</v>
      </c>
      <c r="B4330" s="24" t="s">
        <v>57</v>
      </c>
      <c r="C4330" s="24" t="s">
        <v>36</v>
      </c>
      <c r="D4330" s="24">
        <v>0.4</v>
      </c>
      <c r="E4330" s="24" t="s">
        <v>801</v>
      </c>
      <c r="F4330" s="24" t="s">
        <v>1102</v>
      </c>
      <c r="G4330" s="24">
        <v>171706</v>
      </c>
    </row>
    <row r="4331" spans="1:7" x14ac:dyDescent="0.25">
      <c r="A4331" s="24" t="s">
        <v>540</v>
      </c>
      <c r="B4331" s="24" t="s">
        <v>58</v>
      </c>
      <c r="C4331" s="24" t="s">
        <v>5</v>
      </c>
      <c r="D4331" s="24">
        <v>0</v>
      </c>
      <c r="E4331" s="24" t="s">
        <v>795</v>
      </c>
      <c r="F4331" s="24"/>
      <c r="G4331" s="24"/>
    </row>
    <row r="4332" spans="1:7" x14ac:dyDescent="0.25">
      <c r="A4332" s="24" t="s">
        <v>540</v>
      </c>
      <c r="B4332" s="24" t="s">
        <v>18</v>
      </c>
      <c r="C4332" s="24" t="s">
        <v>5</v>
      </c>
      <c r="D4332" s="24">
        <v>65.8</v>
      </c>
      <c r="E4332" s="24" t="s">
        <v>803</v>
      </c>
      <c r="F4332" s="24"/>
      <c r="G4332" s="24"/>
    </row>
    <row r="4333" spans="1:7" x14ac:dyDescent="0.25">
      <c r="A4333" s="24" t="s">
        <v>541</v>
      </c>
      <c r="B4333" s="24" t="s">
        <v>29</v>
      </c>
      <c r="C4333" s="24" t="s">
        <v>5</v>
      </c>
      <c r="D4333" s="24">
        <v>0</v>
      </c>
      <c r="E4333" s="24" t="s">
        <v>799</v>
      </c>
      <c r="F4333" s="24" t="s">
        <v>1103</v>
      </c>
      <c r="G4333" s="24">
        <v>169926</v>
      </c>
    </row>
    <row r="4334" spans="1:7" x14ac:dyDescent="0.25">
      <c r="A4334" s="24" t="s">
        <v>541</v>
      </c>
      <c r="B4334" s="24" t="s">
        <v>58</v>
      </c>
      <c r="C4334" s="24" t="s">
        <v>5</v>
      </c>
      <c r="D4334" s="24">
        <v>0</v>
      </c>
      <c r="E4334" s="24" t="s">
        <v>795</v>
      </c>
      <c r="F4334" s="24"/>
      <c r="G4334" s="24"/>
    </row>
    <row r="4335" spans="1:7" x14ac:dyDescent="0.25">
      <c r="A4335" s="24" t="s">
        <v>542</v>
      </c>
      <c r="B4335" s="24" t="s">
        <v>29</v>
      </c>
      <c r="C4335" s="24" t="s">
        <v>5</v>
      </c>
      <c r="D4335" s="24">
        <v>0</v>
      </c>
      <c r="E4335" s="24" t="s">
        <v>799</v>
      </c>
      <c r="F4335" s="24" t="s">
        <v>1104</v>
      </c>
      <c r="G4335" s="24">
        <v>168164</v>
      </c>
    </row>
    <row r="4336" spans="1:7" x14ac:dyDescent="0.25">
      <c r="A4336" s="24" t="s">
        <v>542</v>
      </c>
      <c r="B4336" s="24" t="s">
        <v>58</v>
      </c>
      <c r="C4336" s="24" t="s">
        <v>5</v>
      </c>
      <c r="D4336" s="24">
        <v>0</v>
      </c>
      <c r="E4336" s="24" t="s">
        <v>795</v>
      </c>
      <c r="F4336" s="24"/>
      <c r="G4336" s="24"/>
    </row>
    <row r="4337" spans="1:7" x14ac:dyDescent="0.25">
      <c r="A4337" s="24" t="s">
        <v>543</v>
      </c>
      <c r="B4337" s="24" t="s">
        <v>29</v>
      </c>
      <c r="C4337" s="24" t="s">
        <v>5</v>
      </c>
      <c r="D4337" s="24">
        <v>0</v>
      </c>
      <c r="E4337" s="24" t="s">
        <v>940</v>
      </c>
      <c r="F4337" s="24"/>
      <c r="G4337" s="24"/>
    </row>
    <row r="4338" spans="1:7" x14ac:dyDescent="0.25">
      <c r="A4338" s="24" t="s">
        <v>543</v>
      </c>
      <c r="B4338" s="24" t="s">
        <v>58</v>
      </c>
      <c r="C4338" s="24" t="s">
        <v>5</v>
      </c>
      <c r="D4338" s="24">
        <v>0</v>
      </c>
      <c r="E4338" s="24" t="s">
        <v>795</v>
      </c>
      <c r="F4338" s="24"/>
      <c r="G4338" s="24"/>
    </row>
    <row r="4339" spans="1:7" x14ac:dyDescent="0.25">
      <c r="A4339" s="24" t="s">
        <v>545</v>
      </c>
      <c r="B4339" s="24" t="s">
        <v>29</v>
      </c>
      <c r="C4339" s="24" t="s">
        <v>5</v>
      </c>
      <c r="D4339" s="24">
        <v>0</v>
      </c>
      <c r="E4339" s="24" t="s">
        <v>994</v>
      </c>
      <c r="F4339" s="24"/>
      <c r="G4339" s="24"/>
    </row>
    <row r="4340" spans="1:7" x14ac:dyDescent="0.25">
      <c r="A4340" s="24" t="s">
        <v>545</v>
      </c>
      <c r="B4340" s="24" t="s">
        <v>58</v>
      </c>
      <c r="C4340" s="24" t="s">
        <v>5</v>
      </c>
      <c r="D4340" s="24">
        <v>0</v>
      </c>
      <c r="E4340" s="24" t="s">
        <v>795</v>
      </c>
      <c r="F4340" s="24"/>
      <c r="G4340" s="24"/>
    </row>
    <row r="4341" spans="1:7" x14ac:dyDescent="0.25">
      <c r="A4341" s="24" t="s">
        <v>546</v>
      </c>
      <c r="B4341" s="24" t="s">
        <v>23</v>
      </c>
      <c r="C4341" s="24" t="s">
        <v>5</v>
      </c>
      <c r="D4341" s="24">
        <v>99.6</v>
      </c>
      <c r="E4341" s="24" t="s">
        <v>796</v>
      </c>
      <c r="F4341" s="24" t="s">
        <v>1105</v>
      </c>
      <c r="G4341" s="24">
        <v>169655</v>
      </c>
    </row>
    <row r="4342" spans="1:7" x14ac:dyDescent="0.25">
      <c r="A4342" s="24" t="s">
        <v>546</v>
      </c>
      <c r="B4342" s="24" t="s">
        <v>25</v>
      </c>
      <c r="C4342" s="24" t="s">
        <v>5</v>
      </c>
      <c r="D4342" s="24">
        <v>0</v>
      </c>
      <c r="E4342" s="24" t="s">
        <v>796</v>
      </c>
      <c r="F4342" s="24" t="s">
        <v>1105</v>
      </c>
      <c r="G4342" s="24">
        <v>169655</v>
      </c>
    </row>
    <row r="4343" spans="1:7" x14ac:dyDescent="0.25">
      <c r="A4343" s="24" t="s">
        <v>546</v>
      </c>
      <c r="B4343" s="24" t="s">
        <v>26</v>
      </c>
      <c r="C4343" s="24" t="s">
        <v>5</v>
      </c>
      <c r="D4343" s="24">
        <v>0</v>
      </c>
      <c r="E4343" s="24" t="s">
        <v>994</v>
      </c>
      <c r="F4343" s="24"/>
      <c r="G4343" s="24"/>
    </row>
    <row r="4344" spans="1:7" x14ac:dyDescent="0.25">
      <c r="A4344" s="24" t="s">
        <v>546</v>
      </c>
      <c r="B4344" s="24" t="s">
        <v>27</v>
      </c>
      <c r="C4344" s="24" t="s">
        <v>5</v>
      </c>
      <c r="D4344" s="24">
        <v>0</v>
      </c>
      <c r="E4344" s="24" t="s">
        <v>994</v>
      </c>
      <c r="F4344" s="24"/>
      <c r="G4344" s="24"/>
    </row>
    <row r="4345" spans="1:7" x14ac:dyDescent="0.25">
      <c r="A4345" s="24" t="s">
        <v>546</v>
      </c>
      <c r="B4345" s="24" t="s">
        <v>28</v>
      </c>
      <c r="C4345" s="24" t="s">
        <v>5</v>
      </c>
      <c r="D4345" s="24">
        <v>0</v>
      </c>
      <c r="E4345" s="24" t="s">
        <v>994</v>
      </c>
      <c r="F4345" s="24"/>
      <c r="G4345" s="24"/>
    </row>
    <row r="4346" spans="1:7" x14ac:dyDescent="0.25">
      <c r="A4346" s="24" t="s">
        <v>546</v>
      </c>
      <c r="B4346" s="24" t="s">
        <v>29</v>
      </c>
      <c r="C4346" s="24" t="s">
        <v>5</v>
      </c>
      <c r="D4346" s="24">
        <v>0</v>
      </c>
      <c r="E4346" s="24" t="s">
        <v>994</v>
      </c>
      <c r="F4346" s="24"/>
      <c r="G4346" s="24"/>
    </row>
    <row r="4347" spans="1:7" x14ac:dyDescent="0.25">
      <c r="A4347" s="24" t="s">
        <v>546</v>
      </c>
      <c r="B4347" s="24" t="s">
        <v>30</v>
      </c>
      <c r="C4347" s="24" t="s">
        <v>31</v>
      </c>
      <c r="D4347" s="24">
        <v>0</v>
      </c>
      <c r="E4347" s="24" t="s">
        <v>801</v>
      </c>
      <c r="F4347" s="24" t="s">
        <v>1105</v>
      </c>
      <c r="G4347" s="24">
        <v>169655</v>
      </c>
    </row>
    <row r="4348" spans="1:7" x14ac:dyDescent="0.25">
      <c r="A4348" s="24" t="s">
        <v>546</v>
      </c>
      <c r="B4348" s="24" t="s">
        <v>32</v>
      </c>
      <c r="C4348" s="24" t="s">
        <v>33</v>
      </c>
      <c r="D4348" s="24">
        <v>0</v>
      </c>
      <c r="E4348" s="24" t="s">
        <v>796</v>
      </c>
      <c r="F4348" s="24" t="s">
        <v>1105</v>
      </c>
      <c r="G4348" s="24">
        <v>169655</v>
      </c>
    </row>
    <row r="4349" spans="1:7" x14ac:dyDescent="0.25">
      <c r="A4349" s="24" t="s">
        <v>546</v>
      </c>
      <c r="B4349" s="24" t="s">
        <v>34</v>
      </c>
      <c r="C4349" s="24" t="s">
        <v>31</v>
      </c>
      <c r="D4349" s="24">
        <v>0</v>
      </c>
      <c r="E4349" s="24" t="s">
        <v>796</v>
      </c>
      <c r="F4349" s="24" t="s">
        <v>1105</v>
      </c>
      <c r="G4349" s="24">
        <v>169655</v>
      </c>
    </row>
    <row r="4350" spans="1:7" x14ac:dyDescent="0.25">
      <c r="A4350" s="24" t="s">
        <v>546</v>
      </c>
      <c r="B4350" s="24" t="s">
        <v>35</v>
      </c>
      <c r="C4350" s="24" t="s">
        <v>36</v>
      </c>
      <c r="D4350" s="24">
        <v>0</v>
      </c>
      <c r="E4350" s="24" t="s">
        <v>796</v>
      </c>
      <c r="F4350" s="24" t="s">
        <v>1105</v>
      </c>
      <c r="G4350" s="24">
        <v>169655</v>
      </c>
    </row>
    <row r="4351" spans="1:7" x14ac:dyDescent="0.25">
      <c r="A4351" s="24" t="s">
        <v>546</v>
      </c>
      <c r="B4351" s="24" t="s">
        <v>37</v>
      </c>
      <c r="C4351" s="24" t="s">
        <v>38</v>
      </c>
      <c r="D4351" s="24">
        <v>0</v>
      </c>
      <c r="E4351" s="24" t="s">
        <v>796</v>
      </c>
      <c r="F4351" s="24" t="s">
        <v>1105</v>
      </c>
      <c r="G4351" s="24">
        <v>169655</v>
      </c>
    </row>
    <row r="4352" spans="1:7" x14ac:dyDescent="0.25">
      <c r="A4352" s="24" t="s">
        <v>546</v>
      </c>
      <c r="B4352" s="24" t="s">
        <v>39</v>
      </c>
      <c r="C4352" s="24" t="s">
        <v>36</v>
      </c>
      <c r="D4352" s="24">
        <v>0</v>
      </c>
      <c r="E4352" s="24" t="s">
        <v>796</v>
      </c>
      <c r="F4352" s="24" t="s">
        <v>1105</v>
      </c>
      <c r="G4352" s="24">
        <v>169655</v>
      </c>
    </row>
    <row r="4353" spans="1:7" x14ac:dyDescent="0.25">
      <c r="A4353" s="24" t="s">
        <v>546</v>
      </c>
      <c r="B4353" s="24" t="s">
        <v>40</v>
      </c>
      <c r="C4353" s="24" t="s">
        <v>31</v>
      </c>
      <c r="D4353" s="24">
        <v>0</v>
      </c>
      <c r="E4353" s="24" t="s">
        <v>796</v>
      </c>
      <c r="F4353" s="24" t="s">
        <v>1105</v>
      </c>
      <c r="G4353" s="24">
        <v>169655</v>
      </c>
    </row>
    <row r="4354" spans="1:7" x14ac:dyDescent="0.25">
      <c r="A4354" s="24" t="s">
        <v>546</v>
      </c>
      <c r="B4354" s="24" t="s">
        <v>41</v>
      </c>
      <c r="C4354" s="24" t="s">
        <v>31</v>
      </c>
      <c r="D4354" s="24">
        <v>0</v>
      </c>
      <c r="E4354" s="24" t="s">
        <v>796</v>
      </c>
      <c r="F4354" s="24" t="s">
        <v>1105</v>
      </c>
      <c r="G4354" s="24">
        <v>169655</v>
      </c>
    </row>
    <row r="4355" spans="1:7" x14ac:dyDescent="0.25">
      <c r="A4355" s="24" t="s">
        <v>546</v>
      </c>
      <c r="B4355" s="24" t="s">
        <v>42</v>
      </c>
      <c r="C4355" s="24" t="s">
        <v>43</v>
      </c>
      <c r="D4355" s="24">
        <v>0</v>
      </c>
      <c r="E4355" s="24" t="s">
        <v>796</v>
      </c>
      <c r="F4355" s="24" t="s">
        <v>1105</v>
      </c>
      <c r="G4355" s="24">
        <v>169655</v>
      </c>
    </row>
    <row r="4356" spans="1:7" x14ac:dyDescent="0.25">
      <c r="A4356" s="24" t="s">
        <v>546</v>
      </c>
      <c r="B4356" s="24" t="s">
        <v>44</v>
      </c>
      <c r="C4356" s="24" t="s">
        <v>31</v>
      </c>
      <c r="D4356" s="24">
        <v>0</v>
      </c>
      <c r="E4356" s="24" t="s">
        <v>796</v>
      </c>
      <c r="F4356" s="24" t="s">
        <v>1105</v>
      </c>
      <c r="G4356" s="24">
        <v>169655</v>
      </c>
    </row>
    <row r="4357" spans="1:7" x14ac:dyDescent="0.25">
      <c r="A4357" s="24" t="s">
        <v>546</v>
      </c>
      <c r="B4357" s="24" t="s">
        <v>45</v>
      </c>
      <c r="C4357" s="24" t="s">
        <v>31</v>
      </c>
      <c r="D4357" s="24">
        <v>0</v>
      </c>
      <c r="E4357" s="24" t="s">
        <v>796</v>
      </c>
      <c r="F4357" s="24" t="s">
        <v>1105</v>
      </c>
      <c r="G4357" s="24">
        <v>169655</v>
      </c>
    </row>
    <row r="4358" spans="1:7" x14ac:dyDescent="0.25">
      <c r="A4358" s="24" t="s">
        <v>546</v>
      </c>
      <c r="B4358" s="24" t="s">
        <v>46</v>
      </c>
      <c r="C4358" s="24" t="s">
        <v>36</v>
      </c>
      <c r="D4358" s="24">
        <v>0</v>
      </c>
      <c r="E4358" s="24" t="s">
        <v>796</v>
      </c>
      <c r="F4358" s="24" t="s">
        <v>1105</v>
      </c>
      <c r="G4358" s="24">
        <v>169655</v>
      </c>
    </row>
    <row r="4359" spans="1:7" x14ac:dyDescent="0.25">
      <c r="A4359" s="24" t="s">
        <v>546</v>
      </c>
      <c r="B4359" s="24" t="s">
        <v>47</v>
      </c>
      <c r="C4359" s="24" t="s">
        <v>48</v>
      </c>
      <c r="D4359" s="24">
        <v>0</v>
      </c>
      <c r="E4359" s="24" t="s">
        <v>796</v>
      </c>
      <c r="F4359" s="24" t="s">
        <v>1105</v>
      </c>
      <c r="G4359" s="24">
        <v>169655</v>
      </c>
    </row>
    <row r="4360" spans="1:7" x14ac:dyDescent="0.25">
      <c r="A4360" s="24" t="s">
        <v>546</v>
      </c>
      <c r="B4360" s="24" t="s">
        <v>49</v>
      </c>
      <c r="C4360" s="24" t="s">
        <v>31</v>
      </c>
      <c r="D4360" s="24">
        <v>1</v>
      </c>
      <c r="E4360" s="24" t="s">
        <v>796</v>
      </c>
      <c r="F4360" s="24" t="s">
        <v>1105</v>
      </c>
      <c r="G4360" s="24">
        <v>169655</v>
      </c>
    </row>
    <row r="4361" spans="1:7" x14ac:dyDescent="0.25">
      <c r="A4361" s="24" t="s">
        <v>546</v>
      </c>
      <c r="B4361" s="24" t="s">
        <v>50</v>
      </c>
      <c r="C4361" s="24" t="s">
        <v>31</v>
      </c>
      <c r="D4361" s="24">
        <v>2</v>
      </c>
      <c r="E4361" s="24" t="s">
        <v>796</v>
      </c>
      <c r="F4361" s="24" t="s">
        <v>1105</v>
      </c>
      <c r="G4361" s="24">
        <v>169655</v>
      </c>
    </row>
    <row r="4362" spans="1:7" x14ac:dyDescent="0.25">
      <c r="A4362" s="24" t="s">
        <v>546</v>
      </c>
      <c r="B4362" s="24" t="s">
        <v>51</v>
      </c>
      <c r="C4362" s="24" t="s">
        <v>31</v>
      </c>
      <c r="D4362" s="24">
        <v>1</v>
      </c>
      <c r="E4362" s="24" t="s">
        <v>796</v>
      </c>
      <c r="F4362" s="24" t="s">
        <v>1105</v>
      </c>
      <c r="G4362" s="24">
        <v>169655</v>
      </c>
    </row>
    <row r="4363" spans="1:7" x14ac:dyDescent="0.25">
      <c r="A4363" s="24" t="s">
        <v>546</v>
      </c>
      <c r="B4363" s="24" t="s">
        <v>52</v>
      </c>
      <c r="C4363" s="24" t="s">
        <v>31</v>
      </c>
      <c r="D4363" s="24">
        <v>0</v>
      </c>
      <c r="E4363" s="24" t="s">
        <v>796</v>
      </c>
      <c r="F4363" s="24" t="s">
        <v>1105</v>
      </c>
      <c r="G4363" s="24">
        <v>169655</v>
      </c>
    </row>
    <row r="4364" spans="1:7" x14ac:dyDescent="0.25">
      <c r="A4364" s="24" t="s">
        <v>546</v>
      </c>
      <c r="B4364" s="24" t="s">
        <v>53</v>
      </c>
      <c r="C4364" s="24" t="s">
        <v>31</v>
      </c>
      <c r="D4364" s="24">
        <v>0</v>
      </c>
      <c r="E4364" s="24" t="s">
        <v>796</v>
      </c>
      <c r="F4364" s="24" t="s">
        <v>1105</v>
      </c>
      <c r="G4364" s="24">
        <v>169655</v>
      </c>
    </row>
    <row r="4365" spans="1:7" x14ac:dyDescent="0.25">
      <c r="A4365" s="24" t="s">
        <v>546</v>
      </c>
      <c r="B4365" s="24" t="s">
        <v>54</v>
      </c>
      <c r="C4365" s="24" t="s">
        <v>31</v>
      </c>
      <c r="D4365" s="24">
        <v>0</v>
      </c>
      <c r="E4365" s="24" t="s">
        <v>796</v>
      </c>
      <c r="F4365" s="24" t="s">
        <v>1105</v>
      </c>
      <c r="G4365" s="24">
        <v>169655</v>
      </c>
    </row>
    <row r="4366" spans="1:7" x14ac:dyDescent="0.25">
      <c r="A4366" s="24" t="s">
        <v>546</v>
      </c>
      <c r="B4366" s="24" t="s">
        <v>55</v>
      </c>
      <c r="C4366" s="24" t="s">
        <v>31</v>
      </c>
      <c r="D4366" s="24">
        <v>0</v>
      </c>
      <c r="E4366" s="24" t="s">
        <v>796</v>
      </c>
      <c r="F4366" s="24" t="s">
        <v>1105</v>
      </c>
      <c r="G4366" s="24">
        <v>169655</v>
      </c>
    </row>
    <row r="4367" spans="1:7" x14ac:dyDescent="0.25">
      <c r="A4367" s="24" t="s">
        <v>546</v>
      </c>
      <c r="B4367" s="24" t="s">
        <v>56</v>
      </c>
      <c r="C4367" s="24" t="s">
        <v>31</v>
      </c>
      <c r="D4367" s="24">
        <v>0</v>
      </c>
      <c r="E4367" s="24" t="s">
        <v>796</v>
      </c>
      <c r="F4367" s="24" t="s">
        <v>1105</v>
      </c>
      <c r="G4367" s="24">
        <v>169655</v>
      </c>
    </row>
    <row r="4368" spans="1:7" x14ac:dyDescent="0.25">
      <c r="A4368" s="24" t="s">
        <v>546</v>
      </c>
      <c r="B4368" s="24" t="s">
        <v>57</v>
      </c>
      <c r="C4368" s="24" t="s">
        <v>36</v>
      </c>
      <c r="D4368" s="24">
        <v>0.6</v>
      </c>
      <c r="E4368" s="24" t="s">
        <v>796</v>
      </c>
      <c r="F4368" s="24" t="s">
        <v>1105</v>
      </c>
      <c r="G4368" s="24">
        <v>169655</v>
      </c>
    </row>
    <row r="4369" spans="1:7" x14ac:dyDescent="0.25">
      <c r="A4369" s="24" t="s">
        <v>546</v>
      </c>
      <c r="B4369" s="24" t="s">
        <v>58</v>
      </c>
      <c r="C4369" s="24" t="s">
        <v>5</v>
      </c>
      <c r="D4369" s="24">
        <v>0</v>
      </c>
      <c r="E4369" s="24" t="s">
        <v>795</v>
      </c>
      <c r="F4369" s="24"/>
      <c r="G4369" s="24"/>
    </row>
    <row r="4370" spans="1:7" x14ac:dyDescent="0.25">
      <c r="A4370" s="24" t="s">
        <v>547</v>
      </c>
      <c r="B4370" s="24" t="s">
        <v>29</v>
      </c>
      <c r="C4370" s="24" t="s">
        <v>5</v>
      </c>
      <c r="D4370" s="24">
        <v>0</v>
      </c>
      <c r="E4370" s="24" t="s">
        <v>994</v>
      </c>
      <c r="F4370" s="24"/>
      <c r="G4370" s="24"/>
    </row>
    <row r="4371" spans="1:7" x14ac:dyDescent="0.25">
      <c r="A4371" s="24" t="s">
        <v>547</v>
      </c>
      <c r="B4371" s="24" t="s">
        <v>58</v>
      </c>
      <c r="C4371" s="24" t="s">
        <v>5</v>
      </c>
      <c r="D4371" s="24">
        <v>0</v>
      </c>
      <c r="E4371" s="24" t="s">
        <v>795</v>
      </c>
      <c r="F4371" s="24"/>
      <c r="G4371" s="24"/>
    </row>
    <row r="4372" spans="1:7" x14ac:dyDescent="0.25">
      <c r="A4372" s="24" t="s">
        <v>548</v>
      </c>
      <c r="B4372" s="24" t="s">
        <v>23</v>
      </c>
      <c r="C4372" s="24" t="s">
        <v>5</v>
      </c>
      <c r="D4372" s="24">
        <v>99.7</v>
      </c>
      <c r="E4372" s="24" t="s">
        <v>796</v>
      </c>
      <c r="F4372" s="24" t="s">
        <v>1105</v>
      </c>
      <c r="G4372" s="24">
        <v>169655</v>
      </c>
    </row>
    <row r="4373" spans="1:7" x14ac:dyDescent="0.25">
      <c r="A4373" s="24" t="s">
        <v>548</v>
      </c>
      <c r="B4373" s="24" t="s">
        <v>26</v>
      </c>
      <c r="C4373" s="24" t="s">
        <v>5</v>
      </c>
      <c r="D4373" s="24">
        <v>0</v>
      </c>
      <c r="E4373" s="24" t="s">
        <v>994</v>
      </c>
      <c r="F4373" s="24"/>
      <c r="G4373" s="24"/>
    </row>
    <row r="4374" spans="1:7" x14ac:dyDescent="0.25">
      <c r="A4374" s="24" t="s">
        <v>548</v>
      </c>
      <c r="B4374" s="24" t="s">
        <v>27</v>
      </c>
      <c r="C4374" s="24" t="s">
        <v>5</v>
      </c>
      <c r="D4374" s="24">
        <v>0</v>
      </c>
      <c r="E4374" s="24" t="s">
        <v>994</v>
      </c>
      <c r="F4374" s="24"/>
      <c r="G4374" s="24"/>
    </row>
    <row r="4375" spans="1:7" x14ac:dyDescent="0.25">
      <c r="A4375" s="24" t="s">
        <v>548</v>
      </c>
      <c r="B4375" s="24" t="s">
        <v>28</v>
      </c>
      <c r="C4375" s="24" t="s">
        <v>5</v>
      </c>
      <c r="D4375" s="24">
        <v>0</v>
      </c>
      <c r="E4375" s="24" t="s">
        <v>994</v>
      </c>
      <c r="F4375" s="24"/>
      <c r="G4375" s="24"/>
    </row>
    <row r="4376" spans="1:7" x14ac:dyDescent="0.25">
      <c r="A4376" s="24" t="s">
        <v>548</v>
      </c>
      <c r="B4376" s="24" t="s">
        <v>29</v>
      </c>
      <c r="C4376" s="24" t="s">
        <v>5</v>
      </c>
      <c r="D4376" s="24">
        <v>0</v>
      </c>
      <c r="E4376" s="24" t="s">
        <v>994</v>
      </c>
      <c r="F4376" s="24"/>
      <c r="G4376" s="24"/>
    </row>
    <row r="4377" spans="1:7" x14ac:dyDescent="0.25">
      <c r="A4377" s="24" t="s">
        <v>548</v>
      </c>
      <c r="B4377" s="24" t="s">
        <v>30</v>
      </c>
      <c r="C4377" s="24" t="s">
        <v>31</v>
      </c>
      <c r="D4377" s="24">
        <v>0</v>
      </c>
      <c r="E4377" s="24" t="s">
        <v>801</v>
      </c>
      <c r="F4377" s="24" t="s">
        <v>1105</v>
      </c>
      <c r="G4377" s="24">
        <v>169655</v>
      </c>
    </row>
    <row r="4378" spans="1:7" x14ac:dyDescent="0.25">
      <c r="A4378" s="24" t="s">
        <v>548</v>
      </c>
      <c r="B4378" s="24" t="s">
        <v>32</v>
      </c>
      <c r="C4378" s="24" t="s">
        <v>33</v>
      </c>
      <c r="D4378" s="24">
        <v>0</v>
      </c>
      <c r="E4378" s="24" t="s">
        <v>796</v>
      </c>
      <c r="F4378" s="24" t="s">
        <v>1105</v>
      </c>
      <c r="G4378" s="24">
        <v>169655</v>
      </c>
    </row>
    <row r="4379" spans="1:7" x14ac:dyDescent="0.25">
      <c r="A4379" s="24" t="s">
        <v>548</v>
      </c>
      <c r="B4379" s="24" t="s">
        <v>34</v>
      </c>
      <c r="C4379" s="24" t="s">
        <v>31</v>
      </c>
      <c r="D4379" s="24">
        <v>0</v>
      </c>
      <c r="E4379" s="24" t="s">
        <v>796</v>
      </c>
      <c r="F4379" s="24" t="s">
        <v>1105</v>
      </c>
      <c r="G4379" s="24">
        <v>169655</v>
      </c>
    </row>
    <row r="4380" spans="1:7" x14ac:dyDescent="0.25">
      <c r="A4380" s="24" t="s">
        <v>548</v>
      </c>
      <c r="B4380" s="24" t="s">
        <v>35</v>
      </c>
      <c r="C4380" s="24" t="s">
        <v>36</v>
      </c>
      <c r="D4380" s="24">
        <v>0</v>
      </c>
      <c r="E4380" s="24" t="s">
        <v>796</v>
      </c>
      <c r="F4380" s="24" t="s">
        <v>1105</v>
      </c>
      <c r="G4380" s="24">
        <v>169655</v>
      </c>
    </row>
    <row r="4381" spans="1:7" x14ac:dyDescent="0.25">
      <c r="A4381" s="24" t="s">
        <v>548</v>
      </c>
      <c r="B4381" s="24" t="s">
        <v>37</v>
      </c>
      <c r="C4381" s="24" t="s">
        <v>38</v>
      </c>
      <c r="D4381" s="24">
        <v>0</v>
      </c>
      <c r="E4381" s="24" t="s">
        <v>796</v>
      </c>
      <c r="F4381" s="24" t="s">
        <v>1105</v>
      </c>
      <c r="G4381" s="24">
        <v>169655</v>
      </c>
    </row>
    <row r="4382" spans="1:7" x14ac:dyDescent="0.25">
      <c r="A4382" s="24" t="s">
        <v>548</v>
      </c>
      <c r="B4382" s="24" t="s">
        <v>39</v>
      </c>
      <c r="C4382" s="24" t="s">
        <v>36</v>
      </c>
      <c r="D4382" s="24">
        <v>0</v>
      </c>
      <c r="E4382" s="24" t="s">
        <v>796</v>
      </c>
      <c r="F4382" s="24" t="s">
        <v>1105</v>
      </c>
      <c r="G4382" s="24">
        <v>169655</v>
      </c>
    </row>
    <row r="4383" spans="1:7" x14ac:dyDescent="0.25">
      <c r="A4383" s="24" t="s">
        <v>548</v>
      </c>
      <c r="B4383" s="24" t="s">
        <v>40</v>
      </c>
      <c r="C4383" s="24" t="s">
        <v>31</v>
      </c>
      <c r="D4383" s="24">
        <v>0</v>
      </c>
      <c r="E4383" s="24" t="s">
        <v>796</v>
      </c>
      <c r="F4383" s="24" t="s">
        <v>1105</v>
      </c>
      <c r="G4383" s="24">
        <v>169655</v>
      </c>
    </row>
    <row r="4384" spans="1:7" x14ac:dyDescent="0.25">
      <c r="A4384" s="24" t="s">
        <v>548</v>
      </c>
      <c r="B4384" s="24" t="s">
        <v>41</v>
      </c>
      <c r="C4384" s="24" t="s">
        <v>31</v>
      </c>
      <c r="D4384" s="24">
        <v>0</v>
      </c>
      <c r="E4384" s="24" t="s">
        <v>796</v>
      </c>
      <c r="F4384" s="24" t="s">
        <v>1105</v>
      </c>
      <c r="G4384" s="24">
        <v>169655</v>
      </c>
    </row>
    <row r="4385" spans="1:7" x14ac:dyDescent="0.25">
      <c r="A4385" s="24" t="s">
        <v>548</v>
      </c>
      <c r="B4385" s="24" t="s">
        <v>42</v>
      </c>
      <c r="C4385" s="24" t="s">
        <v>43</v>
      </c>
      <c r="D4385" s="24">
        <v>0</v>
      </c>
      <c r="E4385" s="24" t="s">
        <v>796</v>
      </c>
      <c r="F4385" s="24" t="s">
        <v>1105</v>
      </c>
      <c r="G4385" s="24">
        <v>169655</v>
      </c>
    </row>
    <row r="4386" spans="1:7" x14ac:dyDescent="0.25">
      <c r="A4386" s="24" t="s">
        <v>548</v>
      </c>
      <c r="B4386" s="24" t="s">
        <v>44</v>
      </c>
      <c r="C4386" s="24" t="s">
        <v>31</v>
      </c>
      <c r="D4386" s="24">
        <v>0</v>
      </c>
      <c r="E4386" s="24" t="s">
        <v>796</v>
      </c>
      <c r="F4386" s="24" t="s">
        <v>1105</v>
      </c>
      <c r="G4386" s="24">
        <v>169655</v>
      </c>
    </row>
    <row r="4387" spans="1:7" x14ac:dyDescent="0.25">
      <c r="A4387" s="24" t="s">
        <v>548</v>
      </c>
      <c r="B4387" s="24" t="s">
        <v>45</v>
      </c>
      <c r="C4387" s="24" t="s">
        <v>31</v>
      </c>
      <c r="D4387" s="24">
        <v>0</v>
      </c>
      <c r="E4387" s="24" t="s">
        <v>796</v>
      </c>
      <c r="F4387" s="24" t="s">
        <v>1105</v>
      </c>
      <c r="G4387" s="24">
        <v>169655</v>
      </c>
    </row>
    <row r="4388" spans="1:7" x14ac:dyDescent="0.25">
      <c r="A4388" s="24" t="s">
        <v>548</v>
      </c>
      <c r="B4388" s="24" t="s">
        <v>46</v>
      </c>
      <c r="C4388" s="24" t="s">
        <v>36</v>
      </c>
      <c r="D4388" s="24">
        <v>0</v>
      </c>
      <c r="E4388" s="24" t="s">
        <v>796</v>
      </c>
      <c r="F4388" s="24" t="s">
        <v>1105</v>
      </c>
      <c r="G4388" s="24">
        <v>169655</v>
      </c>
    </row>
    <row r="4389" spans="1:7" x14ac:dyDescent="0.25">
      <c r="A4389" s="24" t="s">
        <v>548</v>
      </c>
      <c r="B4389" s="24" t="s">
        <v>47</v>
      </c>
      <c r="C4389" s="24" t="s">
        <v>48</v>
      </c>
      <c r="D4389" s="24">
        <v>0</v>
      </c>
      <c r="E4389" s="24" t="s">
        <v>796</v>
      </c>
      <c r="F4389" s="24" t="s">
        <v>1105</v>
      </c>
      <c r="G4389" s="24">
        <v>169655</v>
      </c>
    </row>
    <row r="4390" spans="1:7" x14ac:dyDescent="0.25">
      <c r="A4390" s="24" t="s">
        <v>548</v>
      </c>
      <c r="B4390" s="24" t="s">
        <v>49</v>
      </c>
      <c r="C4390" s="24" t="s">
        <v>31</v>
      </c>
      <c r="D4390" s="24">
        <v>1</v>
      </c>
      <c r="E4390" s="24" t="s">
        <v>796</v>
      </c>
      <c r="F4390" s="24" t="s">
        <v>1105</v>
      </c>
      <c r="G4390" s="24">
        <v>169655</v>
      </c>
    </row>
    <row r="4391" spans="1:7" x14ac:dyDescent="0.25">
      <c r="A4391" s="24" t="s">
        <v>548</v>
      </c>
      <c r="B4391" s="24" t="s">
        <v>50</v>
      </c>
      <c r="C4391" s="24" t="s">
        <v>31</v>
      </c>
      <c r="D4391" s="24">
        <v>2</v>
      </c>
      <c r="E4391" s="24" t="s">
        <v>796</v>
      </c>
      <c r="F4391" s="24" t="s">
        <v>1105</v>
      </c>
      <c r="G4391" s="24">
        <v>169655</v>
      </c>
    </row>
    <row r="4392" spans="1:7" x14ac:dyDescent="0.25">
      <c r="A4392" s="24" t="s">
        <v>548</v>
      </c>
      <c r="B4392" s="24" t="s">
        <v>51</v>
      </c>
      <c r="C4392" s="24" t="s">
        <v>31</v>
      </c>
      <c r="D4392" s="24">
        <v>1</v>
      </c>
      <c r="E4392" s="24" t="s">
        <v>796</v>
      </c>
      <c r="F4392" s="24" t="s">
        <v>1105</v>
      </c>
      <c r="G4392" s="24">
        <v>169655</v>
      </c>
    </row>
    <row r="4393" spans="1:7" x14ac:dyDescent="0.25">
      <c r="A4393" s="24" t="s">
        <v>548</v>
      </c>
      <c r="B4393" s="24" t="s">
        <v>52</v>
      </c>
      <c r="C4393" s="24" t="s">
        <v>31</v>
      </c>
      <c r="D4393" s="24">
        <v>0</v>
      </c>
      <c r="E4393" s="24" t="s">
        <v>796</v>
      </c>
      <c r="F4393" s="24" t="s">
        <v>1105</v>
      </c>
      <c r="G4393" s="24">
        <v>169655</v>
      </c>
    </row>
    <row r="4394" spans="1:7" x14ac:dyDescent="0.25">
      <c r="A4394" s="24" t="s">
        <v>548</v>
      </c>
      <c r="B4394" s="24" t="s">
        <v>53</v>
      </c>
      <c r="C4394" s="24" t="s">
        <v>31</v>
      </c>
      <c r="D4394" s="24">
        <v>0</v>
      </c>
      <c r="E4394" s="24" t="s">
        <v>796</v>
      </c>
      <c r="F4394" s="24" t="s">
        <v>1105</v>
      </c>
      <c r="G4394" s="24">
        <v>169655</v>
      </c>
    </row>
    <row r="4395" spans="1:7" x14ac:dyDescent="0.25">
      <c r="A4395" s="24" t="s">
        <v>548</v>
      </c>
      <c r="B4395" s="24" t="s">
        <v>54</v>
      </c>
      <c r="C4395" s="24" t="s">
        <v>31</v>
      </c>
      <c r="D4395" s="24">
        <v>0</v>
      </c>
      <c r="E4395" s="24" t="s">
        <v>796</v>
      </c>
      <c r="F4395" s="24" t="s">
        <v>1105</v>
      </c>
      <c r="G4395" s="24">
        <v>169655</v>
      </c>
    </row>
    <row r="4396" spans="1:7" x14ac:dyDescent="0.25">
      <c r="A4396" s="24" t="s">
        <v>548</v>
      </c>
      <c r="B4396" s="24" t="s">
        <v>55</v>
      </c>
      <c r="C4396" s="24" t="s">
        <v>31</v>
      </c>
      <c r="D4396" s="24">
        <v>0</v>
      </c>
      <c r="E4396" s="24" t="s">
        <v>796</v>
      </c>
      <c r="F4396" s="24" t="s">
        <v>1105</v>
      </c>
      <c r="G4396" s="24">
        <v>169655</v>
      </c>
    </row>
    <row r="4397" spans="1:7" x14ac:dyDescent="0.25">
      <c r="A4397" s="24" t="s">
        <v>548</v>
      </c>
      <c r="B4397" s="24" t="s">
        <v>56</v>
      </c>
      <c r="C4397" s="24" t="s">
        <v>31</v>
      </c>
      <c r="D4397" s="24">
        <v>0</v>
      </c>
      <c r="E4397" s="24" t="s">
        <v>796</v>
      </c>
      <c r="F4397" s="24" t="s">
        <v>1105</v>
      </c>
      <c r="G4397" s="24">
        <v>169655</v>
      </c>
    </row>
    <row r="4398" spans="1:7" x14ac:dyDescent="0.25">
      <c r="A4398" s="24" t="s">
        <v>548</v>
      </c>
      <c r="B4398" s="24" t="s">
        <v>57</v>
      </c>
      <c r="C4398" s="24" t="s">
        <v>36</v>
      </c>
      <c r="D4398" s="24">
        <v>0.6</v>
      </c>
      <c r="E4398" s="24" t="s">
        <v>796</v>
      </c>
      <c r="F4398" s="24" t="s">
        <v>1105</v>
      </c>
      <c r="G4398" s="24">
        <v>169655</v>
      </c>
    </row>
    <row r="4399" spans="1:7" x14ac:dyDescent="0.25">
      <c r="A4399" s="24" t="s">
        <v>548</v>
      </c>
      <c r="B4399" s="24" t="s">
        <v>58</v>
      </c>
      <c r="C4399" s="24" t="s">
        <v>5</v>
      </c>
      <c r="D4399" s="24">
        <v>0</v>
      </c>
      <c r="E4399" s="24" t="s">
        <v>795</v>
      </c>
      <c r="F4399" s="24"/>
      <c r="G4399" s="24"/>
    </row>
    <row r="4400" spans="1:7" x14ac:dyDescent="0.25">
      <c r="A4400" s="24" t="s">
        <v>549</v>
      </c>
      <c r="B4400" s="24" t="s">
        <v>23</v>
      </c>
      <c r="C4400" s="24" t="s">
        <v>5</v>
      </c>
      <c r="D4400" s="24">
        <v>99.7</v>
      </c>
      <c r="E4400" s="24" t="s">
        <v>796</v>
      </c>
      <c r="F4400" s="24" t="s">
        <v>1105</v>
      </c>
      <c r="G4400" s="24">
        <v>169655</v>
      </c>
    </row>
    <row r="4401" spans="1:7" x14ac:dyDescent="0.25">
      <c r="A4401" s="24" t="s">
        <v>549</v>
      </c>
      <c r="B4401" s="24" t="s">
        <v>26</v>
      </c>
      <c r="C4401" s="24" t="s">
        <v>5</v>
      </c>
      <c r="D4401" s="24">
        <v>0</v>
      </c>
      <c r="E4401" s="24" t="s">
        <v>994</v>
      </c>
      <c r="F4401" s="24"/>
      <c r="G4401" s="24"/>
    </row>
    <row r="4402" spans="1:7" x14ac:dyDescent="0.25">
      <c r="A4402" s="24" t="s">
        <v>549</v>
      </c>
      <c r="B4402" s="24" t="s">
        <v>27</v>
      </c>
      <c r="C4402" s="24" t="s">
        <v>5</v>
      </c>
      <c r="D4402" s="24">
        <v>0</v>
      </c>
      <c r="E4402" s="24" t="s">
        <v>994</v>
      </c>
      <c r="F4402" s="24"/>
      <c r="G4402" s="24"/>
    </row>
    <row r="4403" spans="1:7" x14ac:dyDescent="0.25">
      <c r="A4403" s="24" t="s">
        <v>549</v>
      </c>
      <c r="B4403" s="24" t="s">
        <v>28</v>
      </c>
      <c r="C4403" s="24" t="s">
        <v>5</v>
      </c>
      <c r="D4403" s="24">
        <v>0</v>
      </c>
      <c r="E4403" s="24" t="s">
        <v>994</v>
      </c>
      <c r="F4403" s="24"/>
      <c r="G4403" s="24"/>
    </row>
    <row r="4404" spans="1:7" x14ac:dyDescent="0.25">
      <c r="A4404" s="24" t="s">
        <v>549</v>
      </c>
      <c r="B4404" s="24" t="s">
        <v>29</v>
      </c>
      <c r="C4404" s="24" t="s">
        <v>5</v>
      </c>
      <c r="D4404" s="24">
        <v>0</v>
      </c>
      <c r="E4404" s="24" t="s">
        <v>994</v>
      </c>
      <c r="F4404" s="24"/>
      <c r="G4404" s="24"/>
    </row>
    <row r="4405" spans="1:7" x14ac:dyDescent="0.25">
      <c r="A4405" s="24" t="s">
        <v>549</v>
      </c>
      <c r="B4405" s="24" t="s">
        <v>30</v>
      </c>
      <c r="C4405" s="24" t="s">
        <v>31</v>
      </c>
      <c r="D4405" s="24">
        <v>0</v>
      </c>
      <c r="E4405" s="24" t="s">
        <v>801</v>
      </c>
      <c r="F4405" s="24" t="s">
        <v>1105</v>
      </c>
      <c r="G4405" s="24">
        <v>169655</v>
      </c>
    </row>
    <row r="4406" spans="1:7" x14ac:dyDescent="0.25">
      <c r="A4406" s="24" t="s">
        <v>549</v>
      </c>
      <c r="B4406" s="24" t="s">
        <v>32</v>
      </c>
      <c r="C4406" s="24" t="s">
        <v>33</v>
      </c>
      <c r="D4406" s="24">
        <v>0</v>
      </c>
      <c r="E4406" s="24" t="s">
        <v>796</v>
      </c>
      <c r="F4406" s="24" t="s">
        <v>1105</v>
      </c>
      <c r="G4406" s="24">
        <v>169655</v>
      </c>
    </row>
    <row r="4407" spans="1:7" x14ac:dyDescent="0.25">
      <c r="A4407" s="24" t="s">
        <v>549</v>
      </c>
      <c r="B4407" s="24" t="s">
        <v>34</v>
      </c>
      <c r="C4407" s="24" t="s">
        <v>31</v>
      </c>
      <c r="D4407" s="24">
        <v>0</v>
      </c>
      <c r="E4407" s="24" t="s">
        <v>796</v>
      </c>
      <c r="F4407" s="24" t="s">
        <v>1105</v>
      </c>
      <c r="G4407" s="24">
        <v>169655</v>
      </c>
    </row>
    <row r="4408" spans="1:7" x14ac:dyDescent="0.25">
      <c r="A4408" s="24" t="s">
        <v>549</v>
      </c>
      <c r="B4408" s="24" t="s">
        <v>35</v>
      </c>
      <c r="C4408" s="24" t="s">
        <v>36</v>
      </c>
      <c r="D4408" s="24">
        <v>0</v>
      </c>
      <c r="E4408" s="24" t="s">
        <v>796</v>
      </c>
      <c r="F4408" s="24" t="s">
        <v>1105</v>
      </c>
      <c r="G4408" s="24">
        <v>169655</v>
      </c>
    </row>
    <row r="4409" spans="1:7" x14ac:dyDescent="0.25">
      <c r="A4409" s="24" t="s">
        <v>549</v>
      </c>
      <c r="B4409" s="24" t="s">
        <v>37</v>
      </c>
      <c r="C4409" s="24" t="s">
        <v>38</v>
      </c>
      <c r="D4409" s="24">
        <v>0</v>
      </c>
      <c r="E4409" s="24" t="s">
        <v>796</v>
      </c>
      <c r="F4409" s="24" t="s">
        <v>1105</v>
      </c>
      <c r="G4409" s="24">
        <v>169655</v>
      </c>
    </row>
    <row r="4410" spans="1:7" x14ac:dyDescent="0.25">
      <c r="A4410" s="24" t="s">
        <v>549</v>
      </c>
      <c r="B4410" s="24" t="s">
        <v>39</v>
      </c>
      <c r="C4410" s="24" t="s">
        <v>36</v>
      </c>
      <c r="D4410" s="24">
        <v>0</v>
      </c>
      <c r="E4410" s="24" t="s">
        <v>796</v>
      </c>
      <c r="F4410" s="24" t="s">
        <v>1105</v>
      </c>
      <c r="G4410" s="24">
        <v>169655</v>
      </c>
    </row>
    <row r="4411" spans="1:7" x14ac:dyDescent="0.25">
      <c r="A4411" s="24" t="s">
        <v>549</v>
      </c>
      <c r="B4411" s="24" t="s">
        <v>40</v>
      </c>
      <c r="C4411" s="24" t="s">
        <v>31</v>
      </c>
      <c r="D4411" s="24">
        <v>0</v>
      </c>
      <c r="E4411" s="24" t="s">
        <v>796</v>
      </c>
      <c r="F4411" s="24" t="s">
        <v>1105</v>
      </c>
      <c r="G4411" s="24">
        <v>169655</v>
      </c>
    </row>
    <row r="4412" spans="1:7" x14ac:dyDescent="0.25">
      <c r="A4412" s="24" t="s">
        <v>549</v>
      </c>
      <c r="B4412" s="24" t="s">
        <v>41</v>
      </c>
      <c r="C4412" s="24" t="s">
        <v>31</v>
      </c>
      <c r="D4412" s="24">
        <v>0</v>
      </c>
      <c r="E4412" s="24" t="s">
        <v>796</v>
      </c>
      <c r="F4412" s="24" t="s">
        <v>1105</v>
      </c>
      <c r="G4412" s="24">
        <v>169655</v>
      </c>
    </row>
    <row r="4413" spans="1:7" x14ac:dyDescent="0.25">
      <c r="A4413" s="24" t="s">
        <v>549</v>
      </c>
      <c r="B4413" s="24" t="s">
        <v>42</v>
      </c>
      <c r="C4413" s="24" t="s">
        <v>43</v>
      </c>
      <c r="D4413" s="24">
        <v>0</v>
      </c>
      <c r="E4413" s="24" t="s">
        <v>796</v>
      </c>
      <c r="F4413" s="24" t="s">
        <v>1105</v>
      </c>
      <c r="G4413" s="24">
        <v>169655</v>
      </c>
    </row>
    <row r="4414" spans="1:7" x14ac:dyDescent="0.25">
      <c r="A4414" s="24" t="s">
        <v>549</v>
      </c>
      <c r="B4414" s="24" t="s">
        <v>44</v>
      </c>
      <c r="C4414" s="24" t="s">
        <v>31</v>
      </c>
      <c r="D4414" s="24">
        <v>0</v>
      </c>
      <c r="E4414" s="24" t="s">
        <v>796</v>
      </c>
      <c r="F4414" s="24" t="s">
        <v>1105</v>
      </c>
      <c r="G4414" s="24">
        <v>169655</v>
      </c>
    </row>
    <row r="4415" spans="1:7" x14ac:dyDescent="0.25">
      <c r="A4415" s="24" t="s">
        <v>549</v>
      </c>
      <c r="B4415" s="24" t="s">
        <v>45</v>
      </c>
      <c r="C4415" s="24" t="s">
        <v>31</v>
      </c>
      <c r="D4415" s="24">
        <v>0</v>
      </c>
      <c r="E4415" s="24" t="s">
        <v>796</v>
      </c>
      <c r="F4415" s="24" t="s">
        <v>1105</v>
      </c>
      <c r="G4415" s="24">
        <v>169655</v>
      </c>
    </row>
    <row r="4416" spans="1:7" x14ac:dyDescent="0.25">
      <c r="A4416" s="24" t="s">
        <v>549</v>
      </c>
      <c r="B4416" s="24" t="s">
        <v>46</v>
      </c>
      <c r="C4416" s="24" t="s">
        <v>36</v>
      </c>
      <c r="D4416" s="24">
        <v>0</v>
      </c>
      <c r="E4416" s="24" t="s">
        <v>796</v>
      </c>
      <c r="F4416" s="24" t="s">
        <v>1105</v>
      </c>
      <c r="G4416" s="24">
        <v>169655</v>
      </c>
    </row>
    <row r="4417" spans="1:7" x14ac:dyDescent="0.25">
      <c r="A4417" s="24" t="s">
        <v>549</v>
      </c>
      <c r="B4417" s="24" t="s">
        <v>47</v>
      </c>
      <c r="C4417" s="24" t="s">
        <v>48</v>
      </c>
      <c r="D4417" s="24">
        <v>0</v>
      </c>
      <c r="E4417" s="24" t="s">
        <v>796</v>
      </c>
      <c r="F4417" s="24" t="s">
        <v>1105</v>
      </c>
      <c r="G4417" s="24">
        <v>169655</v>
      </c>
    </row>
    <row r="4418" spans="1:7" x14ac:dyDescent="0.25">
      <c r="A4418" s="24" t="s">
        <v>549</v>
      </c>
      <c r="B4418" s="24" t="s">
        <v>49</v>
      </c>
      <c r="C4418" s="24" t="s">
        <v>31</v>
      </c>
      <c r="D4418" s="24">
        <v>1</v>
      </c>
      <c r="E4418" s="24" t="s">
        <v>796</v>
      </c>
      <c r="F4418" s="24" t="s">
        <v>1105</v>
      </c>
      <c r="G4418" s="24">
        <v>169655</v>
      </c>
    </row>
    <row r="4419" spans="1:7" x14ac:dyDescent="0.25">
      <c r="A4419" s="24" t="s">
        <v>549</v>
      </c>
      <c r="B4419" s="24" t="s">
        <v>50</v>
      </c>
      <c r="C4419" s="24" t="s">
        <v>31</v>
      </c>
      <c r="D4419" s="24">
        <v>2</v>
      </c>
      <c r="E4419" s="24" t="s">
        <v>796</v>
      </c>
      <c r="F4419" s="24" t="s">
        <v>1105</v>
      </c>
      <c r="G4419" s="24">
        <v>169655</v>
      </c>
    </row>
    <row r="4420" spans="1:7" x14ac:dyDescent="0.25">
      <c r="A4420" s="24" t="s">
        <v>549</v>
      </c>
      <c r="B4420" s="24" t="s">
        <v>51</v>
      </c>
      <c r="C4420" s="24" t="s">
        <v>31</v>
      </c>
      <c r="D4420" s="24">
        <v>1</v>
      </c>
      <c r="E4420" s="24" t="s">
        <v>796</v>
      </c>
      <c r="F4420" s="24" t="s">
        <v>1105</v>
      </c>
      <c r="G4420" s="24">
        <v>169655</v>
      </c>
    </row>
    <row r="4421" spans="1:7" x14ac:dyDescent="0.25">
      <c r="A4421" s="24" t="s">
        <v>549</v>
      </c>
      <c r="B4421" s="24" t="s">
        <v>52</v>
      </c>
      <c r="C4421" s="24" t="s">
        <v>31</v>
      </c>
      <c r="D4421" s="24">
        <v>0</v>
      </c>
      <c r="E4421" s="24" t="s">
        <v>796</v>
      </c>
      <c r="F4421" s="24" t="s">
        <v>1105</v>
      </c>
      <c r="G4421" s="24">
        <v>169655</v>
      </c>
    </row>
    <row r="4422" spans="1:7" x14ac:dyDescent="0.25">
      <c r="A4422" s="24" t="s">
        <v>549</v>
      </c>
      <c r="B4422" s="24" t="s">
        <v>53</v>
      </c>
      <c r="C4422" s="24" t="s">
        <v>31</v>
      </c>
      <c r="D4422" s="24">
        <v>0</v>
      </c>
      <c r="E4422" s="24" t="s">
        <v>796</v>
      </c>
      <c r="F4422" s="24" t="s">
        <v>1105</v>
      </c>
      <c r="G4422" s="24">
        <v>169655</v>
      </c>
    </row>
    <row r="4423" spans="1:7" x14ac:dyDescent="0.25">
      <c r="A4423" s="24" t="s">
        <v>549</v>
      </c>
      <c r="B4423" s="24" t="s">
        <v>54</v>
      </c>
      <c r="C4423" s="24" t="s">
        <v>31</v>
      </c>
      <c r="D4423" s="24">
        <v>0</v>
      </c>
      <c r="E4423" s="24" t="s">
        <v>796</v>
      </c>
      <c r="F4423" s="24" t="s">
        <v>1105</v>
      </c>
      <c r="G4423" s="24">
        <v>169655</v>
      </c>
    </row>
    <row r="4424" spans="1:7" x14ac:dyDescent="0.25">
      <c r="A4424" s="24" t="s">
        <v>549</v>
      </c>
      <c r="B4424" s="24" t="s">
        <v>55</v>
      </c>
      <c r="C4424" s="24" t="s">
        <v>31</v>
      </c>
      <c r="D4424" s="24">
        <v>0</v>
      </c>
      <c r="E4424" s="24" t="s">
        <v>796</v>
      </c>
      <c r="F4424" s="24" t="s">
        <v>1105</v>
      </c>
      <c r="G4424" s="24">
        <v>169655</v>
      </c>
    </row>
    <row r="4425" spans="1:7" x14ac:dyDescent="0.25">
      <c r="A4425" s="24" t="s">
        <v>549</v>
      </c>
      <c r="B4425" s="24" t="s">
        <v>56</v>
      </c>
      <c r="C4425" s="24" t="s">
        <v>31</v>
      </c>
      <c r="D4425" s="24">
        <v>0</v>
      </c>
      <c r="E4425" s="24" t="s">
        <v>796</v>
      </c>
      <c r="F4425" s="24" t="s">
        <v>1105</v>
      </c>
      <c r="G4425" s="24">
        <v>169655</v>
      </c>
    </row>
    <row r="4426" spans="1:7" x14ac:dyDescent="0.25">
      <c r="A4426" s="24" t="s">
        <v>549</v>
      </c>
      <c r="B4426" s="24" t="s">
        <v>57</v>
      </c>
      <c r="C4426" s="24" t="s">
        <v>36</v>
      </c>
      <c r="D4426" s="24">
        <v>0.6</v>
      </c>
      <c r="E4426" s="24" t="s">
        <v>796</v>
      </c>
      <c r="F4426" s="24" t="s">
        <v>1105</v>
      </c>
      <c r="G4426" s="24">
        <v>169655</v>
      </c>
    </row>
    <row r="4427" spans="1:7" x14ac:dyDescent="0.25">
      <c r="A4427" s="24" t="s">
        <v>549</v>
      </c>
      <c r="B4427" s="24" t="s">
        <v>58</v>
      </c>
      <c r="C4427" s="24" t="s">
        <v>5</v>
      </c>
      <c r="D4427" s="24">
        <v>0</v>
      </c>
      <c r="E4427" s="24" t="s">
        <v>795</v>
      </c>
      <c r="F4427" s="24"/>
      <c r="G4427" s="24"/>
    </row>
    <row r="4428" spans="1:7" x14ac:dyDescent="0.25">
      <c r="A4428" s="24" t="s">
        <v>550</v>
      </c>
      <c r="B4428" s="24" t="s">
        <v>32</v>
      </c>
      <c r="C4428" s="24" t="s">
        <v>33</v>
      </c>
      <c r="D4428" s="24">
        <v>0</v>
      </c>
      <c r="E4428" s="24" t="s">
        <v>796</v>
      </c>
      <c r="F4428" s="24" t="s">
        <v>1106</v>
      </c>
      <c r="G4428" s="24">
        <v>169640</v>
      </c>
    </row>
    <row r="4429" spans="1:7" x14ac:dyDescent="0.25">
      <c r="A4429" s="24" t="s">
        <v>550</v>
      </c>
      <c r="B4429" s="24" t="s">
        <v>34</v>
      </c>
      <c r="C4429" s="24" t="s">
        <v>31</v>
      </c>
      <c r="D4429" s="24">
        <v>0.5</v>
      </c>
      <c r="E4429" s="24" t="s">
        <v>796</v>
      </c>
      <c r="F4429" s="24" t="s">
        <v>1106</v>
      </c>
      <c r="G4429" s="24">
        <v>169640</v>
      </c>
    </row>
    <row r="4430" spans="1:7" x14ac:dyDescent="0.25">
      <c r="A4430" s="24" t="s">
        <v>550</v>
      </c>
      <c r="B4430" s="24" t="s">
        <v>35</v>
      </c>
      <c r="C4430" s="24" t="s">
        <v>36</v>
      </c>
      <c r="D4430" s="24">
        <v>0</v>
      </c>
      <c r="E4430" s="24" t="s">
        <v>796</v>
      </c>
      <c r="F4430" s="24" t="s">
        <v>1106</v>
      </c>
      <c r="G4430" s="24">
        <v>169640</v>
      </c>
    </row>
    <row r="4431" spans="1:7" x14ac:dyDescent="0.25">
      <c r="A4431" s="24" t="s">
        <v>550</v>
      </c>
      <c r="B4431" s="24" t="s">
        <v>37</v>
      </c>
      <c r="C4431" s="24" t="s">
        <v>38</v>
      </c>
      <c r="D4431" s="24">
        <v>0</v>
      </c>
      <c r="E4431" s="24" t="s">
        <v>796</v>
      </c>
      <c r="F4431" s="24" t="s">
        <v>1106</v>
      </c>
      <c r="G4431" s="24">
        <v>169640</v>
      </c>
    </row>
    <row r="4432" spans="1:7" x14ac:dyDescent="0.25">
      <c r="A4432" s="24" t="s">
        <v>550</v>
      </c>
      <c r="B4432" s="24" t="s">
        <v>39</v>
      </c>
      <c r="C4432" s="24" t="s">
        <v>36</v>
      </c>
      <c r="D4432" s="24">
        <v>0</v>
      </c>
      <c r="E4432" s="24" t="s">
        <v>796</v>
      </c>
      <c r="F4432" s="24" t="s">
        <v>1106</v>
      </c>
      <c r="G4432" s="24">
        <v>169640</v>
      </c>
    </row>
    <row r="4433" spans="1:7" x14ac:dyDescent="0.25">
      <c r="A4433" s="24" t="s">
        <v>550</v>
      </c>
      <c r="B4433" s="24" t="s">
        <v>40</v>
      </c>
      <c r="C4433" s="24" t="s">
        <v>31</v>
      </c>
      <c r="D4433" s="24">
        <v>0</v>
      </c>
      <c r="E4433" s="24" t="s">
        <v>796</v>
      </c>
      <c r="F4433" s="24" t="s">
        <v>1106</v>
      </c>
      <c r="G4433" s="24">
        <v>169640</v>
      </c>
    </row>
    <row r="4434" spans="1:7" x14ac:dyDescent="0.25">
      <c r="A4434" s="24" t="s">
        <v>550</v>
      </c>
      <c r="B4434" s="24" t="s">
        <v>41</v>
      </c>
      <c r="C4434" s="24" t="s">
        <v>31</v>
      </c>
      <c r="D4434" s="24">
        <v>0</v>
      </c>
      <c r="E4434" s="24" t="s">
        <v>796</v>
      </c>
      <c r="F4434" s="24" t="s">
        <v>1106</v>
      </c>
      <c r="G4434" s="24">
        <v>169640</v>
      </c>
    </row>
    <row r="4435" spans="1:7" x14ac:dyDescent="0.25">
      <c r="A4435" s="24" t="s">
        <v>550</v>
      </c>
      <c r="B4435" s="24" t="s">
        <v>42</v>
      </c>
      <c r="C4435" s="24" t="s">
        <v>43</v>
      </c>
      <c r="D4435" s="24">
        <v>0.1</v>
      </c>
      <c r="E4435" s="24" t="s">
        <v>796</v>
      </c>
      <c r="F4435" s="24" t="s">
        <v>1106</v>
      </c>
      <c r="G4435" s="24">
        <v>169640</v>
      </c>
    </row>
    <row r="4436" spans="1:7" x14ac:dyDescent="0.25">
      <c r="A4436" s="24" t="s">
        <v>550</v>
      </c>
      <c r="B4436" s="24" t="s">
        <v>44</v>
      </c>
      <c r="C4436" s="24" t="s">
        <v>31</v>
      </c>
      <c r="D4436" s="24">
        <v>0</v>
      </c>
      <c r="E4436" s="24" t="s">
        <v>796</v>
      </c>
      <c r="F4436" s="24" t="s">
        <v>1106</v>
      </c>
      <c r="G4436" s="24">
        <v>169640</v>
      </c>
    </row>
    <row r="4437" spans="1:7" x14ac:dyDescent="0.25">
      <c r="A4437" s="24" t="s">
        <v>550</v>
      </c>
      <c r="B4437" s="24" t="s">
        <v>45</v>
      </c>
      <c r="C4437" s="24" t="s">
        <v>31</v>
      </c>
      <c r="D4437" s="24">
        <v>0.1</v>
      </c>
      <c r="E4437" s="24" t="s">
        <v>796</v>
      </c>
      <c r="F4437" s="24" t="s">
        <v>1106</v>
      </c>
      <c r="G4437" s="24">
        <v>169640</v>
      </c>
    </row>
    <row r="4438" spans="1:7" x14ac:dyDescent="0.25">
      <c r="A4438" s="24" t="s">
        <v>550</v>
      </c>
      <c r="B4438" s="24" t="s">
        <v>46</v>
      </c>
      <c r="C4438" s="24" t="s">
        <v>36</v>
      </c>
      <c r="D4438" s="24">
        <v>0</v>
      </c>
      <c r="E4438" s="24" t="s">
        <v>796</v>
      </c>
      <c r="F4438" s="24" t="s">
        <v>1106</v>
      </c>
      <c r="G4438" s="24">
        <v>169640</v>
      </c>
    </row>
    <row r="4439" spans="1:7" x14ac:dyDescent="0.25">
      <c r="A4439" s="24" t="s">
        <v>550</v>
      </c>
      <c r="B4439" s="24" t="s">
        <v>47</v>
      </c>
      <c r="C4439" s="24" t="s">
        <v>48</v>
      </c>
      <c r="D4439" s="24">
        <v>2</v>
      </c>
      <c r="E4439" s="24" t="s">
        <v>796</v>
      </c>
      <c r="F4439" s="24" t="s">
        <v>1106</v>
      </c>
      <c r="G4439" s="24">
        <v>169640</v>
      </c>
    </row>
    <row r="4440" spans="1:7" x14ac:dyDescent="0.25">
      <c r="A4440" s="24" t="s">
        <v>550</v>
      </c>
      <c r="B4440" s="24" t="s">
        <v>50</v>
      </c>
      <c r="C4440" s="24" t="s">
        <v>31</v>
      </c>
      <c r="D4440" s="24">
        <v>52.4</v>
      </c>
      <c r="E4440" s="24" t="s">
        <v>796</v>
      </c>
      <c r="F4440" s="24" t="s">
        <v>1106</v>
      </c>
      <c r="G4440" s="24">
        <v>169640</v>
      </c>
    </row>
    <row r="4441" spans="1:7" x14ac:dyDescent="0.25">
      <c r="A4441" s="24" t="s">
        <v>550</v>
      </c>
      <c r="B4441" s="24" t="s">
        <v>51</v>
      </c>
      <c r="C4441" s="24" t="s">
        <v>31</v>
      </c>
      <c r="D4441" s="24">
        <v>6</v>
      </c>
      <c r="E4441" s="24" t="s">
        <v>796</v>
      </c>
      <c r="F4441" s="24" t="s">
        <v>1106</v>
      </c>
      <c r="G4441" s="24">
        <v>169640</v>
      </c>
    </row>
    <row r="4442" spans="1:7" x14ac:dyDescent="0.25">
      <c r="A4442" s="24" t="s">
        <v>550</v>
      </c>
      <c r="B4442" s="24" t="s">
        <v>52</v>
      </c>
      <c r="C4442" s="24" t="s">
        <v>31</v>
      </c>
      <c r="D4442" s="24">
        <v>4</v>
      </c>
      <c r="E4442" s="24" t="s">
        <v>796</v>
      </c>
      <c r="F4442" s="24" t="s">
        <v>1106</v>
      </c>
      <c r="G4442" s="24">
        <v>169640</v>
      </c>
    </row>
    <row r="4443" spans="1:7" x14ac:dyDescent="0.25">
      <c r="A4443" s="24" t="s">
        <v>550</v>
      </c>
      <c r="B4443" s="24" t="s">
        <v>53</v>
      </c>
      <c r="C4443" s="24" t="s">
        <v>31</v>
      </c>
      <c r="D4443" s="24">
        <v>2</v>
      </c>
      <c r="E4443" s="24" t="s">
        <v>796</v>
      </c>
      <c r="F4443" s="24" t="s">
        <v>1106</v>
      </c>
      <c r="G4443" s="24">
        <v>169640</v>
      </c>
    </row>
    <row r="4444" spans="1:7" x14ac:dyDescent="0.25">
      <c r="A4444" s="24" t="s">
        <v>550</v>
      </c>
      <c r="B4444" s="24" t="s">
        <v>54</v>
      </c>
      <c r="C4444" s="24" t="s">
        <v>31</v>
      </c>
      <c r="D4444" s="24">
        <v>0.4</v>
      </c>
      <c r="E4444" s="24" t="s">
        <v>796</v>
      </c>
      <c r="F4444" s="24" t="s">
        <v>1106</v>
      </c>
      <c r="G4444" s="24">
        <v>169640</v>
      </c>
    </row>
    <row r="4445" spans="1:7" x14ac:dyDescent="0.25">
      <c r="A4445" s="24" t="s">
        <v>550</v>
      </c>
      <c r="B4445" s="24" t="s">
        <v>55</v>
      </c>
      <c r="C4445" s="24" t="s">
        <v>31</v>
      </c>
      <c r="D4445" s="24">
        <v>0.2</v>
      </c>
      <c r="E4445" s="24" t="s">
        <v>796</v>
      </c>
      <c r="F4445" s="24" t="s">
        <v>1106</v>
      </c>
      <c r="G4445" s="24">
        <v>169640</v>
      </c>
    </row>
    <row r="4446" spans="1:7" x14ac:dyDescent="0.25">
      <c r="A4446" s="24" t="s">
        <v>550</v>
      </c>
      <c r="B4446" s="24" t="s">
        <v>56</v>
      </c>
      <c r="C4446" s="24" t="s">
        <v>31</v>
      </c>
      <c r="D4446" s="24">
        <v>0</v>
      </c>
      <c r="E4446" s="24" t="s">
        <v>796</v>
      </c>
      <c r="F4446" s="24" t="s">
        <v>1106</v>
      </c>
      <c r="G4446" s="24">
        <v>169640</v>
      </c>
    </row>
    <row r="4447" spans="1:7" x14ac:dyDescent="0.25">
      <c r="A4447" s="24" t="s">
        <v>550</v>
      </c>
      <c r="B4447" s="24" t="s">
        <v>57</v>
      </c>
      <c r="C4447" s="24" t="s">
        <v>36</v>
      </c>
      <c r="D4447" s="24">
        <v>0.8</v>
      </c>
      <c r="E4447" s="24" t="s">
        <v>796</v>
      </c>
      <c r="F4447" s="24" t="s">
        <v>1106</v>
      </c>
      <c r="G4447" s="24">
        <v>169640</v>
      </c>
    </row>
    <row r="4448" spans="1:7" x14ac:dyDescent="0.25">
      <c r="A4448" s="24" t="s">
        <v>550</v>
      </c>
      <c r="B4448" s="24" t="s">
        <v>58</v>
      </c>
      <c r="C4448" s="24" t="s">
        <v>5</v>
      </c>
      <c r="D4448" s="24">
        <v>0</v>
      </c>
      <c r="E4448" s="24" t="s">
        <v>795</v>
      </c>
      <c r="F4448" s="24"/>
      <c r="G4448" s="24"/>
    </row>
    <row r="4449" spans="1:7" x14ac:dyDescent="0.25">
      <c r="A4449" s="24" t="s">
        <v>551</v>
      </c>
      <c r="B4449" s="24" t="s">
        <v>29</v>
      </c>
      <c r="C4449" s="24" t="s">
        <v>5</v>
      </c>
      <c r="D4449" s="24">
        <v>0</v>
      </c>
      <c r="E4449" s="24" t="s">
        <v>994</v>
      </c>
      <c r="F4449" s="24"/>
      <c r="G4449" s="24"/>
    </row>
    <row r="4450" spans="1:7" x14ac:dyDescent="0.25">
      <c r="A4450" s="24" t="s">
        <v>551</v>
      </c>
      <c r="B4450" s="24" t="s">
        <v>35</v>
      </c>
      <c r="C4450" s="24" t="s">
        <v>36</v>
      </c>
      <c r="D4450" s="24">
        <v>0</v>
      </c>
      <c r="E4450" s="24" t="s">
        <v>796</v>
      </c>
      <c r="F4450" s="24" t="s">
        <v>1106</v>
      </c>
      <c r="G4450" s="24">
        <v>169640</v>
      </c>
    </row>
    <row r="4451" spans="1:7" x14ac:dyDescent="0.25">
      <c r="A4451" s="24" t="s">
        <v>551</v>
      </c>
      <c r="B4451" s="24" t="s">
        <v>39</v>
      </c>
      <c r="C4451" s="24" t="s">
        <v>36</v>
      </c>
      <c r="D4451" s="24">
        <v>0</v>
      </c>
      <c r="E4451" s="24" t="s">
        <v>796</v>
      </c>
      <c r="F4451" s="24" t="s">
        <v>1106</v>
      </c>
      <c r="G4451" s="24">
        <v>169640</v>
      </c>
    </row>
    <row r="4452" spans="1:7" x14ac:dyDescent="0.25">
      <c r="A4452" s="24" t="s">
        <v>551</v>
      </c>
      <c r="B4452" s="24" t="s">
        <v>58</v>
      </c>
      <c r="C4452" s="24" t="s">
        <v>5</v>
      </c>
      <c r="D4452" s="24">
        <v>0</v>
      </c>
      <c r="E4452" s="24" t="s">
        <v>795</v>
      </c>
      <c r="F4452" s="24"/>
      <c r="G4452" s="24"/>
    </row>
    <row r="4453" spans="1:7" x14ac:dyDescent="0.25">
      <c r="A4453" s="24" t="s">
        <v>552</v>
      </c>
      <c r="B4453" s="24" t="s">
        <v>29</v>
      </c>
      <c r="C4453" s="24" t="s">
        <v>5</v>
      </c>
      <c r="D4453" s="24">
        <v>0</v>
      </c>
      <c r="E4453" s="24" t="s">
        <v>994</v>
      </c>
      <c r="F4453" s="24"/>
      <c r="G4453" s="24"/>
    </row>
    <row r="4454" spans="1:7" x14ac:dyDescent="0.25">
      <c r="A4454" s="24" t="s">
        <v>552</v>
      </c>
      <c r="B4454" s="24" t="s">
        <v>35</v>
      </c>
      <c r="C4454" s="24" t="s">
        <v>36</v>
      </c>
      <c r="D4454" s="24">
        <v>0</v>
      </c>
      <c r="E4454" s="24" t="s">
        <v>796</v>
      </c>
      <c r="F4454" s="24" t="s">
        <v>1107</v>
      </c>
      <c r="G4454" s="24">
        <v>169661</v>
      </c>
    </row>
    <row r="4455" spans="1:7" x14ac:dyDescent="0.25">
      <c r="A4455" s="24" t="s">
        <v>552</v>
      </c>
      <c r="B4455" s="24" t="s">
        <v>39</v>
      </c>
      <c r="C4455" s="24" t="s">
        <v>36</v>
      </c>
      <c r="D4455" s="24">
        <v>0</v>
      </c>
      <c r="E4455" s="24" t="s">
        <v>796</v>
      </c>
      <c r="F4455" s="24" t="s">
        <v>1107</v>
      </c>
      <c r="G4455" s="24">
        <v>169661</v>
      </c>
    </row>
    <row r="4456" spans="1:7" x14ac:dyDescent="0.25">
      <c r="A4456" s="24" t="s">
        <v>552</v>
      </c>
      <c r="B4456" s="24" t="s">
        <v>58</v>
      </c>
      <c r="C4456" s="24" t="s">
        <v>5</v>
      </c>
      <c r="D4456" s="24">
        <v>0</v>
      </c>
      <c r="E4456" s="24" t="s">
        <v>795</v>
      </c>
      <c r="F4456" s="24"/>
      <c r="G4456" s="24"/>
    </row>
    <row r="4457" spans="1:7" x14ac:dyDescent="0.25">
      <c r="A4457" s="24" t="s">
        <v>554</v>
      </c>
      <c r="B4457" s="24" t="s">
        <v>23</v>
      </c>
      <c r="C4457" s="24" t="s">
        <v>5</v>
      </c>
      <c r="D4457" s="24">
        <v>44.4</v>
      </c>
      <c r="E4457" s="24" t="s">
        <v>796</v>
      </c>
      <c r="F4457" s="24" t="s">
        <v>1108</v>
      </c>
      <c r="G4457" s="24">
        <v>172723</v>
      </c>
    </row>
    <row r="4458" spans="1:7" x14ac:dyDescent="0.25">
      <c r="A4458" s="24" t="s">
        <v>554</v>
      </c>
      <c r="B4458" s="24" t="s">
        <v>32</v>
      </c>
      <c r="C4458" s="24" t="s">
        <v>33</v>
      </c>
      <c r="D4458" s="24">
        <v>1</v>
      </c>
      <c r="E4458" s="24" t="s">
        <v>796</v>
      </c>
      <c r="F4458" s="24" t="s">
        <v>1108</v>
      </c>
      <c r="G4458" s="24">
        <v>172723</v>
      </c>
    </row>
    <row r="4459" spans="1:7" x14ac:dyDescent="0.25">
      <c r="A4459" s="24" t="s">
        <v>554</v>
      </c>
      <c r="B4459" s="24" t="s">
        <v>34</v>
      </c>
      <c r="C4459" s="24" t="s">
        <v>31</v>
      </c>
      <c r="D4459" s="24">
        <v>0.1</v>
      </c>
      <c r="E4459" s="24" t="s">
        <v>796</v>
      </c>
      <c r="F4459" s="24" t="s">
        <v>1108</v>
      </c>
      <c r="G4459" s="24">
        <v>172723</v>
      </c>
    </row>
    <row r="4460" spans="1:7" x14ac:dyDescent="0.25">
      <c r="A4460" s="24" t="s">
        <v>554</v>
      </c>
      <c r="B4460" s="24" t="s">
        <v>35</v>
      </c>
      <c r="C4460" s="24" t="s">
        <v>36</v>
      </c>
      <c r="D4460" s="24">
        <v>0</v>
      </c>
      <c r="E4460" s="24" t="s">
        <v>796</v>
      </c>
      <c r="F4460" s="24" t="s">
        <v>1108</v>
      </c>
      <c r="G4460" s="24">
        <v>172723</v>
      </c>
    </row>
    <row r="4461" spans="1:7" x14ac:dyDescent="0.25">
      <c r="A4461" s="24" t="s">
        <v>554</v>
      </c>
      <c r="B4461" s="24" t="s">
        <v>37</v>
      </c>
      <c r="C4461" s="24" t="s">
        <v>38</v>
      </c>
      <c r="D4461" s="24">
        <v>0.1</v>
      </c>
      <c r="E4461" s="24" t="s">
        <v>796</v>
      </c>
      <c r="F4461" s="24" t="s">
        <v>1108</v>
      </c>
      <c r="G4461" s="24">
        <v>172723</v>
      </c>
    </row>
    <row r="4462" spans="1:7" x14ac:dyDescent="0.25">
      <c r="A4462" s="24" t="s">
        <v>554</v>
      </c>
      <c r="B4462" s="24" t="s">
        <v>39</v>
      </c>
      <c r="C4462" s="24" t="s">
        <v>36</v>
      </c>
      <c r="D4462" s="24">
        <v>6.9</v>
      </c>
      <c r="E4462" s="24" t="s">
        <v>796</v>
      </c>
      <c r="F4462" s="24" t="s">
        <v>1108</v>
      </c>
      <c r="G4462" s="24">
        <v>172723</v>
      </c>
    </row>
    <row r="4463" spans="1:7" x14ac:dyDescent="0.25">
      <c r="A4463" s="24" t="s">
        <v>554</v>
      </c>
      <c r="B4463" s="24" t="s">
        <v>40</v>
      </c>
      <c r="C4463" s="24" t="s">
        <v>31</v>
      </c>
      <c r="D4463" s="24">
        <v>0.1</v>
      </c>
      <c r="E4463" s="24" t="s">
        <v>796</v>
      </c>
      <c r="F4463" s="24" t="s">
        <v>1108</v>
      </c>
      <c r="G4463" s="24">
        <v>172723</v>
      </c>
    </row>
    <row r="4464" spans="1:7" x14ac:dyDescent="0.25">
      <c r="A4464" s="24" t="s">
        <v>554</v>
      </c>
      <c r="B4464" s="24" t="s">
        <v>41</v>
      </c>
      <c r="C4464" s="24" t="s">
        <v>31</v>
      </c>
      <c r="D4464" s="24">
        <v>0.2</v>
      </c>
      <c r="E4464" s="24" t="s">
        <v>796</v>
      </c>
      <c r="F4464" s="24" t="s">
        <v>1108</v>
      </c>
      <c r="G4464" s="24">
        <v>172723</v>
      </c>
    </row>
    <row r="4465" spans="1:7" x14ac:dyDescent="0.25">
      <c r="A4465" s="24" t="s">
        <v>554</v>
      </c>
      <c r="B4465" s="24" t="s">
        <v>42</v>
      </c>
      <c r="C4465" s="24" t="s">
        <v>43</v>
      </c>
      <c r="D4465" s="24">
        <v>0.8</v>
      </c>
      <c r="E4465" s="24" t="s">
        <v>796</v>
      </c>
      <c r="F4465" s="24" t="s">
        <v>1108</v>
      </c>
      <c r="G4465" s="24">
        <v>172723</v>
      </c>
    </row>
    <row r="4466" spans="1:7" x14ac:dyDescent="0.25">
      <c r="A4466" s="24" t="s">
        <v>554</v>
      </c>
      <c r="B4466" s="24" t="s">
        <v>44</v>
      </c>
      <c r="C4466" s="24" t="s">
        <v>31</v>
      </c>
      <c r="D4466" s="24">
        <v>0.1</v>
      </c>
      <c r="E4466" s="24" t="s">
        <v>796</v>
      </c>
      <c r="F4466" s="24" t="s">
        <v>1108</v>
      </c>
      <c r="G4466" s="24">
        <v>172723</v>
      </c>
    </row>
    <row r="4467" spans="1:7" x14ac:dyDescent="0.25">
      <c r="A4467" s="24" t="s">
        <v>554</v>
      </c>
      <c r="B4467" s="24" t="s">
        <v>45</v>
      </c>
      <c r="C4467" s="24" t="s">
        <v>31</v>
      </c>
      <c r="D4467" s="24">
        <v>0.5</v>
      </c>
      <c r="E4467" s="24" t="s">
        <v>796</v>
      </c>
      <c r="F4467" s="24" t="s">
        <v>1108</v>
      </c>
      <c r="G4467" s="24">
        <v>172723</v>
      </c>
    </row>
    <row r="4468" spans="1:7" x14ac:dyDescent="0.25">
      <c r="A4468" s="24" t="s">
        <v>554</v>
      </c>
      <c r="B4468" s="24" t="s">
        <v>46</v>
      </c>
      <c r="C4468" s="24" t="s">
        <v>36</v>
      </c>
      <c r="D4468" s="24">
        <v>0.2</v>
      </c>
      <c r="E4468" s="24" t="s">
        <v>796</v>
      </c>
      <c r="F4468" s="24" t="s">
        <v>1108</v>
      </c>
      <c r="G4468" s="24">
        <v>172723</v>
      </c>
    </row>
    <row r="4469" spans="1:7" x14ac:dyDescent="0.25">
      <c r="A4469" s="24" t="s">
        <v>554</v>
      </c>
      <c r="B4469" s="24" t="s">
        <v>47</v>
      </c>
      <c r="C4469" s="24" t="s">
        <v>48</v>
      </c>
      <c r="D4469" s="24">
        <v>36.700000000000003</v>
      </c>
      <c r="E4469" s="24" t="s">
        <v>796</v>
      </c>
      <c r="F4469" s="24" t="s">
        <v>1108</v>
      </c>
      <c r="G4469" s="24">
        <v>172723</v>
      </c>
    </row>
    <row r="4470" spans="1:7" x14ac:dyDescent="0.25">
      <c r="A4470" s="24" t="s">
        <v>554</v>
      </c>
      <c r="B4470" s="24" t="s">
        <v>50</v>
      </c>
      <c r="C4470" s="24" t="s">
        <v>31</v>
      </c>
      <c r="D4470" s="24">
        <v>180.4</v>
      </c>
      <c r="E4470" s="24" t="s">
        <v>796</v>
      </c>
      <c r="F4470" s="24" t="s">
        <v>1108</v>
      </c>
      <c r="G4470" s="24">
        <v>172723</v>
      </c>
    </row>
    <row r="4471" spans="1:7" x14ac:dyDescent="0.25">
      <c r="A4471" s="24" t="s">
        <v>554</v>
      </c>
      <c r="B4471" s="24" t="s">
        <v>51</v>
      </c>
      <c r="C4471" s="24" t="s">
        <v>31</v>
      </c>
      <c r="D4471" s="24">
        <v>45.6</v>
      </c>
      <c r="E4471" s="24" t="s">
        <v>796</v>
      </c>
      <c r="F4471" s="24" t="s">
        <v>1108</v>
      </c>
      <c r="G4471" s="24">
        <v>172723</v>
      </c>
    </row>
    <row r="4472" spans="1:7" x14ac:dyDescent="0.25">
      <c r="A4472" s="24" t="s">
        <v>554</v>
      </c>
      <c r="B4472" s="24" t="s">
        <v>52</v>
      </c>
      <c r="C4472" s="24" t="s">
        <v>31</v>
      </c>
      <c r="D4472" s="24">
        <v>96.1</v>
      </c>
      <c r="E4472" s="24" t="s">
        <v>796</v>
      </c>
      <c r="F4472" s="24" t="s">
        <v>1108</v>
      </c>
      <c r="G4472" s="24">
        <v>172723</v>
      </c>
    </row>
    <row r="4473" spans="1:7" x14ac:dyDescent="0.25">
      <c r="A4473" s="24" t="s">
        <v>554</v>
      </c>
      <c r="B4473" s="24" t="s">
        <v>53</v>
      </c>
      <c r="C4473" s="24" t="s">
        <v>31</v>
      </c>
      <c r="D4473" s="24">
        <v>35.700000000000003</v>
      </c>
      <c r="E4473" s="24" t="s">
        <v>796</v>
      </c>
      <c r="F4473" s="24" t="s">
        <v>1108</v>
      </c>
      <c r="G4473" s="24">
        <v>172723</v>
      </c>
    </row>
    <row r="4474" spans="1:7" x14ac:dyDescent="0.25">
      <c r="A4474" s="24" t="s">
        <v>554</v>
      </c>
      <c r="B4474" s="24" t="s">
        <v>54</v>
      </c>
      <c r="C4474" s="24" t="s">
        <v>31</v>
      </c>
      <c r="D4474" s="24">
        <v>2.5</v>
      </c>
      <c r="E4474" s="24" t="s">
        <v>796</v>
      </c>
      <c r="F4474" s="24" t="s">
        <v>1108</v>
      </c>
      <c r="G4474" s="24">
        <v>172723</v>
      </c>
    </row>
    <row r="4475" spans="1:7" x14ac:dyDescent="0.25">
      <c r="A4475" s="24" t="s">
        <v>554</v>
      </c>
      <c r="B4475" s="24" t="s">
        <v>55</v>
      </c>
      <c r="C4475" s="24" t="s">
        <v>31</v>
      </c>
      <c r="D4475" s="24">
        <v>0.6</v>
      </c>
      <c r="E4475" s="24" t="s">
        <v>796</v>
      </c>
      <c r="F4475" s="24" t="s">
        <v>1108</v>
      </c>
      <c r="G4475" s="24">
        <v>172723</v>
      </c>
    </row>
    <row r="4476" spans="1:7" x14ac:dyDescent="0.25">
      <c r="A4476" s="24" t="s">
        <v>554</v>
      </c>
      <c r="B4476" s="24" t="s">
        <v>56</v>
      </c>
      <c r="C4476" s="24" t="s">
        <v>31</v>
      </c>
      <c r="D4476" s="24">
        <v>0.3</v>
      </c>
      <c r="E4476" s="24" t="s">
        <v>796</v>
      </c>
      <c r="F4476" s="24" t="s">
        <v>1108</v>
      </c>
      <c r="G4476" s="24">
        <v>172723</v>
      </c>
    </row>
    <row r="4477" spans="1:7" x14ac:dyDescent="0.25">
      <c r="A4477" s="24" t="s">
        <v>554</v>
      </c>
      <c r="B4477" s="24" t="s">
        <v>57</v>
      </c>
      <c r="C4477" s="24" t="s">
        <v>36</v>
      </c>
      <c r="D4477" s="24">
        <v>4.4000000000000004</v>
      </c>
      <c r="E4477" s="24" t="s">
        <v>796</v>
      </c>
      <c r="F4477" s="24" t="s">
        <v>1108</v>
      </c>
      <c r="G4477" s="24">
        <v>172723</v>
      </c>
    </row>
    <row r="4478" spans="1:7" x14ac:dyDescent="0.25">
      <c r="A4478" s="24" t="s">
        <v>554</v>
      </c>
      <c r="B4478" s="24" t="s">
        <v>58</v>
      </c>
      <c r="C4478" s="24" t="s">
        <v>5</v>
      </c>
      <c r="D4478" s="24">
        <v>0</v>
      </c>
      <c r="E4478" s="24" t="s">
        <v>795</v>
      </c>
      <c r="F4478" s="24"/>
      <c r="G4478" s="24"/>
    </row>
    <row r="4479" spans="1:7" x14ac:dyDescent="0.25">
      <c r="A4479" s="24" t="s">
        <v>555</v>
      </c>
      <c r="B4479" s="24" t="s">
        <v>23</v>
      </c>
      <c r="C4479" s="24" t="s">
        <v>5</v>
      </c>
      <c r="D4479" s="24">
        <v>27.3</v>
      </c>
      <c r="E4479" s="24" t="s">
        <v>796</v>
      </c>
      <c r="F4479" s="24" t="s">
        <v>1109</v>
      </c>
      <c r="G4479" s="24">
        <v>167542</v>
      </c>
    </row>
    <row r="4480" spans="1:7" x14ac:dyDescent="0.25">
      <c r="A4480" s="24" t="s">
        <v>555</v>
      </c>
      <c r="B4480" s="24" t="s">
        <v>26</v>
      </c>
      <c r="C4480" s="24" t="s">
        <v>5</v>
      </c>
      <c r="D4480" s="24">
        <v>0.9</v>
      </c>
      <c r="E4480" s="24" t="s">
        <v>799</v>
      </c>
      <c r="F4480" s="24" t="s">
        <v>1109</v>
      </c>
      <c r="G4480" s="24">
        <v>167542</v>
      </c>
    </row>
    <row r="4481" spans="1:7" x14ac:dyDescent="0.25">
      <c r="A4481" s="24" t="s">
        <v>555</v>
      </c>
      <c r="B4481" s="24" t="s">
        <v>27</v>
      </c>
      <c r="C4481" s="24" t="s">
        <v>5</v>
      </c>
      <c r="D4481" s="24">
        <v>1.66</v>
      </c>
      <c r="E4481" s="24" t="s">
        <v>799</v>
      </c>
      <c r="F4481" s="24" t="s">
        <v>1109</v>
      </c>
      <c r="G4481" s="24">
        <v>167542</v>
      </c>
    </row>
    <row r="4482" spans="1:7" x14ac:dyDescent="0.25">
      <c r="A4482" s="24" t="s">
        <v>555</v>
      </c>
      <c r="B4482" s="24" t="s">
        <v>28</v>
      </c>
      <c r="C4482" s="24" t="s">
        <v>5</v>
      </c>
      <c r="D4482" s="24">
        <v>4.5599999999999996</v>
      </c>
      <c r="E4482" s="24" t="s">
        <v>799</v>
      </c>
      <c r="F4482" s="24" t="s">
        <v>1109</v>
      </c>
      <c r="G4482" s="24">
        <v>167542</v>
      </c>
    </row>
    <row r="4483" spans="1:7" x14ac:dyDescent="0.25">
      <c r="A4483" s="24" t="s">
        <v>555</v>
      </c>
      <c r="B4483" s="24" t="s">
        <v>30</v>
      </c>
      <c r="C4483" s="24" t="s">
        <v>31</v>
      </c>
      <c r="D4483" s="24">
        <v>0</v>
      </c>
      <c r="E4483" s="24" t="s">
        <v>801</v>
      </c>
      <c r="F4483" s="24" t="s">
        <v>1109</v>
      </c>
      <c r="G4483" s="24">
        <v>167542</v>
      </c>
    </row>
    <row r="4484" spans="1:7" x14ac:dyDescent="0.25">
      <c r="A4484" s="24" t="s">
        <v>555</v>
      </c>
      <c r="B4484" s="24" t="s">
        <v>32</v>
      </c>
      <c r="C4484" s="24" t="s">
        <v>33</v>
      </c>
      <c r="D4484" s="24">
        <v>1.9</v>
      </c>
      <c r="E4484" s="24" t="s">
        <v>796</v>
      </c>
      <c r="F4484" s="24" t="s">
        <v>1109</v>
      </c>
      <c r="G4484" s="24">
        <v>167542</v>
      </c>
    </row>
    <row r="4485" spans="1:7" x14ac:dyDescent="0.25">
      <c r="A4485" s="24" t="s">
        <v>555</v>
      </c>
      <c r="B4485" s="24" t="s">
        <v>34</v>
      </c>
      <c r="C4485" s="24" t="s">
        <v>31</v>
      </c>
      <c r="D4485" s="24">
        <v>0.9</v>
      </c>
      <c r="E4485" s="24" t="s">
        <v>796</v>
      </c>
      <c r="F4485" s="24" t="s">
        <v>1109</v>
      </c>
      <c r="G4485" s="24">
        <v>167542</v>
      </c>
    </row>
    <row r="4486" spans="1:7" x14ac:dyDescent="0.25">
      <c r="A4486" s="24" t="s">
        <v>555</v>
      </c>
      <c r="B4486" s="24" t="s">
        <v>35</v>
      </c>
      <c r="C4486" s="24" t="s">
        <v>36</v>
      </c>
      <c r="D4486" s="24">
        <v>0</v>
      </c>
      <c r="E4486" s="24" t="s">
        <v>796</v>
      </c>
      <c r="F4486" s="24" t="s">
        <v>1109</v>
      </c>
      <c r="G4486" s="24">
        <v>167542</v>
      </c>
    </row>
    <row r="4487" spans="1:7" x14ac:dyDescent="0.25">
      <c r="A4487" s="24" t="s">
        <v>555</v>
      </c>
      <c r="B4487" s="24" t="s">
        <v>37</v>
      </c>
      <c r="C4487" s="24" t="s">
        <v>38</v>
      </c>
      <c r="D4487" s="24">
        <v>2</v>
      </c>
      <c r="E4487" s="24" t="s">
        <v>796</v>
      </c>
      <c r="F4487" s="24" t="s">
        <v>1109</v>
      </c>
      <c r="G4487" s="24">
        <v>167542</v>
      </c>
    </row>
    <row r="4488" spans="1:7" x14ac:dyDescent="0.25">
      <c r="A4488" s="24" t="s">
        <v>555</v>
      </c>
      <c r="B4488" s="24" t="s">
        <v>39</v>
      </c>
      <c r="C4488" s="24" t="s">
        <v>36</v>
      </c>
      <c r="D4488" s="24">
        <v>13.9</v>
      </c>
      <c r="E4488" s="24" t="s">
        <v>796</v>
      </c>
      <c r="F4488" s="24" t="s">
        <v>1109</v>
      </c>
      <c r="G4488" s="24">
        <v>167542</v>
      </c>
    </row>
    <row r="4489" spans="1:7" x14ac:dyDescent="0.25">
      <c r="A4489" s="24" t="s">
        <v>555</v>
      </c>
      <c r="B4489" s="24" t="s">
        <v>40</v>
      </c>
      <c r="C4489" s="24" t="s">
        <v>31</v>
      </c>
      <c r="D4489" s="24">
        <v>0.3</v>
      </c>
      <c r="E4489" s="24" t="s">
        <v>796</v>
      </c>
      <c r="F4489" s="24" t="s">
        <v>1109</v>
      </c>
      <c r="G4489" s="24">
        <v>167542</v>
      </c>
    </row>
    <row r="4490" spans="1:7" x14ac:dyDescent="0.25">
      <c r="A4490" s="24" t="s">
        <v>555</v>
      </c>
      <c r="B4490" s="24" t="s">
        <v>41</v>
      </c>
      <c r="C4490" s="24" t="s">
        <v>31</v>
      </c>
      <c r="D4490" s="24">
        <v>0.1</v>
      </c>
      <c r="E4490" s="24" t="s">
        <v>796</v>
      </c>
      <c r="F4490" s="24" t="s">
        <v>1109</v>
      </c>
      <c r="G4490" s="24">
        <v>167542</v>
      </c>
    </row>
    <row r="4491" spans="1:7" x14ac:dyDescent="0.25">
      <c r="A4491" s="24" t="s">
        <v>555</v>
      </c>
      <c r="B4491" s="24" t="s">
        <v>42</v>
      </c>
      <c r="C4491" s="24" t="s">
        <v>43</v>
      </c>
      <c r="D4491" s="24">
        <v>1.5</v>
      </c>
      <c r="E4491" s="24" t="s">
        <v>796</v>
      </c>
      <c r="F4491" s="24" t="s">
        <v>1109</v>
      </c>
      <c r="G4491" s="24">
        <v>167542</v>
      </c>
    </row>
    <row r="4492" spans="1:7" x14ac:dyDescent="0.25">
      <c r="A4492" s="24" t="s">
        <v>555</v>
      </c>
      <c r="B4492" s="24" t="s">
        <v>44</v>
      </c>
      <c r="C4492" s="24" t="s">
        <v>31</v>
      </c>
      <c r="D4492" s="24">
        <v>0.1</v>
      </c>
      <c r="E4492" s="24" t="s">
        <v>796</v>
      </c>
      <c r="F4492" s="24" t="s">
        <v>1109</v>
      </c>
      <c r="G4492" s="24">
        <v>167542</v>
      </c>
    </row>
    <row r="4493" spans="1:7" x14ac:dyDescent="0.25">
      <c r="A4493" s="24" t="s">
        <v>555</v>
      </c>
      <c r="B4493" s="24" t="s">
        <v>45</v>
      </c>
      <c r="C4493" s="24" t="s">
        <v>31</v>
      </c>
      <c r="D4493" s="24">
        <v>0.8</v>
      </c>
      <c r="E4493" s="24" t="s">
        <v>796</v>
      </c>
      <c r="F4493" s="24" t="s">
        <v>1109</v>
      </c>
      <c r="G4493" s="24">
        <v>167542</v>
      </c>
    </row>
    <row r="4494" spans="1:7" x14ac:dyDescent="0.25">
      <c r="A4494" s="24" t="s">
        <v>555</v>
      </c>
      <c r="B4494" s="24" t="s">
        <v>46</v>
      </c>
      <c r="C4494" s="24" t="s">
        <v>36</v>
      </c>
      <c r="D4494" s="24">
        <v>0</v>
      </c>
      <c r="E4494" s="24" t="s">
        <v>796</v>
      </c>
      <c r="F4494" s="24" t="s">
        <v>1109</v>
      </c>
      <c r="G4494" s="24">
        <v>167542</v>
      </c>
    </row>
    <row r="4495" spans="1:7" x14ac:dyDescent="0.25">
      <c r="A4495" s="24" t="s">
        <v>555</v>
      </c>
      <c r="B4495" s="24" t="s">
        <v>47</v>
      </c>
      <c r="C4495" s="24" t="s">
        <v>48</v>
      </c>
      <c r="D4495" s="24">
        <v>22</v>
      </c>
      <c r="E4495" s="24" t="s">
        <v>796</v>
      </c>
      <c r="F4495" s="24" t="s">
        <v>1109</v>
      </c>
      <c r="G4495" s="24">
        <v>167542</v>
      </c>
    </row>
    <row r="4496" spans="1:7" x14ac:dyDescent="0.25">
      <c r="A4496" s="24" t="s">
        <v>555</v>
      </c>
      <c r="B4496" s="24" t="s">
        <v>50</v>
      </c>
      <c r="C4496" s="24" t="s">
        <v>31</v>
      </c>
      <c r="D4496" s="24">
        <v>321</v>
      </c>
      <c r="E4496" s="24" t="s">
        <v>796</v>
      </c>
      <c r="F4496" s="24" t="s">
        <v>1109</v>
      </c>
      <c r="G4496" s="24">
        <v>167542</v>
      </c>
    </row>
    <row r="4497" spans="1:7" x14ac:dyDescent="0.25">
      <c r="A4497" s="24" t="s">
        <v>555</v>
      </c>
      <c r="B4497" s="24" t="s">
        <v>51</v>
      </c>
      <c r="C4497" s="24" t="s">
        <v>31</v>
      </c>
      <c r="D4497" s="24">
        <v>58.3</v>
      </c>
      <c r="E4497" s="24" t="s">
        <v>796</v>
      </c>
      <c r="F4497" s="24" t="s">
        <v>1109</v>
      </c>
      <c r="G4497" s="24">
        <v>167542</v>
      </c>
    </row>
    <row r="4498" spans="1:7" x14ac:dyDescent="0.25">
      <c r="A4498" s="24" t="s">
        <v>555</v>
      </c>
      <c r="B4498" s="24" t="s">
        <v>52</v>
      </c>
      <c r="C4498" s="24" t="s">
        <v>31</v>
      </c>
      <c r="D4498" s="24">
        <v>264.60000000000002</v>
      </c>
      <c r="E4498" s="24" t="s">
        <v>796</v>
      </c>
      <c r="F4498" s="24" t="s">
        <v>1109</v>
      </c>
      <c r="G4498" s="24">
        <v>167542</v>
      </c>
    </row>
    <row r="4499" spans="1:7" x14ac:dyDescent="0.25">
      <c r="A4499" s="24" t="s">
        <v>555</v>
      </c>
      <c r="B4499" s="24" t="s">
        <v>53</v>
      </c>
      <c r="C4499" s="24" t="s">
        <v>31</v>
      </c>
      <c r="D4499" s="24">
        <v>92.7</v>
      </c>
      <c r="E4499" s="24" t="s">
        <v>796</v>
      </c>
      <c r="F4499" s="24" t="s">
        <v>1109</v>
      </c>
      <c r="G4499" s="24">
        <v>167542</v>
      </c>
    </row>
    <row r="4500" spans="1:7" x14ac:dyDescent="0.25">
      <c r="A4500" s="24" t="s">
        <v>555</v>
      </c>
      <c r="B4500" s="24" t="s">
        <v>54</v>
      </c>
      <c r="C4500" s="24" t="s">
        <v>31</v>
      </c>
      <c r="D4500" s="24">
        <v>2.8</v>
      </c>
      <c r="E4500" s="24" t="s">
        <v>796</v>
      </c>
      <c r="F4500" s="24" t="s">
        <v>1109</v>
      </c>
      <c r="G4500" s="24">
        <v>167542</v>
      </c>
    </row>
    <row r="4501" spans="1:7" x14ac:dyDescent="0.25">
      <c r="A4501" s="24" t="s">
        <v>555</v>
      </c>
      <c r="B4501" s="24" t="s">
        <v>55</v>
      </c>
      <c r="C4501" s="24" t="s">
        <v>31</v>
      </c>
      <c r="D4501" s="24">
        <v>1.9</v>
      </c>
      <c r="E4501" s="24" t="s">
        <v>796</v>
      </c>
      <c r="F4501" s="24" t="s">
        <v>1109</v>
      </c>
      <c r="G4501" s="24">
        <v>167542</v>
      </c>
    </row>
    <row r="4502" spans="1:7" x14ac:dyDescent="0.25">
      <c r="A4502" s="24" t="s">
        <v>555</v>
      </c>
      <c r="B4502" s="24" t="s">
        <v>56</v>
      </c>
      <c r="C4502" s="24" t="s">
        <v>31</v>
      </c>
      <c r="D4502" s="24">
        <v>0.4</v>
      </c>
      <c r="E4502" s="24" t="s">
        <v>796</v>
      </c>
      <c r="F4502" s="24" t="s">
        <v>1109</v>
      </c>
      <c r="G4502" s="24">
        <v>167542</v>
      </c>
    </row>
    <row r="4503" spans="1:7" x14ac:dyDescent="0.25">
      <c r="A4503" s="24" t="s">
        <v>555</v>
      </c>
      <c r="B4503" s="24" t="s">
        <v>57</v>
      </c>
      <c r="C4503" s="24" t="s">
        <v>36</v>
      </c>
      <c r="D4503" s="24">
        <v>15.5</v>
      </c>
      <c r="E4503" s="24" t="s">
        <v>796</v>
      </c>
      <c r="F4503" s="24" t="s">
        <v>1109</v>
      </c>
      <c r="G4503" s="24">
        <v>167542</v>
      </c>
    </row>
    <row r="4504" spans="1:7" x14ac:dyDescent="0.25">
      <c r="A4504" s="24" t="s">
        <v>555</v>
      </c>
      <c r="B4504" s="24" t="s">
        <v>58</v>
      </c>
      <c r="C4504" s="24" t="s">
        <v>5</v>
      </c>
      <c r="D4504" s="24">
        <v>0</v>
      </c>
      <c r="E4504" s="24" t="s">
        <v>795</v>
      </c>
      <c r="F4504" s="24"/>
      <c r="G4504" s="24"/>
    </row>
    <row r="4505" spans="1:7" x14ac:dyDescent="0.25">
      <c r="A4505" s="24" t="s">
        <v>556</v>
      </c>
      <c r="B4505" s="24" t="s">
        <v>20</v>
      </c>
      <c r="C4505" s="24" t="s">
        <v>5</v>
      </c>
      <c r="D4505" s="24">
        <v>1.8</v>
      </c>
      <c r="E4505" s="24" t="s">
        <v>796</v>
      </c>
      <c r="F4505" s="24" t="s">
        <v>1110</v>
      </c>
      <c r="G4505" s="24">
        <v>167587</v>
      </c>
    </row>
    <row r="4506" spans="1:7" x14ac:dyDescent="0.25">
      <c r="A4506" s="24" t="s">
        <v>556</v>
      </c>
      <c r="B4506" s="24" t="s">
        <v>24</v>
      </c>
      <c r="C4506" s="24" t="s">
        <v>5</v>
      </c>
      <c r="D4506" s="24">
        <v>3.4</v>
      </c>
      <c r="E4506" s="24" t="s">
        <v>801</v>
      </c>
      <c r="F4506" s="24" t="s">
        <v>1110</v>
      </c>
      <c r="G4506" s="24">
        <v>167587</v>
      </c>
    </row>
    <row r="4507" spans="1:7" x14ac:dyDescent="0.25">
      <c r="A4507" s="24" t="s">
        <v>556</v>
      </c>
      <c r="B4507" s="24" t="s">
        <v>32</v>
      </c>
      <c r="C4507" s="24" t="s">
        <v>33</v>
      </c>
      <c r="D4507" s="24">
        <v>59</v>
      </c>
      <c r="E4507" s="24" t="s">
        <v>801</v>
      </c>
      <c r="F4507" s="24" t="s">
        <v>1110</v>
      </c>
      <c r="G4507" s="24">
        <v>167587</v>
      </c>
    </row>
    <row r="4508" spans="1:7" x14ac:dyDescent="0.25">
      <c r="A4508" s="24" t="s">
        <v>556</v>
      </c>
      <c r="B4508" s="24" t="s">
        <v>34</v>
      </c>
      <c r="C4508" s="24" t="s">
        <v>31</v>
      </c>
      <c r="D4508" s="24">
        <v>0</v>
      </c>
      <c r="E4508" s="24" t="s">
        <v>801</v>
      </c>
      <c r="F4508" s="24" t="s">
        <v>1110</v>
      </c>
      <c r="G4508" s="24">
        <v>167587</v>
      </c>
    </row>
    <row r="4509" spans="1:7" x14ac:dyDescent="0.25">
      <c r="A4509" s="24" t="s">
        <v>556</v>
      </c>
      <c r="B4509" s="24" t="s">
        <v>35</v>
      </c>
      <c r="C4509" s="24" t="s">
        <v>36</v>
      </c>
      <c r="D4509" s="24">
        <v>0</v>
      </c>
      <c r="E4509" s="24" t="s">
        <v>801</v>
      </c>
      <c r="F4509" s="24" t="s">
        <v>1110</v>
      </c>
      <c r="G4509" s="24">
        <v>167587</v>
      </c>
    </row>
    <row r="4510" spans="1:7" x14ac:dyDescent="0.25">
      <c r="A4510" s="24" t="s">
        <v>556</v>
      </c>
      <c r="B4510" s="24" t="s">
        <v>37</v>
      </c>
      <c r="C4510" s="24" t="s">
        <v>38</v>
      </c>
      <c r="D4510" s="24">
        <v>0.5</v>
      </c>
      <c r="E4510" s="24" t="s">
        <v>801</v>
      </c>
      <c r="F4510" s="24" t="s">
        <v>1110</v>
      </c>
      <c r="G4510" s="24">
        <v>167587</v>
      </c>
    </row>
    <row r="4511" spans="1:7" x14ac:dyDescent="0.25">
      <c r="A4511" s="24" t="s">
        <v>556</v>
      </c>
      <c r="B4511" s="24" t="s">
        <v>39</v>
      </c>
      <c r="C4511" s="24" t="s">
        <v>36</v>
      </c>
      <c r="D4511" s="24">
        <v>5.7</v>
      </c>
      <c r="E4511" s="24" t="s">
        <v>801</v>
      </c>
      <c r="F4511" s="24" t="s">
        <v>1110</v>
      </c>
      <c r="G4511" s="24">
        <v>167587</v>
      </c>
    </row>
    <row r="4512" spans="1:7" x14ac:dyDescent="0.25">
      <c r="A4512" s="24" t="s">
        <v>556</v>
      </c>
      <c r="B4512" s="24" t="s">
        <v>40</v>
      </c>
      <c r="C4512" s="24" t="s">
        <v>31</v>
      </c>
      <c r="D4512" s="24">
        <v>0.1</v>
      </c>
      <c r="E4512" s="24" t="s">
        <v>801</v>
      </c>
      <c r="F4512" s="24" t="s">
        <v>1110</v>
      </c>
      <c r="G4512" s="24">
        <v>167587</v>
      </c>
    </row>
    <row r="4513" spans="1:7" x14ac:dyDescent="0.25">
      <c r="A4513" s="24" t="s">
        <v>556</v>
      </c>
      <c r="B4513" s="24" t="s">
        <v>41</v>
      </c>
      <c r="C4513" s="24" t="s">
        <v>31</v>
      </c>
      <c r="D4513" s="24">
        <v>0.3</v>
      </c>
      <c r="E4513" s="24" t="s">
        <v>801</v>
      </c>
      <c r="F4513" s="24" t="s">
        <v>1110</v>
      </c>
      <c r="G4513" s="24">
        <v>167587</v>
      </c>
    </row>
    <row r="4514" spans="1:7" x14ac:dyDescent="0.25">
      <c r="A4514" s="24" t="s">
        <v>556</v>
      </c>
      <c r="B4514" s="24" t="s">
        <v>42</v>
      </c>
      <c r="C4514" s="24" t="s">
        <v>43</v>
      </c>
      <c r="D4514" s="24">
        <v>0.4</v>
      </c>
      <c r="E4514" s="24" t="s">
        <v>801</v>
      </c>
      <c r="F4514" s="24" t="s">
        <v>1110</v>
      </c>
      <c r="G4514" s="24">
        <v>167587</v>
      </c>
    </row>
    <row r="4515" spans="1:7" x14ac:dyDescent="0.25">
      <c r="A4515" s="24" t="s">
        <v>556</v>
      </c>
      <c r="B4515" s="24" t="s">
        <v>44</v>
      </c>
      <c r="C4515" s="24" t="s">
        <v>31</v>
      </c>
      <c r="D4515" s="24">
        <v>0</v>
      </c>
      <c r="E4515" s="24" t="s">
        <v>801</v>
      </c>
      <c r="F4515" s="24" t="s">
        <v>1110</v>
      </c>
      <c r="G4515" s="24">
        <v>167587</v>
      </c>
    </row>
    <row r="4516" spans="1:7" x14ac:dyDescent="0.25">
      <c r="A4516" s="24" t="s">
        <v>556</v>
      </c>
      <c r="B4516" s="24" t="s">
        <v>45</v>
      </c>
      <c r="C4516" s="24" t="s">
        <v>31</v>
      </c>
      <c r="D4516" s="24">
        <v>0.5</v>
      </c>
      <c r="E4516" s="24" t="s">
        <v>801</v>
      </c>
      <c r="F4516" s="24" t="s">
        <v>1110</v>
      </c>
      <c r="G4516" s="24">
        <v>167587</v>
      </c>
    </row>
    <row r="4517" spans="1:7" x14ac:dyDescent="0.25">
      <c r="A4517" s="24" t="s">
        <v>556</v>
      </c>
      <c r="B4517" s="24" t="s">
        <v>46</v>
      </c>
      <c r="C4517" s="24" t="s">
        <v>36</v>
      </c>
      <c r="D4517" s="24">
        <v>0.8</v>
      </c>
      <c r="E4517" s="24" t="s">
        <v>801</v>
      </c>
      <c r="F4517" s="24" t="s">
        <v>1110</v>
      </c>
      <c r="G4517" s="24">
        <v>167587</v>
      </c>
    </row>
    <row r="4518" spans="1:7" x14ac:dyDescent="0.25">
      <c r="A4518" s="24" t="s">
        <v>556</v>
      </c>
      <c r="B4518" s="24" t="s">
        <v>47</v>
      </c>
      <c r="C4518" s="24" t="s">
        <v>48</v>
      </c>
      <c r="D4518" s="24">
        <v>11</v>
      </c>
      <c r="E4518" s="24" t="s">
        <v>801</v>
      </c>
      <c r="F4518" s="24" t="s">
        <v>1110</v>
      </c>
      <c r="G4518" s="24">
        <v>167587</v>
      </c>
    </row>
    <row r="4519" spans="1:7" x14ac:dyDescent="0.25">
      <c r="A4519" s="24" t="s">
        <v>556</v>
      </c>
      <c r="B4519" s="24" t="s">
        <v>50</v>
      </c>
      <c r="C4519" s="24" t="s">
        <v>31</v>
      </c>
      <c r="D4519" s="24">
        <v>372</v>
      </c>
      <c r="E4519" s="24" t="s">
        <v>801</v>
      </c>
      <c r="F4519" s="24" t="s">
        <v>1110</v>
      </c>
      <c r="G4519" s="24">
        <v>167587</v>
      </c>
    </row>
    <row r="4520" spans="1:7" x14ac:dyDescent="0.25">
      <c r="A4520" s="24" t="s">
        <v>556</v>
      </c>
      <c r="B4520" s="24" t="s">
        <v>51</v>
      </c>
      <c r="C4520" s="24" t="s">
        <v>31</v>
      </c>
      <c r="D4520" s="24">
        <v>189</v>
      </c>
      <c r="E4520" s="24" t="s">
        <v>801</v>
      </c>
      <c r="F4520" s="24" t="s">
        <v>1110</v>
      </c>
      <c r="G4520" s="24">
        <v>167587</v>
      </c>
    </row>
    <row r="4521" spans="1:7" x14ac:dyDescent="0.25">
      <c r="A4521" s="24" t="s">
        <v>556</v>
      </c>
      <c r="B4521" s="24" t="s">
        <v>52</v>
      </c>
      <c r="C4521" s="24" t="s">
        <v>31</v>
      </c>
      <c r="D4521" s="24">
        <v>208</v>
      </c>
      <c r="E4521" s="24" t="s">
        <v>801</v>
      </c>
      <c r="F4521" s="24" t="s">
        <v>1110</v>
      </c>
      <c r="G4521" s="24">
        <v>167587</v>
      </c>
    </row>
    <row r="4522" spans="1:7" x14ac:dyDescent="0.25">
      <c r="A4522" s="24" t="s">
        <v>556</v>
      </c>
      <c r="B4522" s="24" t="s">
        <v>53</v>
      </c>
      <c r="C4522" s="24" t="s">
        <v>31</v>
      </c>
      <c r="D4522" s="24">
        <v>63</v>
      </c>
      <c r="E4522" s="24" t="s">
        <v>801</v>
      </c>
      <c r="F4522" s="24" t="s">
        <v>1110</v>
      </c>
      <c r="G4522" s="24">
        <v>167587</v>
      </c>
    </row>
    <row r="4523" spans="1:7" x14ac:dyDescent="0.25">
      <c r="A4523" s="24" t="s">
        <v>556</v>
      </c>
      <c r="B4523" s="24" t="s">
        <v>54</v>
      </c>
      <c r="C4523" s="24" t="s">
        <v>31</v>
      </c>
      <c r="D4523" s="24">
        <v>2.4</v>
      </c>
      <c r="E4523" s="24" t="s">
        <v>801</v>
      </c>
      <c r="F4523" s="24" t="s">
        <v>1110</v>
      </c>
      <c r="G4523" s="24">
        <v>167587</v>
      </c>
    </row>
    <row r="4524" spans="1:7" x14ac:dyDescent="0.25">
      <c r="A4524" s="24" t="s">
        <v>556</v>
      </c>
      <c r="B4524" s="24" t="s">
        <v>55</v>
      </c>
      <c r="C4524" s="24" t="s">
        <v>31</v>
      </c>
      <c r="D4524" s="24">
        <v>2.2999999999999998</v>
      </c>
      <c r="E4524" s="24" t="s">
        <v>801</v>
      </c>
      <c r="F4524" s="24" t="s">
        <v>1110</v>
      </c>
      <c r="G4524" s="24">
        <v>167587</v>
      </c>
    </row>
    <row r="4525" spans="1:7" x14ac:dyDescent="0.25">
      <c r="A4525" s="24" t="s">
        <v>556</v>
      </c>
      <c r="B4525" s="24" t="s">
        <v>56</v>
      </c>
      <c r="C4525" s="24" t="s">
        <v>31</v>
      </c>
      <c r="D4525" s="24">
        <v>0.5</v>
      </c>
      <c r="E4525" s="24" t="s">
        <v>801</v>
      </c>
      <c r="F4525" s="24" t="s">
        <v>1110</v>
      </c>
      <c r="G4525" s="24">
        <v>167587</v>
      </c>
    </row>
    <row r="4526" spans="1:7" x14ac:dyDescent="0.25">
      <c r="A4526" s="24" t="s">
        <v>556</v>
      </c>
      <c r="B4526" s="24" t="s">
        <v>57</v>
      </c>
      <c r="C4526" s="24" t="s">
        <v>36</v>
      </c>
      <c r="D4526" s="24">
        <v>4.5</v>
      </c>
      <c r="E4526" s="24" t="s">
        <v>801</v>
      </c>
      <c r="F4526" s="24" t="s">
        <v>1110</v>
      </c>
      <c r="G4526" s="24">
        <v>167587</v>
      </c>
    </row>
    <row r="4527" spans="1:7" x14ac:dyDescent="0.25">
      <c r="A4527" s="24" t="s">
        <v>556</v>
      </c>
      <c r="B4527" s="24" t="s">
        <v>58</v>
      </c>
      <c r="C4527" s="24" t="s">
        <v>5</v>
      </c>
      <c r="D4527" s="24">
        <v>0</v>
      </c>
      <c r="E4527" s="24" t="s">
        <v>795</v>
      </c>
      <c r="F4527" s="24"/>
      <c r="G4527" s="24"/>
    </row>
    <row r="4528" spans="1:7" x14ac:dyDescent="0.25">
      <c r="A4528" s="24" t="s">
        <v>556</v>
      </c>
      <c r="B4528" s="24" t="s">
        <v>18</v>
      </c>
      <c r="C4528" s="24" t="s">
        <v>5</v>
      </c>
      <c r="D4528" s="24">
        <v>0.6</v>
      </c>
      <c r="E4528" s="24" t="s">
        <v>803</v>
      </c>
      <c r="F4528" s="24"/>
      <c r="G4528" s="24"/>
    </row>
    <row r="4529" spans="1:7" x14ac:dyDescent="0.25">
      <c r="A4529" s="24" t="s">
        <v>557</v>
      </c>
      <c r="B4529" s="24" t="s">
        <v>23</v>
      </c>
      <c r="C4529" s="24" t="s">
        <v>5</v>
      </c>
      <c r="D4529" s="24">
        <v>21.1</v>
      </c>
      <c r="E4529" s="24" t="s">
        <v>801</v>
      </c>
      <c r="F4529" s="24" t="s">
        <v>1111</v>
      </c>
      <c r="G4529" s="24">
        <v>172759</v>
      </c>
    </row>
    <row r="4530" spans="1:7" x14ac:dyDescent="0.25">
      <c r="A4530" s="24" t="s">
        <v>557</v>
      </c>
      <c r="B4530" s="24" t="s">
        <v>26</v>
      </c>
      <c r="C4530" s="24" t="s">
        <v>5</v>
      </c>
      <c r="D4530" s="24">
        <v>2.67</v>
      </c>
      <c r="E4530" s="24" t="s">
        <v>799</v>
      </c>
      <c r="F4530" s="24" t="s">
        <v>1111</v>
      </c>
      <c r="G4530" s="24">
        <v>172759</v>
      </c>
    </row>
    <row r="4531" spans="1:7" x14ac:dyDescent="0.25">
      <c r="A4531" s="24" t="s">
        <v>557</v>
      </c>
      <c r="B4531" s="24" t="s">
        <v>27</v>
      </c>
      <c r="C4531" s="24" t="s">
        <v>5</v>
      </c>
      <c r="D4531" s="24">
        <v>5.63</v>
      </c>
      <c r="E4531" s="24" t="s">
        <v>799</v>
      </c>
      <c r="F4531" s="24" t="s">
        <v>1111</v>
      </c>
      <c r="G4531" s="24">
        <v>172759</v>
      </c>
    </row>
    <row r="4532" spans="1:7" x14ac:dyDescent="0.25">
      <c r="A4532" s="24" t="s">
        <v>557</v>
      </c>
      <c r="B4532" s="24" t="s">
        <v>28</v>
      </c>
      <c r="C4532" s="24" t="s">
        <v>5</v>
      </c>
      <c r="D4532" s="24">
        <v>1.31</v>
      </c>
      <c r="E4532" s="24" t="s">
        <v>799</v>
      </c>
      <c r="F4532" s="24" t="s">
        <v>1111</v>
      </c>
      <c r="G4532" s="24">
        <v>172759</v>
      </c>
    </row>
    <row r="4533" spans="1:7" x14ac:dyDescent="0.25">
      <c r="A4533" s="24" t="s">
        <v>557</v>
      </c>
      <c r="B4533" s="24" t="s">
        <v>30</v>
      </c>
      <c r="C4533" s="24" t="s">
        <v>31</v>
      </c>
      <c r="D4533" s="24">
        <v>26</v>
      </c>
      <c r="E4533" s="24" t="s">
        <v>801</v>
      </c>
      <c r="F4533" s="24" t="s">
        <v>1111</v>
      </c>
      <c r="G4533" s="24">
        <v>172759</v>
      </c>
    </row>
    <row r="4534" spans="1:7" x14ac:dyDescent="0.25">
      <c r="A4534" s="24" t="s">
        <v>557</v>
      </c>
      <c r="B4534" s="24" t="s">
        <v>32</v>
      </c>
      <c r="C4534" s="24" t="s">
        <v>33</v>
      </c>
      <c r="D4534" s="24">
        <v>17</v>
      </c>
      <c r="E4534" s="24" t="s">
        <v>801</v>
      </c>
      <c r="F4534" s="24" t="s">
        <v>1111</v>
      </c>
      <c r="G4534" s="24">
        <v>172759</v>
      </c>
    </row>
    <row r="4535" spans="1:7" x14ac:dyDescent="0.25">
      <c r="A4535" s="24" t="s">
        <v>557</v>
      </c>
      <c r="B4535" s="24" t="s">
        <v>34</v>
      </c>
      <c r="C4535" s="24" t="s">
        <v>31</v>
      </c>
      <c r="D4535" s="24">
        <v>0</v>
      </c>
      <c r="E4535" s="24" t="s">
        <v>801</v>
      </c>
      <c r="F4535" s="24" t="s">
        <v>1111</v>
      </c>
      <c r="G4535" s="24">
        <v>172759</v>
      </c>
    </row>
    <row r="4536" spans="1:7" x14ac:dyDescent="0.25">
      <c r="A4536" s="24" t="s">
        <v>557</v>
      </c>
      <c r="B4536" s="24" t="s">
        <v>35</v>
      </c>
      <c r="C4536" s="24" t="s">
        <v>36</v>
      </c>
      <c r="D4536" s="24">
        <v>0</v>
      </c>
      <c r="E4536" s="24" t="s">
        <v>801</v>
      </c>
      <c r="F4536" s="24" t="s">
        <v>1111</v>
      </c>
      <c r="G4536" s="24">
        <v>172759</v>
      </c>
    </row>
    <row r="4537" spans="1:7" x14ac:dyDescent="0.25">
      <c r="A4537" s="24" t="s">
        <v>557</v>
      </c>
      <c r="B4537" s="24" t="s">
        <v>37</v>
      </c>
      <c r="C4537" s="24" t="s">
        <v>38</v>
      </c>
      <c r="D4537" s="24">
        <v>0.4</v>
      </c>
      <c r="E4537" s="24" t="s">
        <v>801</v>
      </c>
      <c r="F4537" s="24" t="s">
        <v>1111</v>
      </c>
      <c r="G4537" s="24">
        <v>172759</v>
      </c>
    </row>
    <row r="4538" spans="1:7" x14ac:dyDescent="0.25">
      <c r="A4538" s="24" t="s">
        <v>557</v>
      </c>
      <c r="B4538" s="24" t="s">
        <v>39</v>
      </c>
      <c r="C4538" s="24" t="s">
        <v>36</v>
      </c>
      <c r="D4538" s="24">
        <v>7.1</v>
      </c>
      <c r="E4538" s="24" t="s">
        <v>801</v>
      </c>
      <c r="F4538" s="24" t="s">
        <v>1111</v>
      </c>
      <c r="G4538" s="24">
        <v>172759</v>
      </c>
    </row>
    <row r="4539" spans="1:7" x14ac:dyDescent="0.25">
      <c r="A4539" s="24" t="s">
        <v>557</v>
      </c>
      <c r="B4539" s="24" t="s">
        <v>42</v>
      </c>
      <c r="C4539" s="24" t="s">
        <v>43</v>
      </c>
      <c r="D4539" s="24">
        <v>2.1</v>
      </c>
      <c r="E4539" s="24" t="s">
        <v>801</v>
      </c>
      <c r="F4539" s="24" t="s">
        <v>1111</v>
      </c>
      <c r="G4539" s="24">
        <v>172759</v>
      </c>
    </row>
    <row r="4540" spans="1:7" x14ac:dyDescent="0.25">
      <c r="A4540" s="24" t="s">
        <v>557</v>
      </c>
      <c r="B4540" s="24" t="s">
        <v>44</v>
      </c>
      <c r="C4540" s="24" t="s">
        <v>31</v>
      </c>
      <c r="D4540" s="24">
        <v>0.1</v>
      </c>
      <c r="E4540" s="24" t="s">
        <v>801</v>
      </c>
      <c r="F4540" s="24" t="s">
        <v>1111</v>
      </c>
      <c r="G4540" s="24">
        <v>172759</v>
      </c>
    </row>
    <row r="4541" spans="1:7" x14ac:dyDescent="0.25">
      <c r="A4541" s="24" t="s">
        <v>557</v>
      </c>
      <c r="B4541" s="24" t="s">
        <v>45</v>
      </c>
      <c r="C4541" s="24" t="s">
        <v>31</v>
      </c>
      <c r="D4541" s="24">
        <v>0.9</v>
      </c>
      <c r="E4541" s="24" t="s">
        <v>801</v>
      </c>
      <c r="F4541" s="24" t="s">
        <v>1111</v>
      </c>
      <c r="G4541" s="24">
        <v>172759</v>
      </c>
    </row>
    <row r="4542" spans="1:7" x14ac:dyDescent="0.25">
      <c r="A4542" s="24" t="s">
        <v>557</v>
      </c>
      <c r="B4542" s="24" t="s">
        <v>46</v>
      </c>
      <c r="C4542" s="24" t="s">
        <v>36</v>
      </c>
      <c r="D4542" s="24">
        <v>0.2</v>
      </c>
      <c r="E4542" s="24" t="s">
        <v>801</v>
      </c>
      <c r="F4542" s="24" t="s">
        <v>1111</v>
      </c>
      <c r="G4542" s="24">
        <v>172759</v>
      </c>
    </row>
    <row r="4543" spans="1:7" x14ac:dyDescent="0.25">
      <c r="A4543" s="24" t="s">
        <v>557</v>
      </c>
      <c r="B4543" s="24" t="s">
        <v>47</v>
      </c>
      <c r="C4543" s="24" t="s">
        <v>48</v>
      </c>
      <c r="D4543" s="24">
        <v>104</v>
      </c>
      <c r="E4543" s="24" t="s">
        <v>801</v>
      </c>
      <c r="F4543" s="24" t="s">
        <v>1111</v>
      </c>
      <c r="G4543" s="24">
        <v>172759</v>
      </c>
    </row>
    <row r="4544" spans="1:7" x14ac:dyDescent="0.25">
      <c r="A4544" s="24" t="s">
        <v>557</v>
      </c>
      <c r="B4544" s="24" t="s">
        <v>53</v>
      </c>
      <c r="C4544" s="24" t="s">
        <v>31</v>
      </c>
      <c r="D4544" s="24">
        <v>20</v>
      </c>
      <c r="E4544" s="24" t="s">
        <v>801</v>
      </c>
      <c r="F4544" s="24" t="s">
        <v>1111</v>
      </c>
      <c r="G4544" s="24">
        <v>172759</v>
      </c>
    </row>
    <row r="4545" spans="1:7" x14ac:dyDescent="0.25">
      <c r="A4545" s="24" t="s">
        <v>557</v>
      </c>
      <c r="B4545" s="24" t="s">
        <v>55</v>
      </c>
      <c r="C4545" s="24" t="s">
        <v>31</v>
      </c>
      <c r="D4545" s="24">
        <v>0.8</v>
      </c>
      <c r="E4545" s="24" t="s">
        <v>801</v>
      </c>
      <c r="F4545" s="24" t="s">
        <v>1111</v>
      </c>
      <c r="G4545" s="24">
        <v>172759</v>
      </c>
    </row>
    <row r="4546" spans="1:7" x14ac:dyDescent="0.25">
      <c r="A4546" s="24" t="s">
        <v>557</v>
      </c>
      <c r="B4546" s="24" t="s">
        <v>56</v>
      </c>
      <c r="C4546" s="24" t="s">
        <v>31</v>
      </c>
      <c r="D4546" s="24">
        <v>0.1</v>
      </c>
      <c r="E4546" s="24" t="s">
        <v>801</v>
      </c>
      <c r="F4546" s="24" t="s">
        <v>1111</v>
      </c>
      <c r="G4546" s="24">
        <v>172759</v>
      </c>
    </row>
    <row r="4547" spans="1:7" x14ac:dyDescent="0.25">
      <c r="A4547" s="24" t="s">
        <v>557</v>
      </c>
      <c r="B4547" s="24" t="s">
        <v>57</v>
      </c>
      <c r="C4547" s="24" t="s">
        <v>36</v>
      </c>
      <c r="D4547" s="24">
        <v>12.5</v>
      </c>
      <c r="E4547" s="24" t="s">
        <v>801</v>
      </c>
      <c r="F4547" s="24" t="s">
        <v>1111</v>
      </c>
      <c r="G4547" s="24">
        <v>172759</v>
      </c>
    </row>
    <row r="4548" spans="1:7" x14ac:dyDescent="0.25">
      <c r="A4548" s="24" t="s">
        <v>557</v>
      </c>
      <c r="B4548" s="24" t="s">
        <v>58</v>
      </c>
      <c r="C4548" s="24" t="s">
        <v>5</v>
      </c>
      <c r="D4548" s="24">
        <v>0</v>
      </c>
      <c r="E4548" s="24" t="s">
        <v>795</v>
      </c>
      <c r="F4548" s="24"/>
      <c r="G4548" s="24"/>
    </row>
    <row r="4549" spans="1:7" x14ac:dyDescent="0.25">
      <c r="A4549" s="24" t="s">
        <v>558</v>
      </c>
      <c r="B4549" s="24" t="s">
        <v>23</v>
      </c>
      <c r="C4549" s="24" t="s">
        <v>5</v>
      </c>
      <c r="D4549" s="24">
        <v>39</v>
      </c>
      <c r="E4549" s="24" t="s">
        <v>796</v>
      </c>
      <c r="F4549" s="24" t="s">
        <v>1112</v>
      </c>
      <c r="G4549" s="24">
        <v>172706</v>
      </c>
    </row>
    <row r="4550" spans="1:7" x14ac:dyDescent="0.25">
      <c r="A4550" s="24" t="s">
        <v>558</v>
      </c>
      <c r="B4550" s="24" t="s">
        <v>26</v>
      </c>
      <c r="C4550" s="24" t="s">
        <v>5</v>
      </c>
      <c r="D4550" s="24">
        <v>5.17</v>
      </c>
      <c r="E4550" s="24" t="s">
        <v>799</v>
      </c>
      <c r="F4550" s="24" t="s">
        <v>1112</v>
      </c>
      <c r="G4550" s="24">
        <v>172706</v>
      </c>
    </row>
    <row r="4551" spans="1:7" x14ac:dyDescent="0.25">
      <c r="A4551" s="24" t="s">
        <v>558</v>
      </c>
      <c r="B4551" s="24" t="s">
        <v>27</v>
      </c>
      <c r="C4551" s="24" t="s">
        <v>5</v>
      </c>
      <c r="D4551" s="24">
        <v>6.12</v>
      </c>
      <c r="E4551" s="24" t="s">
        <v>799</v>
      </c>
      <c r="F4551" s="24" t="s">
        <v>1112</v>
      </c>
      <c r="G4551" s="24">
        <v>172706</v>
      </c>
    </row>
    <row r="4552" spans="1:7" x14ac:dyDescent="0.25">
      <c r="A4552" s="24" t="s">
        <v>558</v>
      </c>
      <c r="B4552" s="24" t="s">
        <v>28</v>
      </c>
      <c r="C4552" s="24" t="s">
        <v>5</v>
      </c>
      <c r="D4552" s="24">
        <v>2.89</v>
      </c>
      <c r="E4552" s="24" t="s">
        <v>799</v>
      </c>
      <c r="F4552" s="24" t="s">
        <v>1112</v>
      </c>
      <c r="G4552" s="24">
        <v>172706</v>
      </c>
    </row>
    <row r="4553" spans="1:7" x14ac:dyDescent="0.25">
      <c r="A4553" s="24" t="s">
        <v>558</v>
      </c>
      <c r="B4553" s="24" t="s">
        <v>30</v>
      </c>
      <c r="C4553" s="24" t="s">
        <v>31</v>
      </c>
      <c r="D4553" s="24">
        <v>102</v>
      </c>
      <c r="E4553" s="24" t="s">
        <v>801</v>
      </c>
      <c r="F4553" s="24" t="s">
        <v>1112</v>
      </c>
      <c r="G4553" s="24">
        <v>172706</v>
      </c>
    </row>
    <row r="4554" spans="1:7" x14ac:dyDescent="0.25">
      <c r="A4554" s="24" t="s">
        <v>558</v>
      </c>
      <c r="B4554" s="24" t="s">
        <v>32</v>
      </c>
      <c r="C4554" s="24" t="s">
        <v>33</v>
      </c>
      <c r="D4554" s="24">
        <v>46.8</v>
      </c>
      <c r="E4554" s="24" t="s">
        <v>796</v>
      </c>
      <c r="F4554" s="24" t="s">
        <v>1112</v>
      </c>
      <c r="G4554" s="24">
        <v>172706</v>
      </c>
    </row>
    <row r="4555" spans="1:7" x14ac:dyDescent="0.25">
      <c r="A4555" s="24" t="s">
        <v>558</v>
      </c>
      <c r="B4555" s="24" t="s">
        <v>34</v>
      </c>
      <c r="C4555" s="24" t="s">
        <v>31</v>
      </c>
      <c r="D4555" s="24">
        <v>0</v>
      </c>
      <c r="E4555" s="24" t="s">
        <v>796</v>
      </c>
      <c r="F4555" s="24" t="s">
        <v>1112</v>
      </c>
      <c r="G4555" s="24">
        <v>172706</v>
      </c>
    </row>
    <row r="4556" spans="1:7" x14ac:dyDescent="0.25">
      <c r="A4556" s="24" t="s">
        <v>558</v>
      </c>
      <c r="B4556" s="24" t="s">
        <v>35</v>
      </c>
      <c r="C4556" s="24" t="s">
        <v>36</v>
      </c>
      <c r="D4556" s="24">
        <v>0.2</v>
      </c>
      <c r="E4556" s="24" t="s">
        <v>796</v>
      </c>
      <c r="F4556" s="24" t="s">
        <v>1112</v>
      </c>
      <c r="G4556" s="24">
        <v>172706</v>
      </c>
    </row>
    <row r="4557" spans="1:7" x14ac:dyDescent="0.25">
      <c r="A4557" s="24" t="s">
        <v>558</v>
      </c>
      <c r="B4557" s="24" t="s">
        <v>37</v>
      </c>
      <c r="C4557" s="24" t="s">
        <v>38</v>
      </c>
      <c r="D4557" s="24">
        <v>0.3</v>
      </c>
      <c r="E4557" s="24" t="s">
        <v>796</v>
      </c>
      <c r="F4557" s="24" t="s">
        <v>1112</v>
      </c>
      <c r="G4557" s="24">
        <v>172706</v>
      </c>
    </row>
    <row r="4558" spans="1:7" x14ac:dyDescent="0.25">
      <c r="A4558" s="24" t="s">
        <v>558</v>
      </c>
      <c r="B4558" s="24" t="s">
        <v>39</v>
      </c>
      <c r="C4558" s="24" t="s">
        <v>36</v>
      </c>
      <c r="D4558" s="24">
        <v>0.2</v>
      </c>
      <c r="E4558" s="24" t="s">
        <v>796</v>
      </c>
      <c r="F4558" s="24" t="s">
        <v>1112</v>
      </c>
      <c r="G4558" s="24">
        <v>172706</v>
      </c>
    </row>
    <row r="4559" spans="1:7" x14ac:dyDescent="0.25">
      <c r="A4559" s="24" t="s">
        <v>558</v>
      </c>
      <c r="B4559" s="24" t="s">
        <v>42</v>
      </c>
      <c r="C4559" s="24" t="s">
        <v>43</v>
      </c>
      <c r="D4559" s="24">
        <v>2.1</v>
      </c>
      <c r="E4559" s="24" t="s">
        <v>796</v>
      </c>
      <c r="F4559" s="24" t="s">
        <v>1112</v>
      </c>
      <c r="G4559" s="24">
        <v>172706</v>
      </c>
    </row>
    <row r="4560" spans="1:7" x14ac:dyDescent="0.25">
      <c r="A4560" s="24" t="s">
        <v>558</v>
      </c>
      <c r="B4560" s="24" t="s">
        <v>44</v>
      </c>
      <c r="C4560" s="24" t="s">
        <v>31</v>
      </c>
      <c r="D4560" s="24">
        <v>0.1</v>
      </c>
      <c r="E4560" s="24" t="s">
        <v>796</v>
      </c>
      <c r="F4560" s="24" t="s">
        <v>1112</v>
      </c>
      <c r="G4560" s="24">
        <v>172706</v>
      </c>
    </row>
    <row r="4561" spans="1:7" x14ac:dyDescent="0.25">
      <c r="A4561" s="24" t="s">
        <v>558</v>
      </c>
      <c r="B4561" s="24" t="s">
        <v>45</v>
      </c>
      <c r="C4561" s="24" t="s">
        <v>31</v>
      </c>
      <c r="D4561" s="24">
        <v>0.5</v>
      </c>
      <c r="E4561" s="24" t="s">
        <v>796</v>
      </c>
      <c r="F4561" s="24" t="s">
        <v>1112</v>
      </c>
      <c r="G4561" s="24">
        <v>172706</v>
      </c>
    </row>
    <row r="4562" spans="1:7" x14ac:dyDescent="0.25">
      <c r="A4562" s="24" t="s">
        <v>558</v>
      </c>
      <c r="B4562" s="24" t="s">
        <v>46</v>
      </c>
      <c r="C4562" s="24" t="s">
        <v>36</v>
      </c>
      <c r="D4562" s="24">
        <v>0.3</v>
      </c>
      <c r="E4562" s="24" t="s">
        <v>796</v>
      </c>
      <c r="F4562" s="24" t="s">
        <v>1112</v>
      </c>
      <c r="G4562" s="24">
        <v>172706</v>
      </c>
    </row>
    <row r="4563" spans="1:7" x14ac:dyDescent="0.25">
      <c r="A4563" s="24" t="s">
        <v>558</v>
      </c>
      <c r="B4563" s="24" t="s">
        <v>47</v>
      </c>
      <c r="C4563" s="24" t="s">
        <v>48</v>
      </c>
      <c r="D4563" s="24">
        <v>75.5</v>
      </c>
      <c r="E4563" s="24" t="s">
        <v>796</v>
      </c>
      <c r="F4563" s="24" t="s">
        <v>1112</v>
      </c>
      <c r="G4563" s="24">
        <v>172706</v>
      </c>
    </row>
    <row r="4564" spans="1:7" x14ac:dyDescent="0.25">
      <c r="A4564" s="24" t="s">
        <v>558</v>
      </c>
      <c r="B4564" s="24" t="s">
        <v>53</v>
      </c>
      <c r="C4564" s="24" t="s">
        <v>31</v>
      </c>
      <c r="D4564" s="24">
        <v>11.7</v>
      </c>
      <c r="E4564" s="24" t="s">
        <v>796</v>
      </c>
      <c r="F4564" s="24" t="s">
        <v>1112</v>
      </c>
      <c r="G4564" s="24">
        <v>172706</v>
      </c>
    </row>
    <row r="4565" spans="1:7" x14ac:dyDescent="0.25">
      <c r="A4565" s="24" t="s">
        <v>558</v>
      </c>
      <c r="B4565" s="24" t="s">
        <v>55</v>
      </c>
      <c r="C4565" s="24" t="s">
        <v>31</v>
      </c>
      <c r="D4565" s="24">
        <v>0.5</v>
      </c>
      <c r="E4565" s="24" t="s">
        <v>796</v>
      </c>
      <c r="F4565" s="24" t="s">
        <v>1112</v>
      </c>
      <c r="G4565" s="24">
        <v>172706</v>
      </c>
    </row>
    <row r="4566" spans="1:7" x14ac:dyDescent="0.25">
      <c r="A4566" s="24" t="s">
        <v>558</v>
      </c>
      <c r="B4566" s="24" t="s">
        <v>56</v>
      </c>
      <c r="C4566" s="24" t="s">
        <v>31</v>
      </c>
      <c r="D4566" s="24">
        <v>0.1</v>
      </c>
      <c r="E4566" s="24" t="s">
        <v>796</v>
      </c>
      <c r="F4566" s="24" t="s">
        <v>1112</v>
      </c>
      <c r="G4566" s="24">
        <v>172706</v>
      </c>
    </row>
    <row r="4567" spans="1:7" x14ac:dyDescent="0.25">
      <c r="A4567" s="24" t="s">
        <v>558</v>
      </c>
      <c r="B4567" s="24" t="s">
        <v>57</v>
      </c>
      <c r="C4567" s="24" t="s">
        <v>36</v>
      </c>
      <c r="D4567" s="24">
        <v>9.6999999999999993</v>
      </c>
      <c r="E4567" s="24" t="s">
        <v>796</v>
      </c>
      <c r="F4567" s="24" t="s">
        <v>1112</v>
      </c>
      <c r="G4567" s="24">
        <v>172706</v>
      </c>
    </row>
    <row r="4568" spans="1:7" x14ac:dyDescent="0.25">
      <c r="A4568" s="24" t="s">
        <v>558</v>
      </c>
      <c r="B4568" s="24" t="s">
        <v>58</v>
      </c>
      <c r="C4568" s="24" t="s">
        <v>5</v>
      </c>
      <c r="D4568" s="24">
        <v>0</v>
      </c>
      <c r="E4568" s="24" t="s">
        <v>795</v>
      </c>
      <c r="F4568" s="24"/>
      <c r="G4568" s="24"/>
    </row>
    <row r="4569" spans="1:7" x14ac:dyDescent="0.25">
      <c r="A4569" s="24" t="s">
        <v>559</v>
      </c>
      <c r="B4569" s="24" t="s">
        <v>58</v>
      </c>
      <c r="C4569" s="24" t="s">
        <v>5</v>
      </c>
      <c r="D4569" s="24">
        <v>0</v>
      </c>
      <c r="E4569" s="24" t="s">
        <v>795</v>
      </c>
      <c r="F4569" s="24"/>
      <c r="G4569" s="24"/>
    </row>
    <row r="4570" spans="1:7" x14ac:dyDescent="0.25">
      <c r="A4570" s="24" t="s">
        <v>560</v>
      </c>
      <c r="B4570" s="24" t="s">
        <v>26</v>
      </c>
      <c r="C4570" s="24" t="s">
        <v>5</v>
      </c>
      <c r="D4570" s="24">
        <v>0</v>
      </c>
      <c r="E4570" s="24" t="s">
        <v>994</v>
      </c>
      <c r="F4570" s="24"/>
      <c r="G4570" s="24"/>
    </row>
    <row r="4571" spans="1:7" x14ac:dyDescent="0.25">
      <c r="A4571" s="24" t="s">
        <v>560</v>
      </c>
      <c r="B4571" s="24" t="s">
        <v>27</v>
      </c>
      <c r="C4571" s="24" t="s">
        <v>5</v>
      </c>
      <c r="D4571" s="24">
        <v>0</v>
      </c>
      <c r="E4571" s="24" t="s">
        <v>994</v>
      </c>
      <c r="F4571" s="24"/>
      <c r="G4571" s="24"/>
    </row>
    <row r="4572" spans="1:7" x14ac:dyDescent="0.25">
      <c r="A4572" s="24" t="s">
        <v>560</v>
      </c>
      <c r="B4572" s="24" t="s">
        <v>28</v>
      </c>
      <c r="C4572" s="24" t="s">
        <v>5</v>
      </c>
      <c r="D4572" s="24">
        <v>0</v>
      </c>
      <c r="E4572" s="24" t="s">
        <v>994</v>
      </c>
      <c r="F4572" s="24"/>
      <c r="G4572" s="24"/>
    </row>
    <row r="4573" spans="1:7" x14ac:dyDescent="0.25">
      <c r="A4573" s="24" t="s">
        <v>560</v>
      </c>
      <c r="B4573" s="24" t="s">
        <v>29</v>
      </c>
      <c r="C4573" s="24" t="s">
        <v>5</v>
      </c>
      <c r="D4573" s="24">
        <v>0</v>
      </c>
      <c r="E4573" s="24" t="s">
        <v>994</v>
      </c>
      <c r="F4573" s="24"/>
      <c r="G4573" s="24"/>
    </row>
    <row r="4574" spans="1:7" x14ac:dyDescent="0.25">
      <c r="A4574" s="24" t="s">
        <v>560</v>
      </c>
      <c r="B4574" s="24" t="s">
        <v>30</v>
      </c>
      <c r="C4574" s="24" t="s">
        <v>31</v>
      </c>
      <c r="D4574" s="24">
        <v>0</v>
      </c>
      <c r="E4574" s="24" t="s">
        <v>801</v>
      </c>
      <c r="F4574" s="24" t="s">
        <v>1113</v>
      </c>
      <c r="G4574" s="24">
        <v>168833</v>
      </c>
    </row>
    <row r="4575" spans="1:7" x14ac:dyDescent="0.25">
      <c r="A4575" s="24" t="s">
        <v>560</v>
      </c>
      <c r="B4575" s="24" t="s">
        <v>32</v>
      </c>
      <c r="C4575" s="24" t="s">
        <v>33</v>
      </c>
      <c r="D4575" s="24">
        <v>0</v>
      </c>
      <c r="E4575" s="24" t="s">
        <v>796</v>
      </c>
      <c r="F4575" s="24" t="s">
        <v>1113</v>
      </c>
      <c r="G4575" s="24">
        <v>168833</v>
      </c>
    </row>
    <row r="4576" spans="1:7" x14ac:dyDescent="0.25">
      <c r="A4576" s="24" t="s">
        <v>560</v>
      </c>
      <c r="B4576" s="24" t="s">
        <v>34</v>
      </c>
      <c r="C4576" s="24" t="s">
        <v>31</v>
      </c>
      <c r="D4576" s="24">
        <v>0</v>
      </c>
      <c r="E4576" s="24" t="s">
        <v>796</v>
      </c>
      <c r="F4576" s="24" t="s">
        <v>1113</v>
      </c>
      <c r="G4576" s="24">
        <v>168833</v>
      </c>
    </row>
    <row r="4577" spans="1:7" x14ac:dyDescent="0.25">
      <c r="A4577" s="24" t="s">
        <v>560</v>
      </c>
      <c r="B4577" s="24" t="s">
        <v>35</v>
      </c>
      <c r="C4577" s="24" t="s">
        <v>36</v>
      </c>
      <c r="D4577" s="24">
        <v>0</v>
      </c>
      <c r="E4577" s="24" t="s">
        <v>796</v>
      </c>
      <c r="F4577" s="24" t="s">
        <v>1113</v>
      </c>
      <c r="G4577" s="24">
        <v>168833</v>
      </c>
    </row>
    <row r="4578" spans="1:7" x14ac:dyDescent="0.25">
      <c r="A4578" s="24" t="s">
        <v>560</v>
      </c>
      <c r="B4578" s="24" t="s">
        <v>37</v>
      </c>
      <c r="C4578" s="24" t="s">
        <v>38</v>
      </c>
      <c r="D4578" s="24">
        <v>0</v>
      </c>
      <c r="E4578" s="24" t="s">
        <v>796</v>
      </c>
      <c r="F4578" s="24" t="s">
        <v>1113</v>
      </c>
      <c r="G4578" s="24">
        <v>168833</v>
      </c>
    </row>
    <row r="4579" spans="1:7" x14ac:dyDescent="0.25">
      <c r="A4579" s="24" t="s">
        <v>560</v>
      </c>
      <c r="B4579" s="24" t="s">
        <v>39</v>
      </c>
      <c r="C4579" s="24" t="s">
        <v>36</v>
      </c>
      <c r="D4579" s="24">
        <v>0</v>
      </c>
      <c r="E4579" s="24" t="s">
        <v>796</v>
      </c>
      <c r="F4579" s="24" t="s">
        <v>1113</v>
      </c>
      <c r="G4579" s="24">
        <v>168833</v>
      </c>
    </row>
    <row r="4580" spans="1:7" x14ac:dyDescent="0.25">
      <c r="A4580" s="24" t="s">
        <v>560</v>
      </c>
      <c r="B4580" s="24" t="s">
        <v>40</v>
      </c>
      <c r="C4580" s="24" t="s">
        <v>31</v>
      </c>
      <c r="D4580" s="24">
        <v>0</v>
      </c>
      <c r="E4580" s="24" t="s">
        <v>796</v>
      </c>
      <c r="F4580" s="24" t="s">
        <v>1113</v>
      </c>
      <c r="G4580" s="24">
        <v>168833</v>
      </c>
    </row>
    <row r="4581" spans="1:7" x14ac:dyDescent="0.25">
      <c r="A4581" s="24" t="s">
        <v>560</v>
      </c>
      <c r="B4581" s="24" t="s">
        <v>41</v>
      </c>
      <c r="C4581" s="24" t="s">
        <v>31</v>
      </c>
      <c r="D4581" s="24">
        <v>0</v>
      </c>
      <c r="E4581" s="24" t="s">
        <v>796</v>
      </c>
      <c r="F4581" s="24" t="s">
        <v>1113</v>
      </c>
      <c r="G4581" s="24">
        <v>168833</v>
      </c>
    </row>
    <row r="4582" spans="1:7" x14ac:dyDescent="0.25">
      <c r="A4582" s="24" t="s">
        <v>560</v>
      </c>
      <c r="B4582" s="24" t="s">
        <v>42</v>
      </c>
      <c r="C4582" s="24" t="s">
        <v>43</v>
      </c>
      <c r="D4582" s="24">
        <v>0.1</v>
      </c>
      <c r="E4582" s="24" t="s">
        <v>796</v>
      </c>
      <c r="F4582" s="24" t="s">
        <v>1113</v>
      </c>
      <c r="G4582" s="24">
        <v>168833</v>
      </c>
    </row>
    <row r="4583" spans="1:7" x14ac:dyDescent="0.25">
      <c r="A4583" s="24" t="s">
        <v>560</v>
      </c>
      <c r="B4583" s="24" t="s">
        <v>44</v>
      </c>
      <c r="C4583" s="24" t="s">
        <v>31</v>
      </c>
      <c r="D4583" s="24">
        <v>0</v>
      </c>
      <c r="E4583" s="24" t="s">
        <v>796</v>
      </c>
      <c r="F4583" s="24" t="s">
        <v>1113</v>
      </c>
      <c r="G4583" s="24">
        <v>168833</v>
      </c>
    </row>
    <row r="4584" spans="1:7" x14ac:dyDescent="0.25">
      <c r="A4584" s="24" t="s">
        <v>560</v>
      </c>
      <c r="B4584" s="24" t="s">
        <v>45</v>
      </c>
      <c r="C4584" s="24" t="s">
        <v>31</v>
      </c>
      <c r="D4584" s="24">
        <v>0.1</v>
      </c>
      <c r="E4584" s="24" t="s">
        <v>796</v>
      </c>
      <c r="F4584" s="24" t="s">
        <v>1113</v>
      </c>
      <c r="G4584" s="24">
        <v>168833</v>
      </c>
    </row>
    <row r="4585" spans="1:7" x14ac:dyDescent="0.25">
      <c r="A4585" s="24" t="s">
        <v>560</v>
      </c>
      <c r="B4585" s="24" t="s">
        <v>46</v>
      </c>
      <c r="C4585" s="24" t="s">
        <v>36</v>
      </c>
      <c r="D4585" s="24">
        <v>0</v>
      </c>
      <c r="E4585" s="24" t="s">
        <v>796</v>
      </c>
      <c r="F4585" s="24" t="s">
        <v>1113</v>
      </c>
      <c r="G4585" s="24">
        <v>168833</v>
      </c>
    </row>
    <row r="4586" spans="1:7" x14ac:dyDescent="0.25">
      <c r="A4586" s="24" t="s">
        <v>560</v>
      </c>
      <c r="B4586" s="24" t="s">
        <v>47</v>
      </c>
      <c r="C4586" s="24" t="s">
        <v>48</v>
      </c>
      <c r="D4586" s="24">
        <v>0.9</v>
      </c>
      <c r="E4586" s="24" t="s">
        <v>796</v>
      </c>
      <c r="F4586" s="24" t="s">
        <v>1113</v>
      </c>
      <c r="G4586" s="24">
        <v>168833</v>
      </c>
    </row>
    <row r="4587" spans="1:7" x14ac:dyDescent="0.25">
      <c r="A4587" s="24" t="s">
        <v>560</v>
      </c>
      <c r="B4587" s="24" t="s">
        <v>50</v>
      </c>
      <c r="C4587" s="24" t="s">
        <v>31</v>
      </c>
      <c r="D4587" s="24">
        <v>125</v>
      </c>
      <c r="E4587" s="24" t="s">
        <v>796</v>
      </c>
      <c r="F4587" s="24" t="s">
        <v>1113</v>
      </c>
      <c r="G4587" s="24">
        <v>168833</v>
      </c>
    </row>
    <row r="4588" spans="1:7" x14ac:dyDescent="0.25">
      <c r="A4588" s="24" t="s">
        <v>560</v>
      </c>
      <c r="B4588" s="24" t="s">
        <v>51</v>
      </c>
      <c r="C4588" s="24" t="s">
        <v>31</v>
      </c>
      <c r="D4588" s="24">
        <v>78</v>
      </c>
      <c r="E4588" s="24" t="s">
        <v>796</v>
      </c>
      <c r="F4588" s="24" t="s">
        <v>1113</v>
      </c>
      <c r="G4588" s="24">
        <v>168833</v>
      </c>
    </row>
    <row r="4589" spans="1:7" x14ac:dyDescent="0.25">
      <c r="A4589" s="24" t="s">
        <v>560</v>
      </c>
      <c r="B4589" s="24" t="s">
        <v>52</v>
      </c>
      <c r="C4589" s="24" t="s">
        <v>31</v>
      </c>
      <c r="D4589" s="24">
        <v>3.8</v>
      </c>
      <c r="E4589" s="24" t="s">
        <v>796</v>
      </c>
      <c r="F4589" s="24" t="s">
        <v>1113</v>
      </c>
      <c r="G4589" s="24">
        <v>168833</v>
      </c>
    </row>
    <row r="4590" spans="1:7" x14ac:dyDescent="0.25">
      <c r="A4590" s="24" t="s">
        <v>560</v>
      </c>
      <c r="B4590" s="24" t="s">
        <v>53</v>
      </c>
      <c r="C4590" s="24" t="s">
        <v>31</v>
      </c>
      <c r="D4590" s="24">
        <v>8.5</v>
      </c>
      <c r="E4590" s="24" t="s">
        <v>796</v>
      </c>
      <c r="F4590" s="24" t="s">
        <v>1113</v>
      </c>
      <c r="G4590" s="24">
        <v>168833</v>
      </c>
    </row>
    <row r="4591" spans="1:7" x14ac:dyDescent="0.25">
      <c r="A4591" s="24" t="s">
        <v>560</v>
      </c>
      <c r="B4591" s="24" t="s">
        <v>54</v>
      </c>
      <c r="C4591" s="24" t="s">
        <v>31</v>
      </c>
      <c r="D4591" s="24">
        <v>0.7</v>
      </c>
      <c r="E4591" s="24" t="s">
        <v>796</v>
      </c>
      <c r="F4591" s="24" t="s">
        <v>1113</v>
      </c>
      <c r="G4591" s="24">
        <v>168833</v>
      </c>
    </row>
    <row r="4592" spans="1:7" x14ac:dyDescent="0.25">
      <c r="A4592" s="24" t="s">
        <v>560</v>
      </c>
      <c r="B4592" s="24" t="s">
        <v>55</v>
      </c>
      <c r="C4592" s="24" t="s">
        <v>31</v>
      </c>
      <c r="D4592" s="24">
        <v>0</v>
      </c>
      <c r="E4592" s="24" t="s">
        <v>796</v>
      </c>
      <c r="F4592" s="24" t="s">
        <v>1113</v>
      </c>
      <c r="G4592" s="24">
        <v>168833</v>
      </c>
    </row>
    <row r="4593" spans="1:7" x14ac:dyDescent="0.25">
      <c r="A4593" s="24" t="s">
        <v>560</v>
      </c>
      <c r="B4593" s="24" t="s">
        <v>56</v>
      </c>
      <c r="C4593" s="24" t="s">
        <v>31</v>
      </c>
      <c r="D4593" s="24">
        <v>0</v>
      </c>
      <c r="E4593" s="24" t="s">
        <v>796</v>
      </c>
      <c r="F4593" s="24" t="s">
        <v>1113</v>
      </c>
      <c r="G4593" s="24">
        <v>168833</v>
      </c>
    </row>
    <row r="4594" spans="1:7" x14ac:dyDescent="0.25">
      <c r="A4594" s="24" t="s">
        <v>560</v>
      </c>
      <c r="B4594" s="24" t="s">
        <v>57</v>
      </c>
      <c r="C4594" s="24" t="s">
        <v>36</v>
      </c>
      <c r="D4594" s="24">
        <v>1.1000000000000001</v>
      </c>
      <c r="E4594" s="24" t="s">
        <v>796</v>
      </c>
      <c r="F4594" s="24" t="s">
        <v>1113</v>
      </c>
      <c r="G4594" s="24">
        <v>168833</v>
      </c>
    </row>
    <row r="4595" spans="1:7" x14ac:dyDescent="0.25">
      <c r="A4595" s="24" t="s">
        <v>560</v>
      </c>
      <c r="B4595" s="24" t="s">
        <v>58</v>
      </c>
      <c r="C4595" s="24" t="s">
        <v>5</v>
      </c>
      <c r="D4595" s="24">
        <v>0</v>
      </c>
      <c r="E4595" s="24" t="s">
        <v>795</v>
      </c>
      <c r="F4595" s="24"/>
      <c r="G4595" s="24"/>
    </row>
    <row r="4596" spans="1:7" x14ac:dyDescent="0.25">
      <c r="A4596" s="24" t="s">
        <v>561</v>
      </c>
      <c r="B4596" s="24" t="s">
        <v>20</v>
      </c>
      <c r="C4596" s="24" t="s">
        <v>5</v>
      </c>
      <c r="D4596" s="24">
        <v>1.7</v>
      </c>
      <c r="E4596" s="24" t="s">
        <v>796</v>
      </c>
      <c r="F4596" s="24" t="s">
        <v>1114</v>
      </c>
      <c r="G4596" s="24">
        <v>168754</v>
      </c>
    </row>
    <row r="4597" spans="1:7" x14ac:dyDescent="0.25">
      <c r="A4597" s="24" t="s">
        <v>561</v>
      </c>
      <c r="B4597" s="24" t="s">
        <v>24</v>
      </c>
      <c r="C4597" s="24" t="s">
        <v>5</v>
      </c>
      <c r="D4597" s="24">
        <v>6.2</v>
      </c>
      <c r="E4597" s="24" t="s">
        <v>801</v>
      </c>
      <c r="F4597" s="24" t="s">
        <v>1114</v>
      </c>
      <c r="G4597" s="24">
        <v>168754</v>
      </c>
    </row>
    <row r="4598" spans="1:7" x14ac:dyDescent="0.25">
      <c r="A4598" s="24" t="s">
        <v>561</v>
      </c>
      <c r="B4598" s="24" t="s">
        <v>32</v>
      </c>
      <c r="C4598" s="24" t="s">
        <v>33</v>
      </c>
      <c r="D4598" s="24">
        <v>52</v>
      </c>
      <c r="E4598" s="24" t="s">
        <v>801</v>
      </c>
      <c r="F4598" s="24" t="s">
        <v>1114</v>
      </c>
      <c r="G4598" s="24">
        <v>168754</v>
      </c>
    </row>
    <row r="4599" spans="1:7" x14ac:dyDescent="0.25">
      <c r="A4599" s="24" t="s">
        <v>561</v>
      </c>
      <c r="B4599" s="24" t="s">
        <v>34</v>
      </c>
      <c r="C4599" s="24" t="s">
        <v>31</v>
      </c>
      <c r="D4599" s="24">
        <v>0.2</v>
      </c>
      <c r="E4599" s="24" t="s">
        <v>801</v>
      </c>
      <c r="F4599" s="24" t="s">
        <v>1114</v>
      </c>
      <c r="G4599" s="24">
        <v>168754</v>
      </c>
    </row>
    <row r="4600" spans="1:7" x14ac:dyDescent="0.25">
      <c r="A4600" s="24" t="s">
        <v>561</v>
      </c>
      <c r="B4600" s="24" t="s">
        <v>35</v>
      </c>
      <c r="C4600" s="24" t="s">
        <v>36</v>
      </c>
      <c r="D4600" s="24">
        <v>0</v>
      </c>
      <c r="E4600" s="24" t="s">
        <v>801</v>
      </c>
      <c r="F4600" s="24" t="s">
        <v>1114</v>
      </c>
      <c r="G4600" s="24">
        <v>168754</v>
      </c>
    </row>
    <row r="4601" spans="1:7" x14ac:dyDescent="0.25">
      <c r="A4601" s="24" t="s">
        <v>561</v>
      </c>
      <c r="B4601" s="24" t="s">
        <v>37</v>
      </c>
      <c r="C4601" s="24" t="s">
        <v>38</v>
      </c>
      <c r="D4601" s="24">
        <v>3.1</v>
      </c>
      <c r="E4601" s="24" t="s">
        <v>801</v>
      </c>
      <c r="F4601" s="24" t="s">
        <v>1114</v>
      </c>
      <c r="G4601" s="24">
        <v>168754</v>
      </c>
    </row>
    <row r="4602" spans="1:7" x14ac:dyDescent="0.25">
      <c r="A4602" s="24" t="s">
        <v>561</v>
      </c>
      <c r="B4602" s="24" t="s">
        <v>39</v>
      </c>
      <c r="C4602" s="24" t="s">
        <v>36</v>
      </c>
      <c r="D4602" s="24">
        <v>5.0999999999999996</v>
      </c>
      <c r="E4602" s="24" t="s">
        <v>801</v>
      </c>
      <c r="F4602" s="24" t="s">
        <v>1114</v>
      </c>
      <c r="G4602" s="24">
        <v>168754</v>
      </c>
    </row>
    <row r="4603" spans="1:7" x14ac:dyDescent="0.25">
      <c r="A4603" s="24" t="s">
        <v>561</v>
      </c>
      <c r="B4603" s="24" t="s">
        <v>40</v>
      </c>
      <c r="C4603" s="24" t="s">
        <v>31</v>
      </c>
      <c r="D4603" s="24">
        <v>0.1</v>
      </c>
      <c r="E4603" s="24" t="s">
        <v>801</v>
      </c>
      <c r="F4603" s="24" t="s">
        <v>1114</v>
      </c>
      <c r="G4603" s="24">
        <v>168754</v>
      </c>
    </row>
    <row r="4604" spans="1:7" x14ac:dyDescent="0.25">
      <c r="A4604" s="24" t="s">
        <v>561</v>
      </c>
      <c r="B4604" s="24" t="s">
        <v>41</v>
      </c>
      <c r="C4604" s="24" t="s">
        <v>31</v>
      </c>
      <c r="D4604" s="24">
        <v>0.4</v>
      </c>
      <c r="E4604" s="24" t="s">
        <v>801</v>
      </c>
      <c r="F4604" s="24" t="s">
        <v>1114</v>
      </c>
      <c r="G4604" s="24">
        <v>168754</v>
      </c>
    </row>
    <row r="4605" spans="1:7" x14ac:dyDescent="0.25">
      <c r="A4605" s="24" t="s">
        <v>561</v>
      </c>
      <c r="B4605" s="24" t="s">
        <v>42</v>
      </c>
      <c r="C4605" s="24" t="s">
        <v>43</v>
      </c>
      <c r="D4605" s="24">
        <v>0.7</v>
      </c>
      <c r="E4605" s="24" t="s">
        <v>801</v>
      </c>
      <c r="F4605" s="24" t="s">
        <v>1114</v>
      </c>
      <c r="G4605" s="24">
        <v>168754</v>
      </c>
    </row>
    <row r="4606" spans="1:7" x14ac:dyDescent="0.25">
      <c r="A4606" s="24" t="s">
        <v>561</v>
      </c>
      <c r="B4606" s="24" t="s">
        <v>44</v>
      </c>
      <c r="C4606" s="24" t="s">
        <v>31</v>
      </c>
      <c r="D4606" s="24">
        <v>0</v>
      </c>
      <c r="E4606" s="24" t="s">
        <v>801</v>
      </c>
      <c r="F4606" s="24" t="s">
        <v>1114</v>
      </c>
      <c r="G4606" s="24">
        <v>168754</v>
      </c>
    </row>
    <row r="4607" spans="1:7" x14ac:dyDescent="0.25">
      <c r="A4607" s="24" t="s">
        <v>561</v>
      </c>
      <c r="B4607" s="24" t="s">
        <v>45</v>
      </c>
      <c r="C4607" s="24" t="s">
        <v>31</v>
      </c>
      <c r="D4607" s="24">
        <v>0.5</v>
      </c>
      <c r="E4607" s="24" t="s">
        <v>801</v>
      </c>
      <c r="F4607" s="24" t="s">
        <v>1114</v>
      </c>
      <c r="G4607" s="24">
        <v>168754</v>
      </c>
    </row>
    <row r="4608" spans="1:7" x14ac:dyDescent="0.25">
      <c r="A4608" s="24" t="s">
        <v>561</v>
      </c>
      <c r="B4608" s="24" t="s">
        <v>46</v>
      </c>
      <c r="C4608" s="24" t="s">
        <v>36</v>
      </c>
      <c r="D4608" s="24">
        <v>0.7</v>
      </c>
      <c r="E4608" s="24" t="s">
        <v>801</v>
      </c>
      <c r="F4608" s="24" t="s">
        <v>1114</v>
      </c>
      <c r="G4608" s="24">
        <v>168754</v>
      </c>
    </row>
    <row r="4609" spans="1:7" x14ac:dyDescent="0.25">
      <c r="A4609" s="24" t="s">
        <v>561</v>
      </c>
      <c r="B4609" s="24" t="s">
        <v>47</v>
      </c>
      <c r="C4609" s="24" t="s">
        <v>48</v>
      </c>
      <c r="D4609" s="24">
        <v>13</v>
      </c>
      <c r="E4609" s="24" t="s">
        <v>801</v>
      </c>
      <c r="F4609" s="24" t="s">
        <v>1114</v>
      </c>
      <c r="G4609" s="24">
        <v>168754</v>
      </c>
    </row>
    <row r="4610" spans="1:7" x14ac:dyDescent="0.25">
      <c r="A4610" s="24" t="s">
        <v>561</v>
      </c>
      <c r="B4610" s="24" t="s">
        <v>50</v>
      </c>
      <c r="C4610" s="24" t="s">
        <v>31</v>
      </c>
      <c r="D4610" s="24">
        <v>444</v>
      </c>
      <c r="E4610" s="24" t="s">
        <v>801</v>
      </c>
      <c r="F4610" s="24" t="s">
        <v>1114</v>
      </c>
      <c r="G4610" s="24">
        <v>168754</v>
      </c>
    </row>
    <row r="4611" spans="1:7" x14ac:dyDescent="0.25">
      <c r="A4611" s="24" t="s">
        <v>561</v>
      </c>
      <c r="B4611" s="24" t="s">
        <v>51</v>
      </c>
      <c r="C4611" s="24" t="s">
        <v>31</v>
      </c>
      <c r="D4611" s="24">
        <v>224</v>
      </c>
      <c r="E4611" s="24" t="s">
        <v>801</v>
      </c>
      <c r="F4611" s="24" t="s">
        <v>1114</v>
      </c>
      <c r="G4611" s="24">
        <v>168754</v>
      </c>
    </row>
    <row r="4612" spans="1:7" x14ac:dyDescent="0.25">
      <c r="A4612" s="24" t="s">
        <v>561</v>
      </c>
      <c r="B4612" s="24" t="s">
        <v>52</v>
      </c>
      <c r="C4612" s="24" t="s">
        <v>31</v>
      </c>
      <c r="D4612" s="24">
        <v>264</v>
      </c>
      <c r="E4612" s="24" t="s">
        <v>801</v>
      </c>
      <c r="F4612" s="24" t="s">
        <v>1114</v>
      </c>
      <c r="G4612" s="24">
        <v>168754</v>
      </c>
    </row>
    <row r="4613" spans="1:7" x14ac:dyDescent="0.25">
      <c r="A4613" s="24" t="s">
        <v>561</v>
      </c>
      <c r="B4613" s="24" t="s">
        <v>53</v>
      </c>
      <c r="C4613" s="24" t="s">
        <v>31</v>
      </c>
      <c r="D4613" s="24">
        <v>90</v>
      </c>
      <c r="E4613" s="24" t="s">
        <v>801</v>
      </c>
      <c r="F4613" s="24" t="s">
        <v>1114</v>
      </c>
      <c r="G4613" s="24">
        <v>168754</v>
      </c>
    </row>
    <row r="4614" spans="1:7" x14ac:dyDescent="0.25">
      <c r="A4614" s="24" t="s">
        <v>561</v>
      </c>
      <c r="B4614" s="24" t="s">
        <v>54</v>
      </c>
      <c r="C4614" s="24" t="s">
        <v>31</v>
      </c>
      <c r="D4614" s="24">
        <v>1.6</v>
      </c>
      <c r="E4614" s="24" t="s">
        <v>801</v>
      </c>
      <c r="F4614" s="24" t="s">
        <v>1114</v>
      </c>
      <c r="G4614" s="24">
        <v>168754</v>
      </c>
    </row>
    <row r="4615" spans="1:7" x14ac:dyDescent="0.25">
      <c r="A4615" s="24" t="s">
        <v>561</v>
      </c>
      <c r="B4615" s="24" t="s">
        <v>55</v>
      </c>
      <c r="C4615" s="24" t="s">
        <v>31</v>
      </c>
      <c r="D4615" s="24">
        <v>1.3</v>
      </c>
      <c r="E4615" s="24" t="s">
        <v>801</v>
      </c>
      <c r="F4615" s="24" t="s">
        <v>1114</v>
      </c>
      <c r="G4615" s="24">
        <v>168754</v>
      </c>
    </row>
    <row r="4616" spans="1:7" x14ac:dyDescent="0.25">
      <c r="A4616" s="24" t="s">
        <v>561</v>
      </c>
      <c r="B4616" s="24" t="s">
        <v>56</v>
      </c>
      <c r="C4616" s="24" t="s">
        <v>31</v>
      </c>
      <c r="D4616" s="24">
        <v>0.4</v>
      </c>
      <c r="E4616" s="24" t="s">
        <v>801</v>
      </c>
      <c r="F4616" s="24" t="s">
        <v>1114</v>
      </c>
      <c r="G4616" s="24">
        <v>168754</v>
      </c>
    </row>
    <row r="4617" spans="1:7" x14ac:dyDescent="0.25">
      <c r="A4617" s="24" t="s">
        <v>561</v>
      </c>
      <c r="B4617" s="24" t="s">
        <v>57</v>
      </c>
      <c r="C4617" s="24" t="s">
        <v>36</v>
      </c>
      <c r="D4617" s="24">
        <v>4</v>
      </c>
      <c r="E4617" s="24" t="s">
        <v>801</v>
      </c>
      <c r="F4617" s="24" t="s">
        <v>1114</v>
      </c>
      <c r="G4617" s="24">
        <v>168754</v>
      </c>
    </row>
    <row r="4618" spans="1:7" x14ac:dyDescent="0.25">
      <c r="A4618" s="24" t="s">
        <v>561</v>
      </c>
      <c r="B4618" s="24" t="s">
        <v>58</v>
      </c>
      <c r="C4618" s="24" t="s">
        <v>5</v>
      </c>
      <c r="D4618" s="24">
        <v>0</v>
      </c>
      <c r="E4618" s="24" t="s">
        <v>795</v>
      </c>
      <c r="F4618" s="24"/>
      <c r="G4618" s="24"/>
    </row>
    <row r="4619" spans="1:7" x14ac:dyDescent="0.25">
      <c r="A4619" s="24" t="s">
        <v>562</v>
      </c>
      <c r="B4619" s="24" t="s">
        <v>29</v>
      </c>
      <c r="C4619" s="24" t="s">
        <v>5</v>
      </c>
      <c r="D4619" s="24">
        <v>0.08</v>
      </c>
      <c r="E4619" s="24" t="s">
        <v>799</v>
      </c>
      <c r="F4619" s="24" t="s">
        <v>1115</v>
      </c>
      <c r="G4619" s="24">
        <v>170272</v>
      </c>
    </row>
    <row r="4620" spans="1:7" x14ac:dyDescent="0.25">
      <c r="A4620" s="24" t="s">
        <v>562</v>
      </c>
      <c r="B4620" s="24" t="s">
        <v>58</v>
      </c>
      <c r="C4620" s="24" t="s">
        <v>5</v>
      </c>
      <c r="D4620" s="24">
        <v>0</v>
      </c>
      <c r="E4620" s="24" t="s">
        <v>795</v>
      </c>
      <c r="F4620" s="24"/>
      <c r="G4620" s="24"/>
    </row>
    <row r="4621" spans="1:7" x14ac:dyDescent="0.25">
      <c r="A4621" s="24" t="s">
        <v>563</v>
      </c>
      <c r="B4621" s="24" t="s">
        <v>29</v>
      </c>
      <c r="C4621" s="24" t="s">
        <v>5</v>
      </c>
      <c r="D4621" s="24">
        <v>0.03</v>
      </c>
      <c r="E4621" s="24" t="s">
        <v>799</v>
      </c>
      <c r="F4621" s="24" t="s">
        <v>1116</v>
      </c>
      <c r="G4621" s="24">
        <v>170273</v>
      </c>
    </row>
    <row r="4622" spans="1:7" x14ac:dyDescent="0.25">
      <c r="A4622" s="24" t="s">
        <v>563</v>
      </c>
      <c r="B4622" s="24" t="s">
        <v>58</v>
      </c>
      <c r="C4622" s="24" t="s">
        <v>5</v>
      </c>
      <c r="D4622" s="24">
        <v>0</v>
      </c>
      <c r="E4622" s="24" t="s">
        <v>795</v>
      </c>
      <c r="F4622" s="24"/>
      <c r="G4622" s="24"/>
    </row>
    <row r="4623" spans="1:7" x14ac:dyDescent="0.25">
      <c r="A4623" s="24" t="s">
        <v>564</v>
      </c>
      <c r="B4623" s="24" t="s">
        <v>20</v>
      </c>
      <c r="C4623" s="24" t="s">
        <v>5</v>
      </c>
      <c r="D4623" s="24">
        <v>1.8</v>
      </c>
      <c r="E4623" s="24" t="s">
        <v>796</v>
      </c>
      <c r="F4623" s="24" t="s">
        <v>1110</v>
      </c>
      <c r="G4623" s="24">
        <v>167587</v>
      </c>
    </row>
    <row r="4624" spans="1:7" x14ac:dyDescent="0.25">
      <c r="A4624" s="24" t="s">
        <v>564</v>
      </c>
      <c r="B4624" s="24" t="s">
        <v>24</v>
      </c>
      <c r="C4624" s="24" t="s">
        <v>5</v>
      </c>
      <c r="D4624" s="24">
        <v>3.4</v>
      </c>
      <c r="E4624" s="24" t="s">
        <v>801</v>
      </c>
      <c r="F4624" s="24" t="s">
        <v>1110</v>
      </c>
      <c r="G4624" s="24">
        <v>167587</v>
      </c>
    </row>
    <row r="4625" spans="1:7" x14ac:dyDescent="0.25">
      <c r="A4625" s="24" t="s">
        <v>564</v>
      </c>
      <c r="B4625" s="24" t="s">
        <v>32</v>
      </c>
      <c r="C4625" s="24" t="s">
        <v>33</v>
      </c>
      <c r="D4625" s="24">
        <v>59</v>
      </c>
      <c r="E4625" s="24" t="s">
        <v>801</v>
      </c>
      <c r="F4625" s="24" t="s">
        <v>1110</v>
      </c>
      <c r="G4625" s="24">
        <v>167587</v>
      </c>
    </row>
    <row r="4626" spans="1:7" x14ac:dyDescent="0.25">
      <c r="A4626" s="24" t="s">
        <v>564</v>
      </c>
      <c r="B4626" s="24" t="s">
        <v>34</v>
      </c>
      <c r="C4626" s="24" t="s">
        <v>31</v>
      </c>
      <c r="D4626" s="24">
        <v>0</v>
      </c>
      <c r="E4626" s="24" t="s">
        <v>801</v>
      </c>
      <c r="F4626" s="24" t="s">
        <v>1110</v>
      </c>
      <c r="G4626" s="24">
        <v>167587</v>
      </c>
    </row>
    <row r="4627" spans="1:7" x14ac:dyDescent="0.25">
      <c r="A4627" s="24" t="s">
        <v>564</v>
      </c>
      <c r="B4627" s="24" t="s">
        <v>35</v>
      </c>
      <c r="C4627" s="24" t="s">
        <v>36</v>
      </c>
      <c r="D4627" s="24">
        <v>0</v>
      </c>
      <c r="E4627" s="24" t="s">
        <v>801</v>
      </c>
      <c r="F4627" s="24" t="s">
        <v>1110</v>
      </c>
      <c r="G4627" s="24">
        <v>167587</v>
      </c>
    </row>
    <row r="4628" spans="1:7" x14ac:dyDescent="0.25">
      <c r="A4628" s="24" t="s">
        <v>564</v>
      </c>
      <c r="B4628" s="24" t="s">
        <v>37</v>
      </c>
      <c r="C4628" s="24" t="s">
        <v>38</v>
      </c>
      <c r="D4628" s="24">
        <v>0.5</v>
      </c>
      <c r="E4628" s="24" t="s">
        <v>801</v>
      </c>
      <c r="F4628" s="24" t="s">
        <v>1110</v>
      </c>
      <c r="G4628" s="24">
        <v>167587</v>
      </c>
    </row>
    <row r="4629" spans="1:7" x14ac:dyDescent="0.25">
      <c r="A4629" s="24" t="s">
        <v>564</v>
      </c>
      <c r="B4629" s="24" t="s">
        <v>39</v>
      </c>
      <c r="C4629" s="24" t="s">
        <v>36</v>
      </c>
      <c r="D4629" s="24">
        <v>5.7</v>
      </c>
      <c r="E4629" s="24" t="s">
        <v>801</v>
      </c>
      <c r="F4629" s="24" t="s">
        <v>1110</v>
      </c>
      <c r="G4629" s="24">
        <v>167587</v>
      </c>
    </row>
    <row r="4630" spans="1:7" x14ac:dyDescent="0.25">
      <c r="A4630" s="24" t="s">
        <v>564</v>
      </c>
      <c r="B4630" s="24" t="s">
        <v>40</v>
      </c>
      <c r="C4630" s="24" t="s">
        <v>31</v>
      </c>
      <c r="D4630" s="24">
        <v>0.1</v>
      </c>
      <c r="E4630" s="24" t="s">
        <v>801</v>
      </c>
      <c r="F4630" s="24" t="s">
        <v>1110</v>
      </c>
      <c r="G4630" s="24">
        <v>167587</v>
      </c>
    </row>
    <row r="4631" spans="1:7" x14ac:dyDescent="0.25">
      <c r="A4631" s="24" t="s">
        <v>564</v>
      </c>
      <c r="B4631" s="24" t="s">
        <v>41</v>
      </c>
      <c r="C4631" s="24" t="s">
        <v>31</v>
      </c>
      <c r="D4631" s="24">
        <v>0.3</v>
      </c>
      <c r="E4631" s="24" t="s">
        <v>801</v>
      </c>
      <c r="F4631" s="24" t="s">
        <v>1110</v>
      </c>
      <c r="G4631" s="24">
        <v>167587</v>
      </c>
    </row>
    <row r="4632" spans="1:7" x14ac:dyDescent="0.25">
      <c r="A4632" s="24" t="s">
        <v>564</v>
      </c>
      <c r="B4632" s="24" t="s">
        <v>42</v>
      </c>
      <c r="C4632" s="24" t="s">
        <v>43</v>
      </c>
      <c r="D4632" s="24">
        <v>0.4</v>
      </c>
      <c r="E4632" s="24" t="s">
        <v>801</v>
      </c>
      <c r="F4632" s="24" t="s">
        <v>1110</v>
      </c>
      <c r="G4632" s="24">
        <v>167587</v>
      </c>
    </row>
    <row r="4633" spans="1:7" x14ac:dyDescent="0.25">
      <c r="A4633" s="24" t="s">
        <v>564</v>
      </c>
      <c r="B4633" s="24" t="s">
        <v>44</v>
      </c>
      <c r="C4633" s="24" t="s">
        <v>31</v>
      </c>
      <c r="D4633" s="24">
        <v>0</v>
      </c>
      <c r="E4633" s="24" t="s">
        <v>801</v>
      </c>
      <c r="F4633" s="24" t="s">
        <v>1110</v>
      </c>
      <c r="G4633" s="24">
        <v>167587</v>
      </c>
    </row>
    <row r="4634" spans="1:7" x14ac:dyDescent="0.25">
      <c r="A4634" s="24" t="s">
        <v>564</v>
      </c>
      <c r="B4634" s="24" t="s">
        <v>45</v>
      </c>
      <c r="C4634" s="24" t="s">
        <v>31</v>
      </c>
      <c r="D4634" s="24">
        <v>0.5</v>
      </c>
      <c r="E4634" s="24" t="s">
        <v>801</v>
      </c>
      <c r="F4634" s="24" t="s">
        <v>1110</v>
      </c>
      <c r="G4634" s="24">
        <v>167587</v>
      </c>
    </row>
    <row r="4635" spans="1:7" x14ac:dyDescent="0.25">
      <c r="A4635" s="24" t="s">
        <v>564</v>
      </c>
      <c r="B4635" s="24" t="s">
        <v>46</v>
      </c>
      <c r="C4635" s="24" t="s">
        <v>36</v>
      </c>
      <c r="D4635" s="24">
        <v>0.8</v>
      </c>
      <c r="E4635" s="24" t="s">
        <v>801</v>
      </c>
      <c r="F4635" s="24" t="s">
        <v>1110</v>
      </c>
      <c r="G4635" s="24">
        <v>167587</v>
      </c>
    </row>
    <row r="4636" spans="1:7" x14ac:dyDescent="0.25">
      <c r="A4636" s="24" t="s">
        <v>564</v>
      </c>
      <c r="B4636" s="24" t="s">
        <v>47</v>
      </c>
      <c r="C4636" s="24" t="s">
        <v>48</v>
      </c>
      <c r="D4636" s="24">
        <v>11</v>
      </c>
      <c r="E4636" s="24" t="s">
        <v>801</v>
      </c>
      <c r="F4636" s="24" t="s">
        <v>1110</v>
      </c>
      <c r="G4636" s="24">
        <v>167587</v>
      </c>
    </row>
    <row r="4637" spans="1:7" x14ac:dyDescent="0.25">
      <c r="A4637" s="24" t="s">
        <v>564</v>
      </c>
      <c r="B4637" s="24" t="s">
        <v>50</v>
      </c>
      <c r="C4637" s="24" t="s">
        <v>31</v>
      </c>
      <c r="D4637" s="24">
        <v>372</v>
      </c>
      <c r="E4637" s="24" t="s">
        <v>801</v>
      </c>
      <c r="F4637" s="24" t="s">
        <v>1110</v>
      </c>
      <c r="G4637" s="24">
        <v>167587</v>
      </c>
    </row>
    <row r="4638" spans="1:7" x14ac:dyDescent="0.25">
      <c r="A4638" s="24" t="s">
        <v>564</v>
      </c>
      <c r="B4638" s="24" t="s">
        <v>51</v>
      </c>
      <c r="C4638" s="24" t="s">
        <v>31</v>
      </c>
      <c r="D4638" s="24">
        <v>189</v>
      </c>
      <c r="E4638" s="24" t="s">
        <v>801</v>
      </c>
      <c r="F4638" s="24" t="s">
        <v>1110</v>
      </c>
      <c r="G4638" s="24">
        <v>167587</v>
      </c>
    </row>
    <row r="4639" spans="1:7" x14ac:dyDescent="0.25">
      <c r="A4639" s="24" t="s">
        <v>564</v>
      </c>
      <c r="B4639" s="24" t="s">
        <v>52</v>
      </c>
      <c r="C4639" s="24" t="s">
        <v>31</v>
      </c>
      <c r="D4639" s="24">
        <v>208</v>
      </c>
      <c r="E4639" s="24" t="s">
        <v>801</v>
      </c>
      <c r="F4639" s="24" t="s">
        <v>1110</v>
      </c>
      <c r="G4639" s="24">
        <v>167587</v>
      </c>
    </row>
    <row r="4640" spans="1:7" x14ac:dyDescent="0.25">
      <c r="A4640" s="24" t="s">
        <v>564</v>
      </c>
      <c r="B4640" s="24" t="s">
        <v>53</v>
      </c>
      <c r="C4640" s="24" t="s">
        <v>31</v>
      </c>
      <c r="D4640" s="24">
        <v>63</v>
      </c>
      <c r="E4640" s="24" t="s">
        <v>801</v>
      </c>
      <c r="F4640" s="24" t="s">
        <v>1110</v>
      </c>
      <c r="G4640" s="24">
        <v>167587</v>
      </c>
    </row>
    <row r="4641" spans="1:7" x14ac:dyDescent="0.25">
      <c r="A4641" s="24" t="s">
        <v>564</v>
      </c>
      <c r="B4641" s="24" t="s">
        <v>54</v>
      </c>
      <c r="C4641" s="24" t="s">
        <v>31</v>
      </c>
      <c r="D4641" s="24">
        <v>2.4</v>
      </c>
      <c r="E4641" s="24" t="s">
        <v>801</v>
      </c>
      <c r="F4641" s="24" t="s">
        <v>1110</v>
      </c>
      <c r="G4641" s="24">
        <v>167587</v>
      </c>
    </row>
    <row r="4642" spans="1:7" x14ac:dyDescent="0.25">
      <c r="A4642" s="24" t="s">
        <v>564</v>
      </c>
      <c r="B4642" s="24" t="s">
        <v>55</v>
      </c>
      <c r="C4642" s="24" t="s">
        <v>31</v>
      </c>
      <c r="D4642" s="24">
        <v>2.2999999999999998</v>
      </c>
      <c r="E4642" s="24" t="s">
        <v>801</v>
      </c>
      <c r="F4642" s="24" t="s">
        <v>1110</v>
      </c>
      <c r="G4642" s="24">
        <v>167587</v>
      </c>
    </row>
    <row r="4643" spans="1:7" x14ac:dyDescent="0.25">
      <c r="A4643" s="24" t="s">
        <v>564</v>
      </c>
      <c r="B4643" s="24" t="s">
        <v>56</v>
      </c>
      <c r="C4643" s="24" t="s">
        <v>31</v>
      </c>
      <c r="D4643" s="24">
        <v>0.5</v>
      </c>
      <c r="E4643" s="24" t="s">
        <v>801</v>
      </c>
      <c r="F4643" s="24" t="s">
        <v>1110</v>
      </c>
      <c r="G4643" s="24">
        <v>167587</v>
      </c>
    </row>
    <row r="4644" spans="1:7" x14ac:dyDescent="0.25">
      <c r="A4644" s="24" t="s">
        <v>564</v>
      </c>
      <c r="B4644" s="24" t="s">
        <v>57</v>
      </c>
      <c r="C4644" s="24" t="s">
        <v>36</v>
      </c>
      <c r="D4644" s="24">
        <v>4.5</v>
      </c>
      <c r="E4644" s="24" t="s">
        <v>801</v>
      </c>
      <c r="F4644" s="24" t="s">
        <v>1110</v>
      </c>
      <c r="G4644" s="24">
        <v>167587</v>
      </c>
    </row>
    <row r="4645" spans="1:7" x14ac:dyDescent="0.25">
      <c r="A4645" s="24" t="s">
        <v>564</v>
      </c>
      <c r="B4645" s="24" t="s">
        <v>58</v>
      </c>
      <c r="C4645" s="24" t="s">
        <v>5</v>
      </c>
      <c r="D4645" s="24">
        <v>0</v>
      </c>
      <c r="E4645" s="24" t="s">
        <v>795</v>
      </c>
      <c r="F4645" s="24"/>
      <c r="G4645" s="24"/>
    </row>
    <row r="4646" spans="1:7" x14ac:dyDescent="0.25">
      <c r="A4646" s="24" t="s">
        <v>565</v>
      </c>
      <c r="B4646" s="24" t="s">
        <v>23</v>
      </c>
      <c r="C4646" s="24" t="s">
        <v>5</v>
      </c>
      <c r="D4646" s="24">
        <v>65.400000000000006</v>
      </c>
      <c r="E4646" s="24" t="s">
        <v>796</v>
      </c>
      <c r="F4646" s="24" t="s">
        <v>1117</v>
      </c>
      <c r="G4646" s="24">
        <v>174122</v>
      </c>
    </row>
    <row r="4647" spans="1:7" x14ac:dyDescent="0.25">
      <c r="A4647" s="24" t="s">
        <v>565</v>
      </c>
      <c r="B4647" s="24" t="s">
        <v>26</v>
      </c>
      <c r="C4647" s="24" t="s">
        <v>5</v>
      </c>
      <c r="D4647" s="24">
        <v>2.38</v>
      </c>
      <c r="E4647" s="24" t="s">
        <v>799</v>
      </c>
      <c r="F4647" s="24" t="s">
        <v>1117</v>
      </c>
      <c r="G4647" s="24">
        <v>174122</v>
      </c>
    </row>
    <row r="4648" spans="1:7" x14ac:dyDescent="0.25">
      <c r="A4648" s="24" t="s">
        <v>565</v>
      </c>
      <c r="B4648" s="24" t="s">
        <v>27</v>
      </c>
      <c r="C4648" s="24" t="s">
        <v>5</v>
      </c>
      <c r="D4648" s="24">
        <v>1.32</v>
      </c>
      <c r="E4648" s="24" t="s">
        <v>799</v>
      </c>
      <c r="F4648" s="24" t="s">
        <v>1117</v>
      </c>
      <c r="G4648" s="24">
        <v>174122</v>
      </c>
    </row>
    <row r="4649" spans="1:7" x14ac:dyDescent="0.25">
      <c r="A4649" s="24" t="s">
        <v>565</v>
      </c>
      <c r="B4649" s="24" t="s">
        <v>28</v>
      </c>
      <c r="C4649" s="24" t="s">
        <v>5</v>
      </c>
      <c r="D4649" s="24">
        <v>0.11</v>
      </c>
      <c r="E4649" s="24" t="s">
        <v>799</v>
      </c>
      <c r="F4649" s="24" t="s">
        <v>1117</v>
      </c>
      <c r="G4649" s="24">
        <v>174122</v>
      </c>
    </row>
    <row r="4650" spans="1:7" x14ac:dyDescent="0.25">
      <c r="A4650" s="24" t="s">
        <v>565</v>
      </c>
      <c r="B4650" s="24" t="s">
        <v>30</v>
      </c>
      <c r="C4650" s="24" t="s">
        <v>31</v>
      </c>
      <c r="D4650" s="24">
        <v>0</v>
      </c>
      <c r="E4650" s="24" t="s">
        <v>801</v>
      </c>
      <c r="F4650" s="24" t="s">
        <v>1117</v>
      </c>
      <c r="G4650" s="24">
        <v>174122</v>
      </c>
    </row>
    <row r="4651" spans="1:7" x14ac:dyDescent="0.25">
      <c r="A4651" s="24" t="s">
        <v>565</v>
      </c>
      <c r="B4651" s="24" t="s">
        <v>32</v>
      </c>
      <c r="C4651" s="24" t="s">
        <v>33</v>
      </c>
      <c r="D4651" s="24">
        <v>1</v>
      </c>
      <c r="E4651" s="24" t="s">
        <v>796</v>
      </c>
      <c r="F4651" s="24" t="s">
        <v>1117</v>
      </c>
      <c r="G4651" s="24">
        <v>174122</v>
      </c>
    </row>
    <row r="4652" spans="1:7" x14ac:dyDescent="0.25">
      <c r="A4652" s="24" t="s">
        <v>565</v>
      </c>
      <c r="B4652" s="24" t="s">
        <v>34</v>
      </c>
      <c r="C4652" s="24" t="s">
        <v>31</v>
      </c>
      <c r="D4652" s="24">
        <v>0.2</v>
      </c>
      <c r="E4652" s="24" t="s">
        <v>796</v>
      </c>
      <c r="F4652" s="24" t="s">
        <v>1117</v>
      </c>
      <c r="G4652" s="24">
        <v>174122</v>
      </c>
    </row>
    <row r="4653" spans="1:7" x14ac:dyDescent="0.25">
      <c r="A4653" s="24" t="s">
        <v>565</v>
      </c>
      <c r="B4653" s="24" t="s">
        <v>35</v>
      </c>
      <c r="C4653" s="24" t="s">
        <v>36</v>
      </c>
      <c r="D4653" s="24">
        <v>0</v>
      </c>
      <c r="E4653" s="24" t="s">
        <v>796</v>
      </c>
      <c r="F4653" s="24" t="s">
        <v>1117</v>
      </c>
      <c r="G4653" s="24">
        <v>174122</v>
      </c>
    </row>
    <row r="4654" spans="1:7" x14ac:dyDescent="0.25">
      <c r="A4654" s="24" t="s">
        <v>565</v>
      </c>
      <c r="B4654" s="24" t="s">
        <v>37</v>
      </c>
      <c r="C4654" s="24" t="s">
        <v>38</v>
      </c>
      <c r="D4654" s="24">
        <v>0.2</v>
      </c>
      <c r="E4654" s="24" t="s">
        <v>796</v>
      </c>
      <c r="F4654" s="24" t="s">
        <v>1117</v>
      </c>
      <c r="G4654" s="24">
        <v>174122</v>
      </c>
    </row>
    <row r="4655" spans="1:7" x14ac:dyDescent="0.25">
      <c r="A4655" s="24" t="s">
        <v>565</v>
      </c>
      <c r="B4655" s="24" t="s">
        <v>39</v>
      </c>
      <c r="C4655" s="24" t="s">
        <v>36</v>
      </c>
      <c r="D4655" s="24">
        <v>0.9</v>
      </c>
      <c r="E4655" s="24" t="s">
        <v>796</v>
      </c>
      <c r="F4655" s="24" t="s">
        <v>1117</v>
      </c>
      <c r="G4655" s="24">
        <v>174122</v>
      </c>
    </row>
    <row r="4656" spans="1:7" x14ac:dyDescent="0.25">
      <c r="A4656" s="24" t="s">
        <v>565</v>
      </c>
      <c r="B4656" s="24" t="s">
        <v>40</v>
      </c>
      <c r="C4656" s="24" t="s">
        <v>31</v>
      </c>
      <c r="D4656" s="24">
        <v>0.1</v>
      </c>
      <c r="E4656" s="24" t="s">
        <v>796</v>
      </c>
      <c r="F4656" s="24" t="s">
        <v>1117</v>
      </c>
      <c r="G4656" s="24">
        <v>174122</v>
      </c>
    </row>
    <row r="4657" spans="1:7" x14ac:dyDescent="0.25">
      <c r="A4657" s="24" t="s">
        <v>565</v>
      </c>
      <c r="B4657" s="24" t="s">
        <v>41</v>
      </c>
      <c r="C4657" s="24" t="s">
        <v>31</v>
      </c>
      <c r="D4657" s="24">
        <v>0.6</v>
      </c>
      <c r="E4657" s="24" t="s">
        <v>796</v>
      </c>
      <c r="F4657" s="24" t="s">
        <v>1117</v>
      </c>
      <c r="G4657" s="24">
        <v>174122</v>
      </c>
    </row>
    <row r="4658" spans="1:7" x14ac:dyDescent="0.25">
      <c r="A4658" s="24" t="s">
        <v>565</v>
      </c>
      <c r="B4658" s="24" t="s">
        <v>42</v>
      </c>
      <c r="C4658" s="24" t="s">
        <v>43</v>
      </c>
      <c r="D4658" s="24">
        <v>0.6</v>
      </c>
      <c r="E4658" s="24" t="s">
        <v>796</v>
      </c>
      <c r="F4658" s="24" t="s">
        <v>1117</v>
      </c>
      <c r="G4658" s="24">
        <v>174122</v>
      </c>
    </row>
    <row r="4659" spans="1:7" x14ac:dyDescent="0.25">
      <c r="A4659" s="24" t="s">
        <v>565</v>
      </c>
      <c r="B4659" s="24" t="s">
        <v>44</v>
      </c>
      <c r="C4659" s="24" t="s">
        <v>31</v>
      </c>
      <c r="D4659" s="24">
        <v>0.1</v>
      </c>
      <c r="E4659" s="24" t="s">
        <v>796</v>
      </c>
      <c r="F4659" s="24" t="s">
        <v>1117</v>
      </c>
      <c r="G4659" s="24">
        <v>174122</v>
      </c>
    </row>
    <row r="4660" spans="1:7" x14ac:dyDescent="0.25">
      <c r="A4660" s="24" t="s">
        <v>565</v>
      </c>
      <c r="B4660" s="24" t="s">
        <v>45</v>
      </c>
      <c r="C4660" s="24" t="s">
        <v>31</v>
      </c>
      <c r="D4660" s="24">
        <v>0.9</v>
      </c>
      <c r="E4660" s="24" t="s">
        <v>796</v>
      </c>
      <c r="F4660" s="24" t="s">
        <v>1117</v>
      </c>
      <c r="G4660" s="24">
        <v>174122</v>
      </c>
    </row>
    <row r="4661" spans="1:7" x14ac:dyDescent="0.25">
      <c r="A4661" s="24" t="s">
        <v>565</v>
      </c>
      <c r="B4661" s="24" t="s">
        <v>46</v>
      </c>
      <c r="C4661" s="24" t="s">
        <v>36</v>
      </c>
      <c r="D4661" s="24">
        <v>0.3</v>
      </c>
      <c r="E4661" s="24" t="s">
        <v>796</v>
      </c>
      <c r="F4661" s="24" t="s">
        <v>1117</v>
      </c>
      <c r="G4661" s="24">
        <v>174122</v>
      </c>
    </row>
    <row r="4662" spans="1:7" x14ac:dyDescent="0.25">
      <c r="A4662" s="24" t="s">
        <v>565</v>
      </c>
      <c r="B4662" s="24" t="s">
        <v>47</v>
      </c>
      <c r="C4662" s="24" t="s">
        <v>48</v>
      </c>
      <c r="D4662" s="24">
        <v>6</v>
      </c>
      <c r="E4662" s="24" t="s">
        <v>796</v>
      </c>
      <c r="F4662" s="24" t="s">
        <v>1117</v>
      </c>
      <c r="G4662" s="24">
        <v>174122</v>
      </c>
    </row>
    <row r="4663" spans="1:7" x14ac:dyDescent="0.25">
      <c r="A4663" s="24" t="s">
        <v>565</v>
      </c>
      <c r="B4663" s="24" t="s">
        <v>49</v>
      </c>
      <c r="C4663" s="24" t="s">
        <v>31</v>
      </c>
      <c r="D4663" s="24">
        <v>503</v>
      </c>
      <c r="E4663" s="24" t="s">
        <v>796</v>
      </c>
      <c r="F4663" s="24" t="s">
        <v>1117</v>
      </c>
      <c r="G4663" s="24">
        <v>174122</v>
      </c>
    </row>
    <row r="4664" spans="1:7" x14ac:dyDescent="0.25">
      <c r="A4664" s="24" t="s">
        <v>565</v>
      </c>
      <c r="B4664" s="24" t="s">
        <v>50</v>
      </c>
      <c r="C4664" s="24" t="s">
        <v>31</v>
      </c>
      <c r="D4664" s="24">
        <v>710.6</v>
      </c>
      <c r="E4664" s="24" t="s">
        <v>796</v>
      </c>
      <c r="F4664" s="24" t="s">
        <v>1117</v>
      </c>
      <c r="G4664" s="24">
        <v>174122</v>
      </c>
    </row>
    <row r="4665" spans="1:7" x14ac:dyDescent="0.25">
      <c r="A4665" s="24" t="s">
        <v>565</v>
      </c>
      <c r="B4665" s="24" t="s">
        <v>51</v>
      </c>
      <c r="C4665" s="24" t="s">
        <v>31</v>
      </c>
      <c r="D4665" s="24">
        <v>132.69999999999999</v>
      </c>
      <c r="E4665" s="24" t="s">
        <v>796</v>
      </c>
      <c r="F4665" s="24" t="s">
        <v>1117</v>
      </c>
      <c r="G4665" s="24">
        <v>174122</v>
      </c>
    </row>
    <row r="4666" spans="1:7" x14ac:dyDescent="0.25">
      <c r="A4666" s="24" t="s">
        <v>565</v>
      </c>
      <c r="B4666" s="24" t="s">
        <v>52</v>
      </c>
      <c r="C4666" s="24" t="s">
        <v>31</v>
      </c>
      <c r="D4666" s="24">
        <v>314.39999999999998</v>
      </c>
      <c r="E4666" s="24" t="s">
        <v>796</v>
      </c>
      <c r="F4666" s="24" t="s">
        <v>1117</v>
      </c>
      <c r="G4666" s="24">
        <v>174122</v>
      </c>
    </row>
    <row r="4667" spans="1:7" x14ac:dyDescent="0.25">
      <c r="A4667" s="24" t="s">
        <v>565</v>
      </c>
      <c r="B4667" s="24" t="s">
        <v>53</v>
      </c>
      <c r="C4667" s="24" t="s">
        <v>31</v>
      </c>
      <c r="D4667" s="24">
        <v>82.8</v>
      </c>
      <c r="E4667" s="24" t="s">
        <v>796</v>
      </c>
      <c r="F4667" s="24" t="s">
        <v>1117</v>
      </c>
      <c r="G4667" s="24">
        <v>174122</v>
      </c>
    </row>
    <row r="4668" spans="1:7" x14ac:dyDescent="0.25">
      <c r="A4668" s="24" t="s">
        <v>565</v>
      </c>
      <c r="B4668" s="24" t="s">
        <v>54</v>
      </c>
      <c r="C4668" s="24" t="s">
        <v>31</v>
      </c>
      <c r="D4668" s="24">
        <v>1.2</v>
      </c>
      <c r="E4668" s="24" t="s">
        <v>796</v>
      </c>
      <c r="F4668" s="24" t="s">
        <v>1117</v>
      </c>
      <c r="G4668" s="24">
        <v>174122</v>
      </c>
    </row>
    <row r="4669" spans="1:7" x14ac:dyDescent="0.25">
      <c r="A4669" s="24" t="s">
        <v>565</v>
      </c>
      <c r="B4669" s="24" t="s">
        <v>55</v>
      </c>
      <c r="C4669" s="24" t="s">
        <v>31</v>
      </c>
      <c r="D4669" s="24">
        <v>1.5</v>
      </c>
      <c r="E4669" s="24" t="s">
        <v>796</v>
      </c>
      <c r="F4669" s="24" t="s">
        <v>1117</v>
      </c>
      <c r="G4669" s="24">
        <v>174122</v>
      </c>
    </row>
    <row r="4670" spans="1:7" x14ac:dyDescent="0.25">
      <c r="A4670" s="24" t="s">
        <v>565</v>
      </c>
      <c r="B4670" s="24" t="s">
        <v>56</v>
      </c>
      <c r="C4670" s="24" t="s">
        <v>31</v>
      </c>
      <c r="D4670" s="24">
        <v>0.3</v>
      </c>
      <c r="E4670" s="24" t="s">
        <v>796</v>
      </c>
      <c r="F4670" s="24" t="s">
        <v>1117</v>
      </c>
      <c r="G4670" s="24">
        <v>174122</v>
      </c>
    </row>
    <row r="4671" spans="1:7" x14ac:dyDescent="0.25">
      <c r="A4671" s="24" t="s">
        <v>565</v>
      </c>
      <c r="B4671" s="24" t="s">
        <v>57</v>
      </c>
      <c r="C4671" s="24" t="s">
        <v>36</v>
      </c>
      <c r="D4671" s="24">
        <v>5</v>
      </c>
      <c r="E4671" s="24" t="s">
        <v>796</v>
      </c>
      <c r="F4671" s="24" t="s">
        <v>1117</v>
      </c>
      <c r="G4671" s="24">
        <v>174122</v>
      </c>
    </row>
    <row r="4672" spans="1:7" x14ac:dyDescent="0.25">
      <c r="A4672" s="24" t="s">
        <v>565</v>
      </c>
      <c r="B4672" s="24" t="s">
        <v>58</v>
      </c>
      <c r="C4672" s="24" t="s">
        <v>5</v>
      </c>
      <c r="D4672" s="24">
        <v>0</v>
      </c>
      <c r="E4672" s="24" t="s">
        <v>795</v>
      </c>
      <c r="F4672" s="24"/>
      <c r="G4672" s="24"/>
    </row>
    <row r="4673" spans="1:7" x14ac:dyDescent="0.25">
      <c r="A4673" s="24" t="s">
        <v>566</v>
      </c>
      <c r="B4673" s="24" t="s">
        <v>29</v>
      </c>
      <c r="C4673" s="24" t="s">
        <v>5</v>
      </c>
      <c r="D4673" s="24">
        <v>0</v>
      </c>
      <c r="E4673" s="24" t="s">
        <v>799</v>
      </c>
      <c r="F4673" s="24" t="s">
        <v>1118</v>
      </c>
      <c r="G4673" s="24">
        <v>167781</v>
      </c>
    </row>
    <row r="4674" spans="1:7" x14ac:dyDescent="0.25">
      <c r="A4674" s="24" t="s">
        <v>566</v>
      </c>
      <c r="B4674" s="24" t="s">
        <v>58</v>
      </c>
      <c r="C4674" s="24" t="s">
        <v>5</v>
      </c>
      <c r="D4674" s="24">
        <v>0</v>
      </c>
      <c r="E4674" s="24" t="s">
        <v>795</v>
      </c>
      <c r="F4674" s="24"/>
      <c r="G4674" s="24"/>
    </row>
    <row r="4675" spans="1:7" x14ac:dyDescent="0.25">
      <c r="A4675" s="24" t="s">
        <v>567</v>
      </c>
      <c r="B4675" s="24" t="s">
        <v>29</v>
      </c>
      <c r="C4675" s="24" t="s">
        <v>5</v>
      </c>
      <c r="D4675" s="24">
        <v>0</v>
      </c>
      <c r="E4675" s="24" t="s">
        <v>994</v>
      </c>
      <c r="F4675" s="24"/>
      <c r="G4675" s="24"/>
    </row>
    <row r="4676" spans="1:7" x14ac:dyDescent="0.25">
      <c r="A4676" s="24" t="s">
        <v>567</v>
      </c>
      <c r="B4676" s="24" t="s">
        <v>58</v>
      </c>
      <c r="C4676" s="24" t="s">
        <v>5</v>
      </c>
      <c r="D4676" s="24">
        <v>0</v>
      </c>
      <c r="E4676" s="24" t="s">
        <v>795</v>
      </c>
      <c r="F4676" s="24"/>
      <c r="G4676" s="24"/>
    </row>
    <row r="4677" spans="1:7" x14ac:dyDescent="0.25">
      <c r="A4677" s="24" t="s">
        <v>568</v>
      </c>
      <c r="B4677" s="24" t="s">
        <v>29</v>
      </c>
      <c r="C4677" s="24" t="s">
        <v>5</v>
      </c>
      <c r="D4677" s="24">
        <v>0</v>
      </c>
      <c r="E4677" s="24" t="s">
        <v>994</v>
      </c>
      <c r="F4677" s="24"/>
      <c r="G4677" s="24"/>
    </row>
    <row r="4678" spans="1:7" x14ac:dyDescent="0.25">
      <c r="A4678" s="24" t="s">
        <v>568</v>
      </c>
      <c r="B4678" s="24" t="s">
        <v>58</v>
      </c>
      <c r="C4678" s="24" t="s">
        <v>5</v>
      </c>
      <c r="D4678" s="24">
        <v>0</v>
      </c>
      <c r="E4678" s="24" t="s">
        <v>795</v>
      </c>
      <c r="F4678" s="24"/>
      <c r="G4678" s="24"/>
    </row>
    <row r="4679" spans="1:7" x14ac:dyDescent="0.25">
      <c r="A4679" s="24" t="s">
        <v>569</v>
      </c>
      <c r="B4679" s="24" t="s">
        <v>26</v>
      </c>
      <c r="C4679" s="24" t="s">
        <v>5</v>
      </c>
      <c r="D4679" s="24">
        <v>0</v>
      </c>
      <c r="E4679" s="24" t="s">
        <v>994</v>
      </c>
      <c r="F4679" s="24"/>
      <c r="G4679" s="24"/>
    </row>
    <row r="4680" spans="1:7" x14ac:dyDescent="0.25">
      <c r="A4680" s="24" t="s">
        <v>569</v>
      </c>
      <c r="B4680" s="24" t="s">
        <v>27</v>
      </c>
      <c r="C4680" s="24" t="s">
        <v>5</v>
      </c>
      <c r="D4680" s="24">
        <v>0</v>
      </c>
      <c r="E4680" s="24" t="s">
        <v>994</v>
      </c>
      <c r="F4680" s="24"/>
      <c r="G4680" s="24"/>
    </row>
    <row r="4681" spans="1:7" x14ac:dyDescent="0.25">
      <c r="A4681" s="24" t="s">
        <v>569</v>
      </c>
      <c r="B4681" s="24" t="s">
        <v>28</v>
      </c>
      <c r="C4681" s="24" t="s">
        <v>5</v>
      </c>
      <c r="D4681" s="24">
        <v>0</v>
      </c>
      <c r="E4681" s="24" t="s">
        <v>994</v>
      </c>
      <c r="F4681" s="24"/>
      <c r="G4681" s="24"/>
    </row>
    <row r="4682" spans="1:7" x14ac:dyDescent="0.25">
      <c r="A4682" s="24" t="s">
        <v>569</v>
      </c>
      <c r="B4682" s="24" t="s">
        <v>29</v>
      </c>
      <c r="C4682" s="24" t="s">
        <v>5</v>
      </c>
      <c r="D4682" s="24">
        <v>0</v>
      </c>
      <c r="E4682" s="24" t="s">
        <v>994</v>
      </c>
      <c r="F4682" s="24"/>
      <c r="G4682" s="24"/>
    </row>
    <row r="4683" spans="1:7" x14ac:dyDescent="0.25">
      <c r="A4683" s="24" t="s">
        <v>569</v>
      </c>
      <c r="B4683" s="24" t="s">
        <v>30</v>
      </c>
      <c r="C4683" s="24" t="s">
        <v>31</v>
      </c>
      <c r="D4683" s="24">
        <v>0</v>
      </c>
      <c r="E4683" s="24" t="s">
        <v>801</v>
      </c>
      <c r="F4683" s="24" t="s">
        <v>1119</v>
      </c>
      <c r="G4683" s="24">
        <v>169596</v>
      </c>
    </row>
    <row r="4684" spans="1:7" x14ac:dyDescent="0.25">
      <c r="A4684" s="24" t="s">
        <v>569</v>
      </c>
      <c r="B4684" s="24" t="s">
        <v>32</v>
      </c>
      <c r="C4684" s="24" t="s">
        <v>33</v>
      </c>
      <c r="D4684" s="24">
        <v>0</v>
      </c>
      <c r="E4684" s="24" t="s">
        <v>796</v>
      </c>
      <c r="F4684" s="24" t="s">
        <v>1119</v>
      </c>
      <c r="G4684" s="24">
        <v>169596</v>
      </c>
    </row>
    <row r="4685" spans="1:7" x14ac:dyDescent="0.25">
      <c r="A4685" s="24" t="s">
        <v>569</v>
      </c>
      <c r="B4685" s="24" t="s">
        <v>34</v>
      </c>
      <c r="C4685" s="24" t="s">
        <v>31</v>
      </c>
      <c r="D4685" s="24">
        <v>0</v>
      </c>
      <c r="E4685" s="24" t="s">
        <v>796</v>
      </c>
      <c r="F4685" s="24" t="s">
        <v>1119</v>
      </c>
      <c r="G4685" s="24">
        <v>169596</v>
      </c>
    </row>
    <row r="4686" spans="1:7" x14ac:dyDescent="0.25">
      <c r="A4686" s="24" t="s">
        <v>569</v>
      </c>
      <c r="B4686" s="24" t="s">
        <v>35</v>
      </c>
      <c r="C4686" s="24" t="s">
        <v>36</v>
      </c>
      <c r="D4686" s="24">
        <v>0</v>
      </c>
      <c r="E4686" s="24" t="s">
        <v>796</v>
      </c>
      <c r="F4686" s="24" t="s">
        <v>1119</v>
      </c>
      <c r="G4686" s="24">
        <v>169596</v>
      </c>
    </row>
    <row r="4687" spans="1:7" x14ac:dyDescent="0.25">
      <c r="A4687" s="24" t="s">
        <v>569</v>
      </c>
      <c r="B4687" s="24" t="s">
        <v>37</v>
      </c>
      <c r="C4687" s="24" t="s">
        <v>38</v>
      </c>
      <c r="D4687" s="24">
        <v>0</v>
      </c>
      <c r="E4687" s="24" t="s">
        <v>796</v>
      </c>
      <c r="F4687" s="24" t="s">
        <v>1119</v>
      </c>
      <c r="G4687" s="24">
        <v>169596</v>
      </c>
    </row>
    <row r="4688" spans="1:7" x14ac:dyDescent="0.25">
      <c r="A4688" s="24" t="s">
        <v>569</v>
      </c>
      <c r="B4688" s="24" t="s">
        <v>39</v>
      </c>
      <c r="C4688" s="24" t="s">
        <v>36</v>
      </c>
      <c r="D4688" s="24">
        <v>0</v>
      </c>
      <c r="E4688" s="24" t="s">
        <v>796</v>
      </c>
      <c r="F4688" s="24" t="s">
        <v>1119</v>
      </c>
      <c r="G4688" s="24">
        <v>169596</v>
      </c>
    </row>
    <row r="4689" spans="1:7" x14ac:dyDescent="0.25">
      <c r="A4689" s="24" t="s">
        <v>569</v>
      </c>
      <c r="B4689" s="24" t="s">
        <v>40</v>
      </c>
      <c r="C4689" s="24" t="s">
        <v>31</v>
      </c>
      <c r="D4689" s="24">
        <v>0</v>
      </c>
      <c r="E4689" s="24" t="s">
        <v>796</v>
      </c>
      <c r="F4689" s="24" t="s">
        <v>1119</v>
      </c>
      <c r="G4689" s="24">
        <v>169596</v>
      </c>
    </row>
    <row r="4690" spans="1:7" x14ac:dyDescent="0.25">
      <c r="A4690" s="24" t="s">
        <v>569</v>
      </c>
      <c r="B4690" s="24" t="s">
        <v>41</v>
      </c>
      <c r="C4690" s="24" t="s">
        <v>31</v>
      </c>
      <c r="D4690" s="24">
        <v>0</v>
      </c>
      <c r="E4690" s="24" t="s">
        <v>796</v>
      </c>
      <c r="F4690" s="24" t="s">
        <v>1119</v>
      </c>
      <c r="G4690" s="24">
        <v>169596</v>
      </c>
    </row>
    <row r="4691" spans="1:7" x14ac:dyDescent="0.25">
      <c r="A4691" s="24" t="s">
        <v>569</v>
      </c>
      <c r="B4691" s="24" t="s">
        <v>42</v>
      </c>
      <c r="C4691" s="24" t="s">
        <v>43</v>
      </c>
      <c r="D4691" s="24">
        <v>0</v>
      </c>
      <c r="E4691" s="24" t="s">
        <v>796</v>
      </c>
      <c r="F4691" s="24" t="s">
        <v>1119</v>
      </c>
      <c r="G4691" s="24">
        <v>169596</v>
      </c>
    </row>
    <row r="4692" spans="1:7" x14ac:dyDescent="0.25">
      <c r="A4692" s="24" t="s">
        <v>569</v>
      </c>
      <c r="B4692" s="24" t="s">
        <v>44</v>
      </c>
      <c r="C4692" s="24" t="s">
        <v>31</v>
      </c>
      <c r="D4692" s="24">
        <v>0</v>
      </c>
      <c r="E4692" s="24" t="s">
        <v>796</v>
      </c>
      <c r="F4692" s="24" t="s">
        <v>1119</v>
      </c>
      <c r="G4692" s="24">
        <v>169596</v>
      </c>
    </row>
    <row r="4693" spans="1:7" x14ac:dyDescent="0.25">
      <c r="A4693" s="24" t="s">
        <v>569</v>
      </c>
      <c r="B4693" s="24" t="s">
        <v>45</v>
      </c>
      <c r="C4693" s="24" t="s">
        <v>31</v>
      </c>
      <c r="D4693" s="24">
        <v>0</v>
      </c>
      <c r="E4693" s="24" t="s">
        <v>796</v>
      </c>
      <c r="F4693" s="24" t="s">
        <v>1119</v>
      </c>
      <c r="G4693" s="24">
        <v>169596</v>
      </c>
    </row>
    <row r="4694" spans="1:7" x14ac:dyDescent="0.25">
      <c r="A4694" s="24" t="s">
        <v>569</v>
      </c>
      <c r="B4694" s="24" t="s">
        <v>46</v>
      </c>
      <c r="C4694" s="24" t="s">
        <v>36</v>
      </c>
      <c r="D4694" s="24">
        <v>0</v>
      </c>
      <c r="E4694" s="24" t="s">
        <v>796</v>
      </c>
      <c r="F4694" s="24" t="s">
        <v>1119</v>
      </c>
      <c r="G4694" s="24">
        <v>169596</v>
      </c>
    </row>
    <row r="4695" spans="1:7" x14ac:dyDescent="0.25">
      <c r="A4695" s="24" t="s">
        <v>569</v>
      </c>
      <c r="B4695" s="24" t="s">
        <v>47</v>
      </c>
      <c r="C4695" s="24" t="s">
        <v>48</v>
      </c>
      <c r="D4695" s="24">
        <v>0.5</v>
      </c>
      <c r="E4695" s="24" t="s">
        <v>796</v>
      </c>
      <c r="F4695" s="24" t="s">
        <v>1119</v>
      </c>
      <c r="G4695" s="24">
        <v>169596</v>
      </c>
    </row>
    <row r="4696" spans="1:7" x14ac:dyDescent="0.25">
      <c r="A4696" s="24" t="s">
        <v>569</v>
      </c>
      <c r="B4696" s="24" t="s">
        <v>49</v>
      </c>
      <c r="C4696" s="24" t="s">
        <v>31</v>
      </c>
      <c r="D4696" s="24">
        <v>35.1</v>
      </c>
      <c r="E4696" s="24" t="s">
        <v>796</v>
      </c>
      <c r="F4696" s="24" t="s">
        <v>1119</v>
      </c>
      <c r="G4696" s="24">
        <v>169596</v>
      </c>
    </row>
    <row r="4697" spans="1:7" x14ac:dyDescent="0.25">
      <c r="A4697" s="24" t="s">
        <v>569</v>
      </c>
      <c r="B4697" s="24" t="s">
        <v>50</v>
      </c>
      <c r="C4697" s="24" t="s">
        <v>31</v>
      </c>
      <c r="D4697" s="24">
        <v>0.5</v>
      </c>
      <c r="E4697" s="24" t="s">
        <v>796</v>
      </c>
      <c r="F4697" s="24" t="s">
        <v>1119</v>
      </c>
      <c r="G4697" s="24">
        <v>169596</v>
      </c>
    </row>
    <row r="4698" spans="1:7" x14ac:dyDescent="0.25">
      <c r="A4698" s="24" t="s">
        <v>569</v>
      </c>
      <c r="B4698" s="24" t="s">
        <v>51</v>
      </c>
      <c r="C4698" s="24" t="s">
        <v>31</v>
      </c>
      <c r="D4698" s="24">
        <v>1.4</v>
      </c>
      <c r="E4698" s="24" t="s">
        <v>796</v>
      </c>
      <c r="F4698" s="24" t="s">
        <v>1119</v>
      </c>
      <c r="G4698" s="24">
        <v>169596</v>
      </c>
    </row>
    <row r="4699" spans="1:7" x14ac:dyDescent="0.25">
      <c r="A4699" s="24" t="s">
        <v>569</v>
      </c>
      <c r="B4699" s="24" t="s">
        <v>52</v>
      </c>
      <c r="C4699" s="24" t="s">
        <v>31</v>
      </c>
      <c r="D4699" s="24">
        <v>10.3</v>
      </c>
      <c r="E4699" s="24" t="s">
        <v>796</v>
      </c>
      <c r="F4699" s="24" t="s">
        <v>1119</v>
      </c>
      <c r="G4699" s="24">
        <v>169596</v>
      </c>
    </row>
    <row r="4700" spans="1:7" x14ac:dyDescent="0.25">
      <c r="A4700" s="24" t="s">
        <v>569</v>
      </c>
      <c r="B4700" s="24" t="s">
        <v>53</v>
      </c>
      <c r="C4700" s="24" t="s">
        <v>31</v>
      </c>
      <c r="D4700" s="24">
        <v>0.5</v>
      </c>
      <c r="E4700" s="24" t="s">
        <v>796</v>
      </c>
      <c r="F4700" s="24" t="s">
        <v>1119</v>
      </c>
      <c r="G4700" s="24">
        <v>169596</v>
      </c>
    </row>
    <row r="4701" spans="1:7" x14ac:dyDescent="0.25">
      <c r="A4701" s="24" t="s">
        <v>569</v>
      </c>
      <c r="B4701" s="24" t="s">
        <v>54</v>
      </c>
      <c r="C4701" s="24" t="s">
        <v>31</v>
      </c>
      <c r="D4701" s="24">
        <v>0</v>
      </c>
      <c r="E4701" s="24" t="s">
        <v>796</v>
      </c>
      <c r="F4701" s="24" t="s">
        <v>1119</v>
      </c>
      <c r="G4701" s="24">
        <v>169596</v>
      </c>
    </row>
    <row r="4702" spans="1:7" x14ac:dyDescent="0.25">
      <c r="A4702" s="24" t="s">
        <v>569</v>
      </c>
      <c r="B4702" s="24" t="s">
        <v>55</v>
      </c>
      <c r="C4702" s="24" t="s">
        <v>31</v>
      </c>
      <c r="D4702" s="24">
        <v>0</v>
      </c>
      <c r="E4702" s="24" t="s">
        <v>796</v>
      </c>
      <c r="F4702" s="24" t="s">
        <v>1119</v>
      </c>
      <c r="G4702" s="24">
        <v>169596</v>
      </c>
    </row>
    <row r="4703" spans="1:7" x14ac:dyDescent="0.25">
      <c r="A4703" s="24" t="s">
        <v>569</v>
      </c>
      <c r="B4703" s="24" t="s">
        <v>56</v>
      </c>
      <c r="C4703" s="24" t="s">
        <v>31</v>
      </c>
      <c r="D4703" s="24">
        <v>0</v>
      </c>
      <c r="E4703" s="24" t="s">
        <v>796</v>
      </c>
      <c r="F4703" s="24" t="s">
        <v>1119</v>
      </c>
      <c r="G4703" s="24">
        <v>169596</v>
      </c>
    </row>
    <row r="4704" spans="1:7" x14ac:dyDescent="0.25">
      <c r="A4704" s="24" t="s">
        <v>569</v>
      </c>
      <c r="B4704" s="24" t="s">
        <v>57</v>
      </c>
      <c r="C4704" s="24" t="s">
        <v>36</v>
      </c>
      <c r="D4704" s="24">
        <v>0.5</v>
      </c>
      <c r="E4704" s="24" t="s">
        <v>796</v>
      </c>
      <c r="F4704" s="24" t="s">
        <v>1119</v>
      </c>
      <c r="G4704" s="24">
        <v>169596</v>
      </c>
    </row>
    <row r="4705" spans="1:7" x14ac:dyDescent="0.25">
      <c r="A4705" s="24" t="s">
        <v>569</v>
      </c>
      <c r="B4705" s="24" t="s">
        <v>58</v>
      </c>
      <c r="C4705" s="24" t="s">
        <v>5</v>
      </c>
      <c r="D4705" s="24">
        <v>0</v>
      </c>
      <c r="E4705" s="24" t="s">
        <v>795</v>
      </c>
      <c r="F4705" s="24"/>
      <c r="G4705" s="24"/>
    </row>
    <row r="4706" spans="1:7" x14ac:dyDescent="0.25">
      <c r="A4706" s="24" t="s">
        <v>570</v>
      </c>
      <c r="B4706" s="24" t="s">
        <v>20</v>
      </c>
      <c r="C4706" s="24" t="s">
        <v>5</v>
      </c>
      <c r="D4706" s="24">
        <v>2.2000000000000002</v>
      </c>
      <c r="E4706" s="24" t="s">
        <v>796</v>
      </c>
      <c r="F4706" s="24" t="s">
        <v>1120</v>
      </c>
      <c r="G4706" s="24">
        <v>169597</v>
      </c>
    </row>
    <row r="4707" spans="1:7" x14ac:dyDescent="0.25">
      <c r="A4707" s="24" t="s">
        <v>570</v>
      </c>
      <c r="B4707" s="24" t="s">
        <v>24</v>
      </c>
      <c r="C4707" s="24" t="s">
        <v>5</v>
      </c>
      <c r="D4707" s="24">
        <v>0.1</v>
      </c>
      <c r="E4707" s="24" t="s">
        <v>801</v>
      </c>
      <c r="F4707" s="24" t="s">
        <v>1120</v>
      </c>
      <c r="G4707" s="24">
        <v>169597</v>
      </c>
    </row>
    <row r="4708" spans="1:7" x14ac:dyDescent="0.25">
      <c r="A4708" s="24" t="s">
        <v>570</v>
      </c>
      <c r="B4708" s="24" t="s">
        <v>26</v>
      </c>
      <c r="C4708" s="24" t="s">
        <v>5</v>
      </c>
      <c r="D4708" s="24">
        <v>0</v>
      </c>
      <c r="E4708" s="24" t="s">
        <v>994</v>
      </c>
      <c r="F4708" s="24"/>
      <c r="G4708" s="24"/>
    </row>
    <row r="4709" spans="1:7" x14ac:dyDescent="0.25">
      <c r="A4709" s="24" t="s">
        <v>570</v>
      </c>
      <c r="B4709" s="24" t="s">
        <v>27</v>
      </c>
      <c r="C4709" s="24" t="s">
        <v>5</v>
      </c>
      <c r="D4709" s="24">
        <v>0</v>
      </c>
      <c r="E4709" s="24" t="s">
        <v>994</v>
      </c>
      <c r="F4709" s="24"/>
      <c r="G4709" s="24"/>
    </row>
    <row r="4710" spans="1:7" x14ac:dyDescent="0.25">
      <c r="A4710" s="24" t="s">
        <v>570</v>
      </c>
      <c r="B4710" s="24" t="s">
        <v>28</v>
      </c>
      <c r="C4710" s="24" t="s">
        <v>5</v>
      </c>
      <c r="D4710" s="24">
        <v>0</v>
      </c>
      <c r="E4710" s="24" t="s">
        <v>994</v>
      </c>
      <c r="F4710" s="24"/>
      <c r="G4710" s="24"/>
    </row>
    <row r="4711" spans="1:7" x14ac:dyDescent="0.25">
      <c r="A4711" s="24" t="s">
        <v>570</v>
      </c>
      <c r="B4711" s="24" t="s">
        <v>29</v>
      </c>
      <c r="C4711" s="24" t="s">
        <v>5</v>
      </c>
      <c r="D4711" s="24">
        <v>0</v>
      </c>
      <c r="E4711" s="24" t="s">
        <v>994</v>
      </c>
      <c r="F4711" s="24"/>
      <c r="G4711" s="24"/>
    </row>
    <row r="4712" spans="1:7" x14ac:dyDescent="0.25">
      <c r="A4712" s="24" t="s">
        <v>570</v>
      </c>
      <c r="B4712" s="24" t="s">
        <v>30</v>
      </c>
      <c r="C4712" s="24" t="s">
        <v>31</v>
      </c>
      <c r="D4712" s="24">
        <v>0</v>
      </c>
      <c r="E4712" s="24" t="s">
        <v>801</v>
      </c>
      <c r="F4712" s="24" t="s">
        <v>1120</v>
      </c>
      <c r="G4712" s="24">
        <v>169597</v>
      </c>
    </row>
    <row r="4713" spans="1:7" x14ac:dyDescent="0.25">
      <c r="A4713" s="24" t="s">
        <v>570</v>
      </c>
      <c r="B4713" s="24" t="s">
        <v>32</v>
      </c>
      <c r="C4713" s="24" t="s">
        <v>33</v>
      </c>
      <c r="D4713" s="24">
        <v>0</v>
      </c>
      <c r="E4713" s="24" t="s">
        <v>801</v>
      </c>
      <c r="F4713" s="24" t="s">
        <v>1120</v>
      </c>
      <c r="G4713" s="24">
        <v>169597</v>
      </c>
    </row>
    <row r="4714" spans="1:7" x14ac:dyDescent="0.25">
      <c r="A4714" s="24" t="s">
        <v>570</v>
      </c>
      <c r="B4714" s="24" t="s">
        <v>34</v>
      </c>
      <c r="C4714" s="24" t="s">
        <v>31</v>
      </c>
      <c r="D4714" s="24">
        <v>0</v>
      </c>
      <c r="E4714" s="24" t="s">
        <v>801</v>
      </c>
      <c r="F4714" s="24" t="s">
        <v>1120</v>
      </c>
      <c r="G4714" s="24">
        <v>169597</v>
      </c>
    </row>
    <row r="4715" spans="1:7" x14ac:dyDescent="0.25">
      <c r="A4715" s="24" t="s">
        <v>570</v>
      </c>
      <c r="B4715" s="24" t="s">
        <v>35</v>
      </c>
      <c r="C4715" s="24" t="s">
        <v>36</v>
      </c>
      <c r="D4715" s="24">
        <v>0</v>
      </c>
      <c r="E4715" s="24" t="s">
        <v>801</v>
      </c>
      <c r="F4715" s="24" t="s">
        <v>1120</v>
      </c>
      <c r="G4715" s="24">
        <v>169597</v>
      </c>
    </row>
    <row r="4716" spans="1:7" x14ac:dyDescent="0.25">
      <c r="A4716" s="24" t="s">
        <v>570</v>
      </c>
      <c r="B4716" s="24" t="s">
        <v>37</v>
      </c>
      <c r="C4716" s="24" t="s">
        <v>38</v>
      </c>
      <c r="D4716" s="24">
        <v>0</v>
      </c>
      <c r="E4716" s="24" t="s">
        <v>801</v>
      </c>
      <c r="F4716" s="24" t="s">
        <v>1120</v>
      </c>
      <c r="G4716" s="24">
        <v>169597</v>
      </c>
    </row>
    <row r="4717" spans="1:7" x14ac:dyDescent="0.25">
      <c r="A4717" s="24" t="s">
        <v>570</v>
      </c>
      <c r="B4717" s="24" t="s">
        <v>39</v>
      </c>
      <c r="C4717" s="24" t="s">
        <v>36</v>
      </c>
      <c r="D4717" s="24">
        <v>0</v>
      </c>
      <c r="E4717" s="24" t="s">
        <v>801</v>
      </c>
      <c r="F4717" s="24" t="s">
        <v>1120</v>
      </c>
      <c r="G4717" s="24">
        <v>169597</v>
      </c>
    </row>
    <row r="4718" spans="1:7" x14ac:dyDescent="0.25">
      <c r="A4718" s="24" t="s">
        <v>570</v>
      </c>
      <c r="B4718" s="24" t="s">
        <v>40</v>
      </c>
      <c r="C4718" s="24" t="s">
        <v>31</v>
      </c>
      <c r="D4718" s="24">
        <v>0</v>
      </c>
      <c r="E4718" s="24" t="s">
        <v>801</v>
      </c>
      <c r="F4718" s="24" t="s">
        <v>1120</v>
      </c>
      <c r="G4718" s="24">
        <v>169597</v>
      </c>
    </row>
    <row r="4719" spans="1:7" x14ac:dyDescent="0.25">
      <c r="A4719" s="24" t="s">
        <v>570</v>
      </c>
      <c r="B4719" s="24" t="s">
        <v>41</v>
      </c>
      <c r="C4719" s="24" t="s">
        <v>31</v>
      </c>
      <c r="D4719" s="24">
        <v>0</v>
      </c>
      <c r="E4719" s="24" t="s">
        <v>801</v>
      </c>
      <c r="F4719" s="24" t="s">
        <v>1120</v>
      </c>
      <c r="G4719" s="24">
        <v>169597</v>
      </c>
    </row>
    <row r="4720" spans="1:7" x14ac:dyDescent="0.25">
      <c r="A4720" s="24" t="s">
        <v>570</v>
      </c>
      <c r="B4720" s="24" t="s">
        <v>42</v>
      </c>
      <c r="C4720" s="24" t="s">
        <v>43</v>
      </c>
      <c r="D4720" s="24">
        <v>0</v>
      </c>
      <c r="E4720" s="24" t="s">
        <v>801</v>
      </c>
      <c r="F4720" s="24" t="s">
        <v>1120</v>
      </c>
      <c r="G4720" s="24">
        <v>169597</v>
      </c>
    </row>
    <row r="4721" spans="1:7" x14ac:dyDescent="0.25">
      <c r="A4721" s="24" t="s">
        <v>570</v>
      </c>
      <c r="B4721" s="24" t="s">
        <v>44</v>
      </c>
      <c r="C4721" s="24" t="s">
        <v>31</v>
      </c>
      <c r="D4721" s="24">
        <v>0</v>
      </c>
      <c r="E4721" s="24" t="s">
        <v>801</v>
      </c>
      <c r="F4721" s="24" t="s">
        <v>1120</v>
      </c>
      <c r="G4721" s="24">
        <v>169597</v>
      </c>
    </row>
    <row r="4722" spans="1:7" x14ac:dyDescent="0.25">
      <c r="A4722" s="24" t="s">
        <v>570</v>
      </c>
      <c r="B4722" s="24" t="s">
        <v>45</v>
      </c>
      <c r="C4722" s="24" t="s">
        <v>31</v>
      </c>
      <c r="D4722" s="24">
        <v>0</v>
      </c>
      <c r="E4722" s="24" t="s">
        <v>801</v>
      </c>
      <c r="F4722" s="24" t="s">
        <v>1120</v>
      </c>
      <c r="G4722" s="24">
        <v>169597</v>
      </c>
    </row>
    <row r="4723" spans="1:7" x14ac:dyDescent="0.25">
      <c r="A4723" s="24" t="s">
        <v>570</v>
      </c>
      <c r="B4723" s="24" t="s">
        <v>46</v>
      </c>
      <c r="C4723" s="24" t="s">
        <v>36</v>
      </c>
      <c r="D4723" s="24">
        <v>0</v>
      </c>
      <c r="E4723" s="24" t="s">
        <v>801</v>
      </c>
      <c r="F4723" s="24" t="s">
        <v>1120</v>
      </c>
      <c r="G4723" s="24">
        <v>169597</v>
      </c>
    </row>
    <row r="4724" spans="1:7" x14ac:dyDescent="0.25">
      <c r="A4724" s="24" t="s">
        <v>570</v>
      </c>
      <c r="B4724" s="24" t="s">
        <v>47</v>
      </c>
      <c r="C4724" s="24" t="s">
        <v>48</v>
      </c>
      <c r="D4724" s="24">
        <v>0</v>
      </c>
      <c r="E4724" s="24" t="s">
        <v>801</v>
      </c>
      <c r="F4724" s="24" t="s">
        <v>1120</v>
      </c>
      <c r="G4724" s="24">
        <v>169597</v>
      </c>
    </row>
    <row r="4725" spans="1:7" x14ac:dyDescent="0.25">
      <c r="A4725" s="24" t="s">
        <v>570</v>
      </c>
      <c r="B4725" s="24" t="s">
        <v>50</v>
      </c>
      <c r="C4725" s="24" t="s">
        <v>31</v>
      </c>
      <c r="D4725" s="24">
        <v>14</v>
      </c>
      <c r="E4725" s="24" t="s">
        <v>801</v>
      </c>
      <c r="F4725" s="24" t="s">
        <v>1120</v>
      </c>
      <c r="G4725" s="24">
        <v>169597</v>
      </c>
    </row>
    <row r="4726" spans="1:7" x14ac:dyDescent="0.25">
      <c r="A4726" s="24" t="s">
        <v>570</v>
      </c>
      <c r="B4726" s="24" t="s">
        <v>51</v>
      </c>
      <c r="C4726" s="24" t="s">
        <v>31</v>
      </c>
      <c r="D4726" s="24">
        <v>8</v>
      </c>
      <c r="E4726" s="24" t="s">
        <v>801</v>
      </c>
      <c r="F4726" s="24" t="s">
        <v>1120</v>
      </c>
      <c r="G4726" s="24">
        <v>169597</v>
      </c>
    </row>
    <row r="4727" spans="1:7" x14ac:dyDescent="0.25">
      <c r="A4727" s="24" t="s">
        <v>570</v>
      </c>
      <c r="B4727" s="24" t="s">
        <v>52</v>
      </c>
      <c r="C4727" s="24" t="s">
        <v>31</v>
      </c>
      <c r="D4727" s="24">
        <v>1293</v>
      </c>
      <c r="E4727" s="24" t="s">
        <v>801</v>
      </c>
      <c r="F4727" s="24" t="s">
        <v>1120</v>
      </c>
      <c r="G4727" s="24">
        <v>169597</v>
      </c>
    </row>
    <row r="4728" spans="1:7" x14ac:dyDescent="0.25">
      <c r="A4728" s="24" t="s">
        <v>570</v>
      </c>
      <c r="B4728" s="24" t="s">
        <v>53</v>
      </c>
      <c r="C4728" s="24" t="s">
        <v>31</v>
      </c>
      <c r="D4728" s="24">
        <v>2</v>
      </c>
      <c r="E4728" s="24" t="s">
        <v>801</v>
      </c>
      <c r="F4728" s="24" t="s">
        <v>1120</v>
      </c>
      <c r="G4728" s="24">
        <v>169597</v>
      </c>
    </row>
    <row r="4729" spans="1:7" x14ac:dyDescent="0.25">
      <c r="A4729" s="24" t="s">
        <v>570</v>
      </c>
      <c r="B4729" s="24" t="s">
        <v>54</v>
      </c>
      <c r="C4729" s="24" t="s">
        <v>31</v>
      </c>
      <c r="D4729" s="24">
        <v>0.1</v>
      </c>
      <c r="E4729" s="24" t="s">
        <v>801</v>
      </c>
      <c r="F4729" s="24" t="s">
        <v>1120</v>
      </c>
      <c r="G4729" s="24">
        <v>169597</v>
      </c>
    </row>
    <row r="4730" spans="1:7" x14ac:dyDescent="0.25">
      <c r="A4730" s="24" t="s">
        <v>570</v>
      </c>
      <c r="B4730" s="24" t="s">
        <v>55</v>
      </c>
      <c r="C4730" s="24" t="s">
        <v>31</v>
      </c>
      <c r="D4730" s="24">
        <v>0</v>
      </c>
      <c r="E4730" s="24" t="s">
        <v>801</v>
      </c>
      <c r="F4730" s="24" t="s">
        <v>1120</v>
      </c>
      <c r="G4730" s="24">
        <v>169597</v>
      </c>
    </row>
    <row r="4731" spans="1:7" x14ac:dyDescent="0.25">
      <c r="A4731" s="24" t="s">
        <v>570</v>
      </c>
      <c r="B4731" s="24" t="s">
        <v>56</v>
      </c>
      <c r="C4731" s="24" t="s">
        <v>31</v>
      </c>
      <c r="D4731" s="24">
        <v>0</v>
      </c>
      <c r="E4731" s="24" t="s">
        <v>801</v>
      </c>
      <c r="F4731" s="24" t="s">
        <v>1120</v>
      </c>
      <c r="G4731" s="24">
        <v>169597</v>
      </c>
    </row>
    <row r="4732" spans="1:7" x14ac:dyDescent="0.25">
      <c r="A4732" s="24" t="s">
        <v>570</v>
      </c>
      <c r="B4732" s="24" t="s">
        <v>57</v>
      </c>
      <c r="C4732" s="24" t="s">
        <v>36</v>
      </c>
      <c r="D4732" s="24">
        <v>0</v>
      </c>
      <c r="E4732" s="24" t="s">
        <v>801</v>
      </c>
      <c r="F4732" s="24" t="s">
        <v>1120</v>
      </c>
      <c r="G4732" s="24">
        <v>169597</v>
      </c>
    </row>
    <row r="4733" spans="1:7" x14ac:dyDescent="0.25">
      <c r="A4733" s="24" t="s">
        <v>570</v>
      </c>
      <c r="B4733" s="24" t="s">
        <v>58</v>
      </c>
      <c r="C4733" s="24" t="s">
        <v>5</v>
      </c>
      <c r="D4733" s="24">
        <v>0</v>
      </c>
      <c r="E4733" s="24" t="s">
        <v>795</v>
      </c>
      <c r="F4733" s="24"/>
      <c r="G4733" s="24"/>
    </row>
    <row r="4734" spans="1:7" x14ac:dyDescent="0.25">
      <c r="A4734" s="24" t="s">
        <v>570</v>
      </c>
      <c r="B4734" s="24" t="s">
        <v>18</v>
      </c>
      <c r="C4734" s="24" t="s">
        <v>5</v>
      </c>
      <c r="D4734" s="24">
        <v>26.7</v>
      </c>
      <c r="E4734" s="24" t="s">
        <v>803</v>
      </c>
      <c r="F4734" s="24"/>
      <c r="G4734" s="24"/>
    </row>
    <row r="4735" spans="1:7" x14ac:dyDescent="0.25">
      <c r="A4735" s="24" t="s">
        <v>571</v>
      </c>
      <c r="B4735" s="24" t="s">
        <v>32</v>
      </c>
      <c r="C4735" s="24" t="s">
        <v>33</v>
      </c>
      <c r="D4735" s="24">
        <v>65.900000000000006</v>
      </c>
      <c r="E4735" s="24" t="s">
        <v>796</v>
      </c>
      <c r="F4735" s="24" t="s">
        <v>1121</v>
      </c>
      <c r="G4735" s="24">
        <v>173461</v>
      </c>
    </row>
    <row r="4736" spans="1:7" x14ac:dyDescent="0.25">
      <c r="A4736" s="24" t="s">
        <v>571</v>
      </c>
      <c r="B4736" s="24" t="s">
        <v>34</v>
      </c>
      <c r="C4736" s="24" t="s">
        <v>31</v>
      </c>
      <c r="D4736" s="24">
        <v>2.2999999999999998</v>
      </c>
      <c r="E4736" s="24" t="s">
        <v>796</v>
      </c>
      <c r="F4736" s="24" t="s">
        <v>1121</v>
      </c>
      <c r="G4736" s="24">
        <v>173461</v>
      </c>
    </row>
    <row r="4737" spans="1:7" x14ac:dyDescent="0.25">
      <c r="A4737" s="24" t="s">
        <v>571</v>
      </c>
      <c r="B4737" s="24" t="s">
        <v>35</v>
      </c>
      <c r="C4737" s="24" t="s">
        <v>36</v>
      </c>
      <c r="D4737" s="24">
        <v>0.2</v>
      </c>
      <c r="E4737" s="24" t="s">
        <v>796</v>
      </c>
      <c r="F4737" s="24" t="s">
        <v>1121</v>
      </c>
      <c r="G4737" s="24">
        <v>173461</v>
      </c>
    </row>
    <row r="4738" spans="1:7" x14ac:dyDescent="0.25">
      <c r="A4738" s="24" t="s">
        <v>571</v>
      </c>
      <c r="B4738" s="24" t="s">
        <v>37</v>
      </c>
      <c r="C4738" s="24" t="s">
        <v>38</v>
      </c>
      <c r="D4738" s="24">
        <v>0.2</v>
      </c>
      <c r="E4738" s="24" t="s">
        <v>796</v>
      </c>
      <c r="F4738" s="24" t="s">
        <v>1121</v>
      </c>
      <c r="G4738" s="24">
        <v>173461</v>
      </c>
    </row>
    <row r="4739" spans="1:7" x14ac:dyDescent="0.25">
      <c r="A4739" s="24" t="s">
        <v>571</v>
      </c>
      <c r="B4739" s="24" t="s">
        <v>39</v>
      </c>
      <c r="C4739" s="24" t="s">
        <v>36</v>
      </c>
      <c r="D4739" s="24">
        <v>1.2</v>
      </c>
      <c r="E4739" s="24" t="s">
        <v>796</v>
      </c>
      <c r="F4739" s="24" t="s">
        <v>1121</v>
      </c>
      <c r="G4739" s="24">
        <v>173461</v>
      </c>
    </row>
    <row r="4740" spans="1:7" x14ac:dyDescent="0.25">
      <c r="A4740" s="24" t="s">
        <v>571</v>
      </c>
      <c r="B4740" s="24" t="s">
        <v>40</v>
      </c>
      <c r="C4740" s="24" t="s">
        <v>31</v>
      </c>
      <c r="D4740" s="24">
        <v>0</v>
      </c>
      <c r="E4740" s="24" t="s">
        <v>796</v>
      </c>
      <c r="F4740" s="24" t="s">
        <v>1121</v>
      </c>
      <c r="G4740" s="24">
        <v>173461</v>
      </c>
    </row>
    <row r="4741" spans="1:7" x14ac:dyDescent="0.25">
      <c r="A4741" s="24" t="s">
        <v>571</v>
      </c>
      <c r="B4741" s="24" t="s">
        <v>41</v>
      </c>
      <c r="C4741" s="24" t="s">
        <v>31</v>
      </c>
      <c r="D4741" s="24">
        <v>0.4</v>
      </c>
      <c r="E4741" s="24" t="s">
        <v>796</v>
      </c>
      <c r="F4741" s="24" t="s">
        <v>1121</v>
      </c>
      <c r="G4741" s="24">
        <v>173461</v>
      </c>
    </row>
    <row r="4742" spans="1:7" x14ac:dyDescent="0.25">
      <c r="A4742" s="24" t="s">
        <v>571</v>
      </c>
      <c r="B4742" s="24" t="s">
        <v>42</v>
      </c>
      <c r="C4742" s="24" t="s">
        <v>43</v>
      </c>
      <c r="D4742" s="24">
        <v>0.2</v>
      </c>
      <c r="E4742" s="24" t="s">
        <v>796</v>
      </c>
      <c r="F4742" s="24" t="s">
        <v>1121</v>
      </c>
      <c r="G4742" s="24">
        <v>173461</v>
      </c>
    </row>
    <row r="4743" spans="1:7" x14ac:dyDescent="0.25">
      <c r="A4743" s="24" t="s">
        <v>571</v>
      </c>
      <c r="B4743" s="24" t="s">
        <v>44</v>
      </c>
      <c r="C4743" s="24" t="s">
        <v>31</v>
      </c>
      <c r="D4743" s="24">
        <v>0</v>
      </c>
      <c r="E4743" s="24" t="s">
        <v>796</v>
      </c>
      <c r="F4743" s="24" t="s">
        <v>1121</v>
      </c>
      <c r="G4743" s="24">
        <v>173461</v>
      </c>
    </row>
    <row r="4744" spans="1:7" x14ac:dyDescent="0.25">
      <c r="A4744" s="24" t="s">
        <v>571</v>
      </c>
      <c r="B4744" s="24" t="s">
        <v>45</v>
      </c>
      <c r="C4744" s="24" t="s">
        <v>31</v>
      </c>
      <c r="D4744" s="24">
        <v>0.7</v>
      </c>
      <c r="E4744" s="24" t="s">
        <v>796</v>
      </c>
      <c r="F4744" s="24" t="s">
        <v>1121</v>
      </c>
      <c r="G4744" s="24">
        <v>173461</v>
      </c>
    </row>
    <row r="4745" spans="1:7" x14ac:dyDescent="0.25">
      <c r="A4745" s="24" t="s">
        <v>571</v>
      </c>
      <c r="B4745" s="24" t="s">
        <v>46</v>
      </c>
      <c r="C4745" s="24" t="s">
        <v>36</v>
      </c>
      <c r="D4745" s="24">
        <v>0.3</v>
      </c>
      <c r="E4745" s="24" t="s">
        <v>796</v>
      </c>
      <c r="F4745" s="24" t="s">
        <v>1121</v>
      </c>
      <c r="G4745" s="24">
        <v>173461</v>
      </c>
    </row>
    <row r="4746" spans="1:7" x14ac:dyDescent="0.25">
      <c r="A4746" s="24" t="s">
        <v>571</v>
      </c>
      <c r="B4746" s="24" t="s">
        <v>47</v>
      </c>
      <c r="C4746" s="24" t="s">
        <v>48</v>
      </c>
      <c r="D4746" s="24">
        <v>9.8000000000000007</v>
      </c>
      <c r="E4746" s="24" t="s">
        <v>796</v>
      </c>
      <c r="F4746" s="24" t="s">
        <v>1121</v>
      </c>
      <c r="G4746" s="24">
        <v>173461</v>
      </c>
    </row>
    <row r="4747" spans="1:7" x14ac:dyDescent="0.25">
      <c r="A4747" s="24" t="s">
        <v>571</v>
      </c>
      <c r="B4747" s="24" t="s">
        <v>50</v>
      </c>
      <c r="C4747" s="24" t="s">
        <v>31</v>
      </c>
      <c r="D4747" s="24">
        <v>311.8</v>
      </c>
      <c r="E4747" s="24" t="s">
        <v>796</v>
      </c>
      <c r="F4747" s="24" t="s">
        <v>1121</v>
      </c>
      <c r="G4747" s="24">
        <v>173461</v>
      </c>
    </row>
    <row r="4748" spans="1:7" x14ac:dyDescent="0.25">
      <c r="A4748" s="24" t="s">
        <v>571</v>
      </c>
      <c r="B4748" s="24" t="s">
        <v>51</v>
      </c>
      <c r="C4748" s="24" t="s">
        <v>31</v>
      </c>
      <c r="D4748" s="24">
        <v>223.6</v>
      </c>
      <c r="E4748" s="24" t="s">
        <v>796</v>
      </c>
      <c r="F4748" s="24" t="s">
        <v>1121</v>
      </c>
      <c r="G4748" s="24">
        <v>173461</v>
      </c>
    </row>
    <row r="4749" spans="1:7" x14ac:dyDescent="0.25">
      <c r="A4749" s="24" t="s">
        <v>571</v>
      </c>
      <c r="B4749" s="24" t="s">
        <v>52</v>
      </c>
      <c r="C4749" s="24" t="s">
        <v>31</v>
      </c>
      <c r="D4749" s="24">
        <v>171.9</v>
      </c>
      <c r="E4749" s="24" t="s">
        <v>796</v>
      </c>
      <c r="F4749" s="24" t="s">
        <v>1121</v>
      </c>
      <c r="G4749" s="24">
        <v>173461</v>
      </c>
    </row>
    <row r="4750" spans="1:7" x14ac:dyDescent="0.25">
      <c r="A4750" s="24" t="s">
        <v>571</v>
      </c>
      <c r="B4750" s="24" t="s">
        <v>53</v>
      </c>
      <c r="C4750" s="24" t="s">
        <v>31</v>
      </c>
      <c r="D4750" s="24">
        <v>19.600000000000001</v>
      </c>
      <c r="E4750" s="24" t="s">
        <v>796</v>
      </c>
      <c r="F4750" s="24" t="s">
        <v>1121</v>
      </c>
      <c r="G4750" s="24">
        <v>173461</v>
      </c>
    </row>
    <row r="4751" spans="1:7" x14ac:dyDescent="0.25">
      <c r="A4751" s="24" t="s">
        <v>571</v>
      </c>
      <c r="B4751" s="24" t="s">
        <v>54</v>
      </c>
      <c r="C4751" s="24" t="s">
        <v>31</v>
      </c>
      <c r="D4751" s="24">
        <v>0.2</v>
      </c>
      <c r="E4751" s="24" t="s">
        <v>796</v>
      </c>
      <c r="F4751" s="24" t="s">
        <v>1121</v>
      </c>
      <c r="G4751" s="24">
        <v>173461</v>
      </c>
    </row>
    <row r="4752" spans="1:7" x14ac:dyDescent="0.25">
      <c r="A4752" s="24" t="s">
        <v>571</v>
      </c>
      <c r="B4752" s="24" t="s">
        <v>55</v>
      </c>
      <c r="C4752" s="24" t="s">
        <v>31</v>
      </c>
      <c r="D4752" s="24">
        <v>0.7</v>
      </c>
      <c r="E4752" s="24" t="s">
        <v>796</v>
      </c>
      <c r="F4752" s="24" t="s">
        <v>1121</v>
      </c>
      <c r="G4752" s="24">
        <v>173461</v>
      </c>
    </row>
    <row r="4753" spans="1:7" x14ac:dyDescent="0.25">
      <c r="A4753" s="24" t="s">
        <v>571</v>
      </c>
      <c r="B4753" s="24" t="s">
        <v>56</v>
      </c>
      <c r="C4753" s="24" t="s">
        <v>31</v>
      </c>
      <c r="D4753" s="24">
        <v>0</v>
      </c>
      <c r="E4753" s="24" t="s">
        <v>796</v>
      </c>
      <c r="F4753" s="24" t="s">
        <v>1121</v>
      </c>
      <c r="G4753" s="24">
        <v>173461</v>
      </c>
    </row>
    <row r="4754" spans="1:7" x14ac:dyDescent="0.25">
      <c r="A4754" s="24" t="s">
        <v>571</v>
      </c>
      <c r="B4754" s="24" t="s">
        <v>57</v>
      </c>
      <c r="C4754" s="24" t="s">
        <v>36</v>
      </c>
      <c r="D4754" s="24">
        <v>2.4</v>
      </c>
      <c r="E4754" s="24" t="s">
        <v>796</v>
      </c>
      <c r="F4754" s="24" t="s">
        <v>1121</v>
      </c>
      <c r="G4754" s="24">
        <v>173461</v>
      </c>
    </row>
    <row r="4755" spans="1:7" x14ac:dyDescent="0.25">
      <c r="A4755" s="24" t="s">
        <v>571</v>
      </c>
      <c r="B4755" s="24" t="s">
        <v>58</v>
      </c>
      <c r="C4755" s="24" t="s">
        <v>5</v>
      </c>
      <c r="D4755" s="24">
        <v>0</v>
      </c>
      <c r="E4755" s="24" t="s">
        <v>795</v>
      </c>
      <c r="F4755" s="24"/>
      <c r="G4755" s="24"/>
    </row>
    <row r="4756" spans="1:7" x14ac:dyDescent="0.25">
      <c r="A4756" s="24" t="s">
        <v>572</v>
      </c>
      <c r="B4756" s="24" t="s">
        <v>26</v>
      </c>
      <c r="C4756" s="24" t="s">
        <v>5</v>
      </c>
      <c r="D4756" s="24">
        <v>0</v>
      </c>
      <c r="E4756" s="24" t="s">
        <v>799</v>
      </c>
      <c r="F4756" s="24" t="s">
        <v>1122</v>
      </c>
      <c r="G4756" s="24">
        <v>170645</v>
      </c>
    </row>
    <row r="4757" spans="1:7" x14ac:dyDescent="0.25">
      <c r="A4757" s="24" t="s">
        <v>572</v>
      </c>
      <c r="B4757" s="24" t="s">
        <v>27</v>
      </c>
      <c r="C4757" s="24" t="s">
        <v>5</v>
      </c>
      <c r="D4757" s="24">
        <v>0</v>
      </c>
      <c r="E4757" s="24" t="s">
        <v>799</v>
      </c>
      <c r="F4757" s="24" t="s">
        <v>1122</v>
      </c>
      <c r="G4757" s="24">
        <v>170645</v>
      </c>
    </row>
    <row r="4758" spans="1:7" x14ac:dyDescent="0.25">
      <c r="A4758" s="24" t="s">
        <v>572</v>
      </c>
      <c r="B4758" s="24" t="s">
        <v>28</v>
      </c>
      <c r="C4758" s="24" t="s">
        <v>5</v>
      </c>
      <c r="D4758" s="24">
        <v>0</v>
      </c>
      <c r="E4758" s="24" t="s">
        <v>799</v>
      </c>
      <c r="F4758" s="24" t="s">
        <v>1122</v>
      </c>
      <c r="G4758" s="24">
        <v>170645</v>
      </c>
    </row>
    <row r="4759" spans="1:7" x14ac:dyDescent="0.25">
      <c r="A4759" s="24" t="s">
        <v>572</v>
      </c>
      <c r="B4759" s="24" t="s">
        <v>29</v>
      </c>
      <c r="C4759" s="24" t="s">
        <v>5</v>
      </c>
      <c r="D4759" s="24">
        <v>0</v>
      </c>
      <c r="E4759" s="24" t="s">
        <v>994</v>
      </c>
      <c r="F4759" s="24"/>
      <c r="G4759" s="24"/>
    </row>
    <row r="4760" spans="1:7" x14ac:dyDescent="0.25">
      <c r="A4760" s="24" t="s">
        <v>572</v>
      </c>
      <c r="B4760" s="24" t="s">
        <v>30</v>
      </c>
      <c r="C4760" s="24" t="s">
        <v>31</v>
      </c>
      <c r="D4760" s="24">
        <v>0</v>
      </c>
      <c r="E4760" s="24" t="s">
        <v>801</v>
      </c>
      <c r="F4760" s="24" t="s">
        <v>1122</v>
      </c>
      <c r="G4760" s="24">
        <v>170645</v>
      </c>
    </row>
    <row r="4761" spans="1:7" x14ac:dyDescent="0.25">
      <c r="A4761" s="24" t="s">
        <v>572</v>
      </c>
      <c r="B4761" s="24" t="s">
        <v>32</v>
      </c>
      <c r="C4761" s="24" t="s">
        <v>33</v>
      </c>
      <c r="D4761" s="24">
        <v>9.1999999999999993</v>
      </c>
      <c r="E4761" s="24" t="s">
        <v>796</v>
      </c>
      <c r="F4761" s="24" t="s">
        <v>1122</v>
      </c>
      <c r="G4761" s="24">
        <v>170645</v>
      </c>
    </row>
    <row r="4762" spans="1:7" x14ac:dyDescent="0.25">
      <c r="A4762" s="24" t="s">
        <v>572</v>
      </c>
      <c r="B4762" s="24" t="s">
        <v>34</v>
      </c>
      <c r="C4762" s="24" t="s">
        <v>31</v>
      </c>
      <c r="D4762" s="24">
        <v>8.1</v>
      </c>
      <c r="E4762" s="24" t="s">
        <v>796</v>
      </c>
      <c r="F4762" s="24" t="s">
        <v>1122</v>
      </c>
      <c r="G4762" s="24">
        <v>170645</v>
      </c>
    </row>
    <row r="4763" spans="1:7" x14ac:dyDescent="0.25">
      <c r="A4763" s="24" t="s">
        <v>572</v>
      </c>
      <c r="B4763" s="24" t="s">
        <v>35</v>
      </c>
      <c r="C4763" s="24" t="s">
        <v>36</v>
      </c>
      <c r="D4763" s="24">
        <v>0</v>
      </c>
      <c r="E4763" s="24" t="s">
        <v>796</v>
      </c>
      <c r="F4763" s="24" t="s">
        <v>1122</v>
      </c>
      <c r="G4763" s="24">
        <v>170645</v>
      </c>
    </row>
    <row r="4764" spans="1:7" x14ac:dyDescent="0.25">
      <c r="A4764" s="24" t="s">
        <v>572</v>
      </c>
      <c r="B4764" s="24" t="s">
        <v>37</v>
      </c>
      <c r="C4764" s="24" t="s">
        <v>38</v>
      </c>
      <c r="D4764" s="24">
        <v>0.1</v>
      </c>
      <c r="E4764" s="24" t="s">
        <v>796</v>
      </c>
      <c r="F4764" s="24" t="s">
        <v>1122</v>
      </c>
      <c r="G4764" s="24">
        <v>170645</v>
      </c>
    </row>
    <row r="4765" spans="1:7" x14ac:dyDescent="0.25">
      <c r="A4765" s="24" t="s">
        <v>572</v>
      </c>
      <c r="B4765" s="24" t="s">
        <v>39</v>
      </c>
      <c r="C4765" s="24" t="s">
        <v>36</v>
      </c>
      <c r="D4765" s="24">
        <v>0</v>
      </c>
      <c r="E4765" s="24" t="s">
        <v>796</v>
      </c>
      <c r="F4765" s="24" t="s">
        <v>1122</v>
      </c>
      <c r="G4765" s="24">
        <v>170645</v>
      </c>
    </row>
    <row r="4766" spans="1:7" x14ac:dyDescent="0.25">
      <c r="A4766" s="24" t="s">
        <v>572</v>
      </c>
      <c r="B4766" s="24" t="s">
        <v>40</v>
      </c>
      <c r="C4766" s="24" t="s">
        <v>31</v>
      </c>
      <c r="D4766" s="24">
        <v>0</v>
      </c>
      <c r="E4766" s="24" t="s">
        <v>796</v>
      </c>
      <c r="F4766" s="24" t="s">
        <v>1122</v>
      </c>
      <c r="G4766" s="24">
        <v>170645</v>
      </c>
    </row>
    <row r="4767" spans="1:7" x14ac:dyDescent="0.25">
      <c r="A4767" s="24" t="s">
        <v>572</v>
      </c>
      <c r="B4767" s="24" t="s">
        <v>41</v>
      </c>
      <c r="C4767" s="24" t="s">
        <v>31</v>
      </c>
      <c r="D4767" s="24">
        <v>0</v>
      </c>
      <c r="E4767" s="24" t="s">
        <v>796</v>
      </c>
      <c r="F4767" s="24" t="s">
        <v>1122</v>
      </c>
      <c r="G4767" s="24">
        <v>170645</v>
      </c>
    </row>
    <row r="4768" spans="1:7" x14ac:dyDescent="0.25">
      <c r="A4768" s="24" t="s">
        <v>572</v>
      </c>
      <c r="B4768" s="24" t="s">
        <v>42</v>
      </c>
      <c r="C4768" s="24" t="s">
        <v>43</v>
      </c>
      <c r="D4768" s="24">
        <v>0</v>
      </c>
      <c r="E4768" s="24" t="s">
        <v>796</v>
      </c>
      <c r="F4768" s="24" t="s">
        <v>1122</v>
      </c>
      <c r="G4768" s="24">
        <v>170645</v>
      </c>
    </row>
    <row r="4769" spans="1:7" x14ac:dyDescent="0.25">
      <c r="A4769" s="24" t="s">
        <v>572</v>
      </c>
      <c r="B4769" s="24" t="s">
        <v>44</v>
      </c>
      <c r="C4769" s="24" t="s">
        <v>31</v>
      </c>
      <c r="D4769" s="24">
        <v>0</v>
      </c>
      <c r="E4769" s="24" t="s">
        <v>796</v>
      </c>
      <c r="F4769" s="24" t="s">
        <v>1122</v>
      </c>
      <c r="G4769" s="24">
        <v>170645</v>
      </c>
    </row>
    <row r="4770" spans="1:7" x14ac:dyDescent="0.25">
      <c r="A4770" s="24" t="s">
        <v>572</v>
      </c>
      <c r="B4770" s="24" t="s">
        <v>45</v>
      </c>
      <c r="C4770" s="24" t="s">
        <v>31</v>
      </c>
      <c r="D4770" s="24">
        <v>0</v>
      </c>
      <c r="E4770" s="24" t="s">
        <v>796</v>
      </c>
      <c r="F4770" s="24" t="s">
        <v>1122</v>
      </c>
      <c r="G4770" s="24">
        <v>170645</v>
      </c>
    </row>
    <row r="4771" spans="1:7" x14ac:dyDescent="0.25">
      <c r="A4771" s="24" t="s">
        <v>572</v>
      </c>
      <c r="B4771" s="24" t="s">
        <v>46</v>
      </c>
      <c r="C4771" s="24" t="s">
        <v>36</v>
      </c>
      <c r="D4771" s="24">
        <v>0</v>
      </c>
      <c r="E4771" s="24" t="s">
        <v>796</v>
      </c>
      <c r="F4771" s="24" t="s">
        <v>1122</v>
      </c>
      <c r="G4771" s="24">
        <v>170645</v>
      </c>
    </row>
    <row r="4772" spans="1:7" x14ac:dyDescent="0.25">
      <c r="A4772" s="24" t="s">
        <v>572</v>
      </c>
      <c r="B4772" s="24" t="s">
        <v>47</v>
      </c>
      <c r="C4772" s="24" t="s">
        <v>48</v>
      </c>
      <c r="D4772" s="24">
        <v>0.9</v>
      </c>
      <c r="E4772" s="24" t="s">
        <v>796</v>
      </c>
      <c r="F4772" s="24" t="s">
        <v>1122</v>
      </c>
      <c r="G4772" s="24">
        <v>170645</v>
      </c>
    </row>
    <row r="4773" spans="1:7" x14ac:dyDescent="0.25">
      <c r="A4773" s="24" t="s">
        <v>572</v>
      </c>
      <c r="B4773" s="24" t="s">
        <v>50</v>
      </c>
      <c r="C4773" s="24" t="s">
        <v>31</v>
      </c>
      <c r="D4773" s="24">
        <v>71</v>
      </c>
      <c r="E4773" s="24" t="s">
        <v>796</v>
      </c>
      <c r="F4773" s="24" t="s">
        <v>1122</v>
      </c>
      <c r="G4773" s="24">
        <v>170645</v>
      </c>
    </row>
    <row r="4774" spans="1:7" x14ac:dyDescent="0.25">
      <c r="A4774" s="24" t="s">
        <v>572</v>
      </c>
      <c r="B4774" s="24" t="s">
        <v>51</v>
      </c>
      <c r="C4774" s="24" t="s">
        <v>31</v>
      </c>
      <c r="D4774" s="24">
        <v>18.399999999999999</v>
      </c>
      <c r="E4774" s="24" t="s">
        <v>796</v>
      </c>
      <c r="F4774" s="24" t="s">
        <v>1122</v>
      </c>
      <c r="G4774" s="24">
        <v>170645</v>
      </c>
    </row>
    <row r="4775" spans="1:7" x14ac:dyDescent="0.25">
      <c r="A4775" s="24" t="s">
        <v>572</v>
      </c>
      <c r="B4775" s="24" t="s">
        <v>52</v>
      </c>
      <c r="C4775" s="24" t="s">
        <v>31</v>
      </c>
      <c r="D4775" s="24">
        <v>2.8</v>
      </c>
      <c r="E4775" s="24" t="s">
        <v>796</v>
      </c>
      <c r="F4775" s="24" t="s">
        <v>1122</v>
      </c>
      <c r="G4775" s="24">
        <v>170645</v>
      </c>
    </row>
    <row r="4776" spans="1:7" x14ac:dyDescent="0.25">
      <c r="A4776" s="24" t="s">
        <v>572</v>
      </c>
      <c r="B4776" s="24" t="s">
        <v>53</v>
      </c>
      <c r="C4776" s="24" t="s">
        <v>31</v>
      </c>
      <c r="D4776" s="24">
        <v>3.7</v>
      </c>
      <c r="E4776" s="24" t="s">
        <v>796</v>
      </c>
      <c r="F4776" s="24" t="s">
        <v>1122</v>
      </c>
      <c r="G4776" s="24">
        <v>170645</v>
      </c>
    </row>
    <row r="4777" spans="1:7" x14ac:dyDescent="0.25">
      <c r="A4777" s="24" t="s">
        <v>572</v>
      </c>
      <c r="B4777" s="24" t="s">
        <v>54</v>
      </c>
      <c r="C4777" s="24" t="s">
        <v>31</v>
      </c>
      <c r="D4777" s="24">
        <v>0.5</v>
      </c>
      <c r="E4777" s="24" t="s">
        <v>796</v>
      </c>
      <c r="F4777" s="24" t="s">
        <v>1122</v>
      </c>
      <c r="G4777" s="24">
        <v>170645</v>
      </c>
    </row>
    <row r="4778" spans="1:7" x14ac:dyDescent="0.25">
      <c r="A4778" s="24" t="s">
        <v>572</v>
      </c>
      <c r="B4778" s="24" t="s">
        <v>55</v>
      </c>
      <c r="C4778" s="24" t="s">
        <v>31</v>
      </c>
      <c r="D4778" s="24">
        <v>0.1</v>
      </c>
      <c r="E4778" s="24" t="s">
        <v>796</v>
      </c>
      <c r="F4778" s="24" t="s">
        <v>1122</v>
      </c>
      <c r="G4778" s="24">
        <v>170645</v>
      </c>
    </row>
    <row r="4779" spans="1:7" x14ac:dyDescent="0.25">
      <c r="A4779" s="24" t="s">
        <v>572</v>
      </c>
      <c r="B4779" s="24" t="s">
        <v>56</v>
      </c>
      <c r="C4779" s="24" t="s">
        <v>31</v>
      </c>
      <c r="D4779" s="24">
        <v>0.1</v>
      </c>
      <c r="E4779" s="24" t="s">
        <v>796</v>
      </c>
      <c r="F4779" s="24" t="s">
        <v>1122</v>
      </c>
      <c r="G4779" s="24">
        <v>170645</v>
      </c>
    </row>
    <row r="4780" spans="1:7" x14ac:dyDescent="0.25">
      <c r="A4780" s="24" t="s">
        <v>572</v>
      </c>
      <c r="B4780" s="24" t="s">
        <v>57</v>
      </c>
      <c r="C4780" s="24" t="s">
        <v>36</v>
      </c>
      <c r="D4780" s="24">
        <v>1.8</v>
      </c>
      <c r="E4780" s="24" t="s">
        <v>796</v>
      </c>
      <c r="F4780" s="24" t="s">
        <v>1122</v>
      </c>
      <c r="G4780" s="24">
        <v>170645</v>
      </c>
    </row>
    <row r="4781" spans="1:7" x14ac:dyDescent="0.25">
      <c r="A4781" s="24" t="s">
        <v>572</v>
      </c>
      <c r="B4781" s="24" t="s">
        <v>58</v>
      </c>
      <c r="C4781" s="24" t="s">
        <v>5</v>
      </c>
      <c r="D4781" s="24">
        <v>0</v>
      </c>
      <c r="E4781" s="24" t="s">
        <v>795</v>
      </c>
      <c r="F4781" s="24"/>
      <c r="G4781" s="24"/>
    </row>
    <row r="4782" spans="1:7" x14ac:dyDescent="0.25">
      <c r="A4782" s="24" t="s">
        <v>573</v>
      </c>
      <c r="B4782" s="24" t="s">
        <v>26</v>
      </c>
      <c r="C4782" s="24" t="s">
        <v>5</v>
      </c>
      <c r="D4782" s="24">
        <v>0</v>
      </c>
      <c r="E4782" s="24" t="s">
        <v>799</v>
      </c>
      <c r="F4782" s="24" t="s">
        <v>1123</v>
      </c>
      <c r="G4782" s="24">
        <v>169641</v>
      </c>
    </row>
    <row r="4783" spans="1:7" x14ac:dyDescent="0.25">
      <c r="A4783" s="24" t="s">
        <v>573</v>
      </c>
      <c r="B4783" s="24" t="s">
        <v>27</v>
      </c>
      <c r="C4783" s="24" t="s">
        <v>5</v>
      </c>
      <c r="D4783" s="24">
        <v>0</v>
      </c>
      <c r="E4783" s="24" t="s">
        <v>799</v>
      </c>
      <c r="F4783" s="24" t="s">
        <v>1123</v>
      </c>
      <c r="G4783" s="24">
        <v>169641</v>
      </c>
    </row>
    <row r="4784" spans="1:7" x14ac:dyDescent="0.25">
      <c r="A4784" s="24" t="s">
        <v>573</v>
      </c>
      <c r="B4784" s="24" t="s">
        <v>28</v>
      </c>
      <c r="C4784" s="24" t="s">
        <v>5</v>
      </c>
      <c r="D4784" s="24">
        <v>0</v>
      </c>
      <c r="E4784" s="24" t="s">
        <v>799</v>
      </c>
      <c r="F4784" s="24" t="s">
        <v>1123</v>
      </c>
      <c r="G4784" s="24">
        <v>169641</v>
      </c>
    </row>
    <row r="4785" spans="1:7" x14ac:dyDescent="0.25">
      <c r="A4785" s="24" t="s">
        <v>573</v>
      </c>
      <c r="B4785" s="24" t="s">
        <v>29</v>
      </c>
      <c r="C4785" s="24" t="s">
        <v>5</v>
      </c>
      <c r="D4785" s="24">
        <v>0</v>
      </c>
      <c r="E4785" s="24" t="s">
        <v>994</v>
      </c>
      <c r="F4785" s="24"/>
      <c r="G4785" s="24"/>
    </row>
    <row r="4786" spans="1:7" x14ac:dyDescent="0.25">
      <c r="A4786" s="24" t="s">
        <v>573</v>
      </c>
      <c r="B4786" s="24" t="s">
        <v>30</v>
      </c>
      <c r="C4786" s="24" t="s">
        <v>31</v>
      </c>
      <c r="D4786" s="24">
        <v>0</v>
      </c>
      <c r="E4786" s="24" t="s">
        <v>801</v>
      </c>
      <c r="F4786" s="24" t="s">
        <v>1123</v>
      </c>
      <c r="G4786" s="24">
        <v>169641</v>
      </c>
    </row>
    <row r="4787" spans="1:7" x14ac:dyDescent="0.25">
      <c r="A4787" s="24" t="s">
        <v>573</v>
      </c>
      <c r="B4787" s="24" t="s">
        <v>32</v>
      </c>
      <c r="C4787" s="24" t="s">
        <v>33</v>
      </c>
      <c r="D4787" s="24">
        <v>0</v>
      </c>
      <c r="E4787" s="24" t="s">
        <v>796</v>
      </c>
      <c r="F4787" s="24" t="s">
        <v>1123</v>
      </c>
      <c r="G4787" s="24">
        <v>169641</v>
      </c>
    </row>
    <row r="4788" spans="1:7" x14ac:dyDescent="0.25">
      <c r="A4788" s="24" t="s">
        <v>573</v>
      </c>
      <c r="B4788" s="24" t="s">
        <v>34</v>
      </c>
      <c r="C4788" s="24" t="s">
        <v>31</v>
      </c>
      <c r="D4788" s="24">
        <v>6.5</v>
      </c>
      <c r="E4788" s="24" t="s">
        <v>796</v>
      </c>
      <c r="F4788" s="24" t="s">
        <v>1123</v>
      </c>
      <c r="G4788" s="24">
        <v>169641</v>
      </c>
    </row>
    <row r="4789" spans="1:7" x14ac:dyDescent="0.25">
      <c r="A4789" s="24" t="s">
        <v>573</v>
      </c>
      <c r="B4789" s="24" t="s">
        <v>35</v>
      </c>
      <c r="C4789" s="24" t="s">
        <v>36</v>
      </c>
      <c r="D4789" s="24">
        <v>0</v>
      </c>
      <c r="E4789" s="24" t="s">
        <v>796</v>
      </c>
      <c r="F4789" s="24" t="s">
        <v>1123</v>
      </c>
      <c r="G4789" s="24">
        <v>169641</v>
      </c>
    </row>
    <row r="4790" spans="1:7" x14ac:dyDescent="0.25">
      <c r="A4790" s="24" t="s">
        <v>573</v>
      </c>
      <c r="B4790" s="24" t="s">
        <v>37</v>
      </c>
      <c r="C4790" s="24" t="s">
        <v>38</v>
      </c>
      <c r="D4790" s="24">
        <v>0.1</v>
      </c>
      <c r="E4790" s="24" t="s">
        <v>796</v>
      </c>
      <c r="F4790" s="24" t="s">
        <v>1123</v>
      </c>
      <c r="G4790" s="24">
        <v>169641</v>
      </c>
    </row>
    <row r="4791" spans="1:7" x14ac:dyDescent="0.25">
      <c r="A4791" s="24" t="s">
        <v>573</v>
      </c>
      <c r="B4791" s="24" t="s">
        <v>39</v>
      </c>
      <c r="C4791" s="24" t="s">
        <v>36</v>
      </c>
      <c r="D4791" s="24">
        <v>0</v>
      </c>
      <c r="E4791" s="24" t="s">
        <v>796</v>
      </c>
      <c r="F4791" s="24" t="s">
        <v>1123</v>
      </c>
      <c r="G4791" s="24">
        <v>169641</v>
      </c>
    </row>
    <row r="4792" spans="1:7" x14ac:dyDescent="0.25">
      <c r="A4792" s="24" t="s">
        <v>573</v>
      </c>
      <c r="B4792" s="24" t="s">
        <v>40</v>
      </c>
      <c r="C4792" s="24" t="s">
        <v>31</v>
      </c>
      <c r="D4792" s="24">
        <v>0</v>
      </c>
      <c r="E4792" s="24" t="s">
        <v>796</v>
      </c>
      <c r="F4792" s="24" t="s">
        <v>1123</v>
      </c>
      <c r="G4792" s="24">
        <v>169641</v>
      </c>
    </row>
    <row r="4793" spans="1:7" x14ac:dyDescent="0.25">
      <c r="A4793" s="24" t="s">
        <v>573</v>
      </c>
      <c r="B4793" s="24" t="s">
        <v>41</v>
      </c>
      <c r="C4793" s="24" t="s">
        <v>31</v>
      </c>
      <c r="D4793" s="24">
        <v>0.1</v>
      </c>
      <c r="E4793" s="24" t="s">
        <v>796</v>
      </c>
      <c r="F4793" s="24" t="s">
        <v>1123</v>
      </c>
      <c r="G4793" s="24">
        <v>169641</v>
      </c>
    </row>
    <row r="4794" spans="1:7" x14ac:dyDescent="0.25">
      <c r="A4794" s="24" t="s">
        <v>573</v>
      </c>
      <c r="B4794" s="24" t="s">
        <v>42</v>
      </c>
      <c r="C4794" s="24" t="s">
        <v>43</v>
      </c>
      <c r="D4794" s="24">
        <v>0</v>
      </c>
      <c r="E4794" s="24" t="s">
        <v>796</v>
      </c>
      <c r="F4794" s="24" t="s">
        <v>1123</v>
      </c>
      <c r="G4794" s="24">
        <v>169641</v>
      </c>
    </row>
    <row r="4795" spans="1:7" x14ac:dyDescent="0.25">
      <c r="A4795" s="24" t="s">
        <v>573</v>
      </c>
      <c r="B4795" s="24" t="s">
        <v>44</v>
      </c>
      <c r="C4795" s="24" t="s">
        <v>31</v>
      </c>
      <c r="D4795" s="24">
        <v>0</v>
      </c>
      <c r="E4795" s="24" t="s">
        <v>796</v>
      </c>
      <c r="F4795" s="24" t="s">
        <v>1123</v>
      </c>
      <c r="G4795" s="24">
        <v>169641</v>
      </c>
    </row>
    <row r="4796" spans="1:7" x14ac:dyDescent="0.25">
      <c r="A4796" s="24" t="s">
        <v>573</v>
      </c>
      <c r="B4796" s="24" t="s">
        <v>45</v>
      </c>
      <c r="C4796" s="24" t="s">
        <v>31</v>
      </c>
      <c r="D4796" s="24">
        <v>0</v>
      </c>
      <c r="E4796" s="24" t="s">
        <v>796</v>
      </c>
      <c r="F4796" s="24" t="s">
        <v>1123</v>
      </c>
      <c r="G4796" s="24">
        <v>169641</v>
      </c>
    </row>
    <row r="4797" spans="1:7" x14ac:dyDescent="0.25">
      <c r="A4797" s="24" t="s">
        <v>573</v>
      </c>
      <c r="B4797" s="24" t="s">
        <v>46</v>
      </c>
      <c r="C4797" s="24" t="s">
        <v>36</v>
      </c>
      <c r="D4797" s="24">
        <v>0</v>
      </c>
      <c r="E4797" s="24" t="s">
        <v>796</v>
      </c>
      <c r="F4797" s="24" t="s">
        <v>1123</v>
      </c>
      <c r="G4797" s="24">
        <v>169641</v>
      </c>
    </row>
    <row r="4798" spans="1:7" x14ac:dyDescent="0.25">
      <c r="A4798" s="24" t="s">
        <v>573</v>
      </c>
      <c r="B4798" s="24" t="s">
        <v>47</v>
      </c>
      <c r="C4798" s="24" t="s">
        <v>48</v>
      </c>
      <c r="D4798" s="24">
        <v>8.1999999999999993</v>
      </c>
      <c r="E4798" s="24" t="s">
        <v>796</v>
      </c>
      <c r="F4798" s="24" t="s">
        <v>1123</v>
      </c>
      <c r="G4798" s="24">
        <v>169641</v>
      </c>
    </row>
    <row r="4799" spans="1:7" x14ac:dyDescent="0.25">
      <c r="A4799" s="24" t="s">
        <v>573</v>
      </c>
      <c r="B4799" s="24" t="s">
        <v>50</v>
      </c>
      <c r="C4799" s="24" t="s">
        <v>31</v>
      </c>
      <c r="D4799" s="24">
        <v>57.1</v>
      </c>
      <c r="E4799" s="24" t="s">
        <v>796</v>
      </c>
      <c r="F4799" s="24" t="s">
        <v>1123</v>
      </c>
      <c r="G4799" s="24">
        <v>169641</v>
      </c>
    </row>
    <row r="4800" spans="1:7" x14ac:dyDescent="0.25">
      <c r="A4800" s="24" t="s">
        <v>573</v>
      </c>
      <c r="B4800" s="24" t="s">
        <v>51</v>
      </c>
      <c r="C4800" s="24" t="s">
        <v>31</v>
      </c>
      <c r="D4800" s="24">
        <v>14.8</v>
      </c>
      <c r="E4800" s="24" t="s">
        <v>796</v>
      </c>
      <c r="F4800" s="24" t="s">
        <v>1123</v>
      </c>
      <c r="G4800" s="24">
        <v>169641</v>
      </c>
    </row>
    <row r="4801" spans="1:7" x14ac:dyDescent="0.25">
      <c r="A4801" s="24" t="s">
        <v>573</v>
      </c>
      <c r="B4801" s="24" t="s">
        <v>52</v>
      </c>
      <c r="C4801" s="24" t="s">
        <v>31</v>
      </c>
      <c r="D4801" s="24">
        <v>14.1</v>
      </c>
      <c r="E4801" s="24" t="s">
        <v>796</v>
      </c>
      <c r="F4801" s="24" t="s">
        <v>1123</v>
      </c>
      <c r="G4801" s="24">
        <v>169641</v>
      </c>
    </row>
    <row r="4802" spans="1:7" x14ac:dyDescent="0.25">
      <c r="A4802" s="24" t="s">
        <v>573</v>
      </c>
      <c r="B4802" s="24" t="s">
        <v>53</v>
      </c>
      <c r="C4802" s="24" t="s">
        <v>31</v>
      </c>
      <c r="D4802" s="24">
        <v>3</v>
      </c>
      <c r="E4802" s="24" t="s">
        <v>796</v>
      </c>
      <c r="F4802" s="24" t="s">
        <v>1123</v>
      </c>
      <c r="G4802" s="24">
        <v>169641</v>
      </c>
    </row>
    <row r="4803" spans="1:7" x14ac:dyDescent="0.25">
      <c r="A4803" s="24" t="s">
        <v>573</v>
      </c>
      <c r="B4803" s="24" t="s">
        <v>54</v>
      </c>
      <c r="C4803" s="24" t="s">
        <v>31</v>
      </c>
      <c r="D4803" s="24">
        <v>0.4</v>
      </c>
      <c r="E4803" s="24" t="s">
        <v>796</v>
      </c>
      <c r="F4803" s="24" t="s">
        <v>1123</v>
      </c>
      <c r="G4803" s="24">
        <v>169641</v>
      </c>
    </row>
    <row r="4804" spans="1:7" x14ac:dyDescent="0.25">
      <c r="A4804" s="24" t="s">
        <v>573</v>
      </c>
      <c r="B4804" s="24" t="s">
        <v>55</v>
      </c>
      <c r="C4804" s="24" t="s">
        <v>31</v>
      </c>
      <c r="D4804" s="24">
        <v>0</v>
      </c>
      <c r="E4804" s="24" t="s">
        <v>796</v>
      </c>
      <c r="F4804" s="24" t="s">
        <v>1123</v>
      </c>
      <c r="G4804" s="24">
        <v>169641</v>
      </c>
    </row>
    <row r="4805" spans="1:7" x14ac:dyDescent="0.25">
      <c r="A4805" s="24" t="s">
        <v>573</v>
      </c>
      <c r="B4805" s="24" t="s">
        <v>56</v>
      </c>
      <c r="C4805" s="24" t="s">
        <v>31</v>
      </c>
      <c r="D4805" s="24">
        <v>0.1</v>
      </c>
      <c r="E4805" s="24" t="s">
        <v>796</v>
      </c>
      <c r="F4805" s="24" t="s">
        <v>1123</v>
      </c>
      <c r="G4805" s="24">
        <v>169641</v>
      </c>
    </row>
    <row r="4806" spans="1:7" x14ac:dyDescent="0.25">
      <c r="A4806" s="24" t="s">
        <v>573</v>
      </c>
      <c r="B4806" s="24" t="s">
        <v>57</v>
      </c>
      <c r="C4806" s="24" t="s">
        <v>36</v>
      </c>
      <c r="D4806" s="24">
        <v>1.5</v>
      </c>
      <c r="E4806" s="24" t="s">
        <v>796</v>
      </c>
      <c r="F4806" s="24" t="s">
        <v>1123</v>
      </c>
      <c r="G4806" s="24">
        <v>169641</v>
      </c>
    </row>
    <row r="4807" spans="1:7" x14ac:dyDescent="0.25">
      <c r="A4807" s="24" t="s">
        <v>573</v>
      </c>
      <c r="B4807" s="24" t="s">
        <v>58</v>
      </c>
      <c r="C4807" s="24" t="s">
        <v>5</v>
      </c>
      <c r="D4807" s="24">
        <v>0</v>
      </c>
      <c r="E4807" s="24" t="s">
        <v>795</v>
      </c>
      <c r="F4807" s="24"/>
      <c r="G4807" s="24"/>
    </row>
    <row r="4808" spans="1:7" x14ac:dyDescent="0.25">
      <c r="A4808" s="24" t="s">
        <v>574</v>
      </c>
      <c r="B4808" s="24" t="s">
        <v>20</v>
      </c>
      <c r="C4808" s="24" t="s">
        <v>5</v>
      </c>
      <c r="D4808" s="24">
        <v>0.2</v>
      </c>
      <c r="E4808" s="24" t="s">
        <v>796</v>
      </c>
      <c r="F4808" s="24" t="s">
        <v>1124</v>
      </c>
      <c r="G4808" s="24">
        <v>169058</v>
      </c>
    </row>
    <row r="4809" spans="1:7" x14ac:dyDescent="0.25">
      <c r="A4809" s="24" t="s">
        <v>574</v>
      </c>
      <c r="B4809" s="24" t="s">
        <v>26</v>
      </c>
      <c r="C4809" s="24" t="s">
        <v>5</v>
      </c>
      <c r="D4809" s="24">
        <v>0.01</v>
      </c>
      <c r="E4809" s="24" t="s">
        <v>799</v>
      </c>
      <c r="F4809" s="24" t="s">
        <v>1124</v>
      </c>
      <c r="G4809" s="24">
        <v>169058</v>
      </c>
    </row>
    <row r="4810" spans="1:7" x14ac:dyDescent="0.25">
      <c r="A4810" s="24" t="s">
        <v>574</v>
      </c>
      <c r="B4810" s="24" t="s">
        <v>27</v>
      </c>
      <c r="C4810" s="24" t="s">
        <v>5</v>
      </c>
      <c r="D4810" s="24">
        <v>0.03</v>
      </c>
      <c r="E4810" s="24" t="s">
        <v>799</v>
      </c>
      <c r="F4810" s="24" t="s">
        <v>1124</v>
      </c>
      <c r="G4810" s="24">
        <v>169058</v>
      </c>
    </row>
    <row r="4811" spans="1:7" x14ac:dyDescent="0.25">
      <c r="A4811" s="24" t="s">
        <v>574</v>
      </c>
      <c r="B4811" s="24" t="s">
        <v>28</v>
      </c>
      <c r="C4811" s="24" t="s">
        <v>5</v>
      </c>
      <c r="D4811" s="24">
        <v>0.1</v>
      </c>
      <c r="E4811" s="24" t="s">
        <v>799</v>
      </c>
      <c r="F4811" s="24" t="s">
        <v>1124</v>
      </c>
      <c r="G4811" s="24">
        <v>169058</v>
      </c>
    </row>
    <row r="4812" spans="1:7" x14ac:dyDescent="0.25">
      <c r="A4812" s="24" t="s">
        <v>574</v>
      </c>
      <c r="B4812" s="24" t="s">
        <v>30</v>
      </c>
      <c r="C4812" s="24" t="s">
        <v>31</v>
      </c>
      <c r="D4812" s="24">
        <v>0</v>
      </c>
      <c r="E4812" s="24" t="s">
        <v>801</v>
      </c>
      <c r="F4812" s="24" t="s">
        <v>1124</v>
      </c>
      <c r="G4812" s="24">
        <v>169058</v>
      </c>
    </row>
    <row r="4813" spans="1:7" x14ac:dyDescent="0.25">
      <c r="A4813" s="24" t="s">
        <v>574</v>
      </c>
      <c r="B4813" s="24" t="s">
        <v>32</v>
      </c>
      <c r="C4813" s="24" t="s">
        <v>33</v>
      </c>
      <c r="D4813" s="24">
        <v>0</v>
      </c>
      <c r="E4813" s="24" t="s">
        <v>801</v>
      </c>
      <c r="F4813" s="24" t="s">
        <v>1124</v>
      </c>
      <c r="G4813" s="24">
        <v>169058</v>
      </c>
    </row>
    <row r="4814" spans="1:7" x14ac:dyDescent="0.25">
      <c r="A4814" s="24" t="s">
        <v>574</v>
      </c>
      <c r="B4814" s="24" t="s">
        <v>34</v>
      </c>
      <c r="C4814" s="24" t="s">
        <v>31</v>
      </c>
      <c r="D4814" s="24">
        <v>0</v>
      </c>
      <c r="E4814" s="24" t="s">
        <v>801</v>
      </c>
      <c r="F4814" s="24" t="s">
        <v>1124</v>
      </c>
      <c r="G4814" s="24">
        <v>169058</v>
      </c>
    </row>
    <row r="4815" spans="1:7" x14ac:dyDescent="0.25">
      <c r="A4815" s="24" t="s">
        <v>574</v>
      </c>
      <c r="B4815" s="24" t="s">
        <v>35</v>
      </c>
      <c r="C4815" s="24" t="s">
        <v>36</v>
      </c>
      <c r="D4815" s="24">
        <v>0</v>
      </c>
      <c r="E4815" s="24" t="s">
        <v>801</v>
      </c>
      <c r="F4815" s="24" t="s">
        <v>1124</v>
      </c>
      <c r="G4815" s="24">
        <v>169058</v>
      </c>
    </row>
    <row r="4816" spans="1:7" x14ac:dyDescent="0.25">
      <c r="A4816" s="24" t="s">
        <v>574</v>
      </c>
      <c r="B4816" s="24" t="s">
        <v>37</v>
      </c>
      <c r="C4816" s="24" t="s">
        <v>38</v>
      </c>
      <c r="D4816" s="24">
        <v>0.1</v>
      </c>
      <c r="E4816" s="24" t="s">
        <v>801</v>
      </c>
      <c r="F4816" s="24" t="s">
        <v>1124</v>
      </c>
      <c r="G4816" s="24">
        <v>169058</v>
      </c>
    </row>
    <row r="4817" spans="1:7" x14ac:dyDescent="0.25">
      <c r="A4817" s="24" t="s">
        <v>574</v>
      </c>
      <c r="B4817" s="24" t="s">
        <v>39</v>
      </c>
      <c r="C4817" s="24" t="s">
        <v>36</v>
      </c>
      <c r="D4817" s="24">
        <v>0</v>
      </c>
      <c r="E4817" s="24" t="s">
        <v>801</v>
      </c>
      <c r="F4817" s="24" t="s">
        <v>1124</v>
      </c>
      <c r="G4817" s="24">
        <v>169058</v>
      </c>
    </row>
    <row r="4818" spans="1:7" x14ac:dyDescent="0.25">
      <c r="A4818" s="24" t="s">
        <v>574</v>
      </c>
      <c r="B4818" s="24" t="s">
        <v>40</v>
      </c>
      <c r="C4818" s="24" t="s">
        <v>31</v>
      </c>
      <c r="D4818" s="24">
        <v>0</v>
      </c>
      <c r="E4818" s="24" t="s">
        <v>801</v>
      </c>
      <c r="F4818" s="24" t="s">
        <v>1124</v>
      </c>
      <c r="G4818" s="24">
        <v>169058</v>
      </c>
    </row>
    <row r="4819" spans="1:7" x14ac:dyDescent="0.25">
      <c r="A4819" s="24" t="s">
        <v>574</v>
      </c>
      <c r="B4819" s="24" t="s">
        <v>41</v>
      </c>
      <c r="C4819" s="24" t="s">
        <v>31</v>
      </c>
      <c r="D4819" s="24">
        <v>0</v>
      </c>
      <c r="E4819" s="24" t="s">
        <v>801</v>
      </c>
      <c r="F4819" s="24" t="s">
        <v>1124</v>
      </c>
      <c r="G4819" s="24">
        <v>169058</v>
      </c>
    </row>
    <row r="4820" spans="1:7" x14ac:dyDescent="0.25">
      <c r="A4820" s="24" t="s">
        <v>574</v>
      </c>
      <c r="B4820" s="24" t="s">
        <v>42</v>
      </c>
      <c r="C4820" s="24" t="s">
        <v>43</v>
      </c>
      <c r="D4820" s="24">
        <v>0</v>
      </c>
      <c r="E4820" s="24" t="s">
        <v>801</v>
      </c>
      <c r="F4820" s="24" t="s">
        <v>1124</v>
      </c>
      <c r="G4820" s="24">
        <v>169058</v>
      </c>
    </row>
    <row r="4821" spans="1:7" x14ac:dyDescent="0.25">
      <c r="A4821" s="24" t="s">
        <v>574</v>
      </c>
      <c r="B4821" s="24" t="s">
        <v>44</v>
      </c>
      <c r="C4821" s="24" t="s">
        <v>31</v>
      </c>
      <c r="D4821" s="24">
        <v>0</v>
      </c>
      <c r="E4821" s="24" t="s">
        <v>801</v>
      </c>
      <c r="F4821" s="24" t="s">
        <v>1124</v>
      </c>
      <c r="G4821" s="24">
        <v>169058</v>
      </c>
    </row>
    <row r="4822" spans="1:7" x14ac:dyDescent="0.25">
      <c r="A4822" s="24" t="s">
        <v>574</v>
      </c>
      <c r="B4822" s="24" t="s">
        <v>46</v>
      </c>
      <c r="C4822" s="24" t="s">
        <v>36</v>
      </c>
      <c r="D4822" s="24">
        <v>0</v>
      </c>
      <c r="E4822" s="24" t="s">
        <v>801</v>
      </c>
      <c r="F4822" s="24" t="s">
        <v>1124</v>
      </c>
      <c r="G4822" s="24">
        <v>169058</v>
      </c>
    </row>
    <row r="4823" spans="1:7" x14ac:dyDescent="0.25">
      <c r="A4823" s="24" t="s">
        <v>574</v>
      </c>
      <c r="B4823" s="24" t="s">
        <v>47</v>
      </c>
      <c r="C4823" s="24" t="s">
        <v>48</v>
      </c>
      <c r="D4823" s="24">
        <v>9</v>
      </c>
      <c r="E4823" s="24" t="s">
        <v>801</v>
      </c>
      <c r="F4823" s="24" t="s">
        <v>1124</v>
      </c>
      <c r="G4823" s="24">
        <v>169058</v>
      </c>
    </row>
    <row r="4824" spans="1:7" x14ac:dyDescent="0.25">
      <c r="A4824" s="24" t="s">
        <v>574</v>
      </c>
      <c r="B4824" s="24" t="s">
        <v>50</v>
      </c>
      <c r="C4824" s="24" t="s">
        <v>31</v>
      </c>
      <c r="D4824" s="24">
        <v>69</v>
      </c>
      <c r="E4824" s="24" t="s">
        <v>801</v>
      </c>
      <c r="F4824" s="24" t="s">
        <v>1124</v>
      </c>
      <c r="G4824" s="24">
        <v>169058</v>
      </c>
    </row>
    <row r="4825" spans="1:7" x14ac:dyDescent="0.25">
      <c r="A4825" s="24" t="s">
        <v>574</v>
      </c>
      <c r="B4825" s="24" t="s">
        <v>51</v>
      </c>
      <c r="C4825" s="24" t="s">
        <v>31</v>
      </c>
      <c r="D4825" s="24">
        <v>9</v>
      </c>
      <c r="E4825" s="24" t="s">
        <v>801</v>
      </c>
      <c r="F4825" s="24" t="s">
        <v>1124</v>
      </c>
      <c r="G4825" s="24">
        <v>169058</v>
      </c>
    </row>
    <row r="4826" spans="1:7" x14ac:dyDescent="0.25">
      <c r="A4826" s="24" t="s">
        <v>574</v>
      </c>
      <c r="B4826" s="24" t="s">
        <v>52</v>
      </c>
      <c r="C4826" s="24" t="s">
        <v>31</v>
      </c>
      <c r="D4826" s="24">
        <v>9</v>
      </c>
      <c r="E4826" s="24" t="s">
        <v>801</v>
      </c>
      <c r="F4826" s="24" t="s">
        <v>1124</v>
      </c>
      <c r="G4826" s="24">
        <v>169058</v>
      </c>
    </row>
    <row r="4827" spans="1:7" x14ac:dyDescent="0.25">
      <c r="A4827" s="24" t="s">
        <v>574</v>
      </c>
      <c r="B4827" s="24" t="s">
        <v>53</v>
      </c>
      <c r="C4827" s="24" t="s">
        <v>31</v>
      </c>
      <c r="D4827" s="24">
        <v>5</v>
      </c>
      <c r="E4827" s="24" t="s">
        <v>801</v>
      </c>
      <c r="F4827" s="24" t="s">
        <v>1124</v>
      </c>
      <c r="G4827" s="24">
        <v>169058</v>
      </c>
    </row>
    <row r="4828" spans="1:7" x14ac:dyDescent="0.25">
      <c r="A4828" s="24" t="s">
        <v>574</v>
      </c>
      <c r="B4828" s="24" t="s">
        <v>54</v>
      </c>
      <c r="C4828" s="24" t="s">
        <v>31</v>
      </c>
      <c r="D4828" s="24">
        <v>0.4</v>
      </c>
      <c r="E4828" s="24" t="s">
        <v>801</v>
      </c>
      <c r="F4828" s="24" t="s">
        <v>1124</v>
      </c>
      <c r="G4828" s="24">
        <v>169058</v>
      </c>
    </row>
    <row r="4829" spans="1:7" x14ac:dyDescent="0.25">
      <c r="A4829" s="24" t="s">
        <v>574</v>
      </c>
      <c r="B4829" s="24" t="s">
        <v>55</v>
      </c>
      <c r="C4829" s="24" t="s">
        <v>31</v>
      </c>
      <c r="D4829" s="24">
        <v>0.1</v>
      </c>
      <c r="E4829" s="24" t="s">
        <v>801</v>
      </c>
      <c r="F4829" s="24" t="s">
        <v>1124</v>
      </c>
      <c r="G4829" s="24">
        <v>169058</v>
      </c>
    </row>
    <row r="4830" spans="1:7" x14ac:dyDescent="0.25">
      <c r="A4830" s="24" t="s">
        <v>574</v>
      </c>
      <c r="B4830" s="24" t="s">
        <v>56</v>
      </c>
      <c r="C4830" s="24" t="s">
        <v>31</v>
      </c>
      <c r="D4830" s="24">
        <v>0</v>
      </c>
      <c r="E4830" s="24" t="s">
        <v>801</v>
      </c>
      <c r="F4830" s="24" t="s">
        <v>1124</v>
      </c>
      <c r="G4830" s="24">
        <v>169058</v>
      </c>
    </row>
    <row r="4831" spans="1:7" x14ac:dyDescent="0.25">
      <c r="A4831" s="24" t="s">
        <v>574</v>
      </c>
      <c r="B4831" s="24" t="s">
        <v>57</v>
      </c>
      <c r="C4831" s="24" t="s">
        <v>36</v>
      </c>
      <c r="D4831" s="24">
        <v>1.7</v>
      </c>
      <c r="E4831" s="24" t="s">
        <v>801</v>
      </c>
      <c r="F4831" s="24" t="s">
        <v>1124</v>
      </c>
      <c r="G4831" s="24">
        <v>169058</v>
      </c>
    </row>
    <row r="4832" spans="1:7" x14ac:dyDescent="0.25">
      <c r="A4832" s="24" t="s">
        <v>574</v>
      </c>
      <c r="B4832" s="24" t="s">
        <v>58</v>
      </c>
      <c r="C4832" s="24" t="s">
        <v>5</v>
      </c>
      <c r="D4832" s="24">
        <v>0</v>
      </c>
      <c r="E4832" s="24" t="s">
        <v>795</v>
      </c>
      <c r="F4832" s="24"/>
      <c r="G4832" s="24"/>
    </row>
    <row r="4833" spans="1:7" x14ac:dyDescent="0.25">
      <c r="A4833" s="24" t="s">
        <v>574</v>
      </c>
      <c r="B4833" s="24" t="s">
        <v>18</v>
      </c>
      <c r="C4833" s="24" t="s">
        <v>5</v>
      </c>
      <c r="D4833" s="24">
        <v>64.900000000000006</v>
      </c>
      <c r="E4833" s="24" t="s">
        <v>803</v>
      </c>
      <c r="F4833" s="24"/>
      <c r="G4833" s="24"/>
    </row>
    <row r="4834" spans="1:7" x14ac:dyDescent="0.25">
      <c r="A4834" s="24" t="s">
        <v>575</v>
      </c>
      <c r="B4834" s="24" t="s">
        <v>26</v>
      </c>
      <c r="C4834" s="24" t="s">
        <v>5</v>
      </c>
      <c r="D4834" s="24">
        <v>0.01</v>
      </c>
      <c r="E4834" s="24" t="s">
        <v>799</v>
      </c>
      <c r="F4834" s="24" t="s">
        <v>1123</v>
      </c>
      <c r="G4834" s="24">
        <v>169641</v>
      </c>
    </row>
    <row r="4835" spans="1:7" x14ac:dyDescent="0.25">
      <c r="A4835" s="24" t="s">
        <v>575</v>
      </c>
      <c r="B4835" s="24" t="s">
        <v>27</v>
      </c>
      <c r="C4835" s="24" t="s">
        <v>5</v>
      </c>
      <c r="D4835" s="24">
        <v>0.05</v>
      </c>
      <c r="E4835" s="24" t="s">
        <v>799</v>
      </c>
      <c r="F4835" s="24" t="s">
        <v>1123</v>
      </c>
      <c r="G4835" s="24">
        <v>169641</v>
      </c>
    </row>
    <row r="4836" spans="1:7" x14ac:dyDescent="0.25">
      <c r="A4836" s="24" t="s">
        <v>575</v>
      </c>
      <c r="B4836" s="24" t="s">
        <v>28</v>
      </c>
      <c r="C4836" s="24" t="s">
        <v>5</v>
      </c>
      <c r="D4836" s="24">
        <v>0</v>
      </c>
      <c r="E4836" s="24" t="s">
        <v>799</v>
      </c>
      <c r="F4836" s="24" t="s">
        <v>1123</v>
      </c>
      <c r="G4836" s="24">
        <v>169641</v>
      </c>
    </row>
    <row r="4837" spans="1:7" x14ac:dyDescent="0.25">
      <c r="A4837" s="24" t="s">
        <v>575</v>
      </c>
      <c r="B4837" s="24" t="s">
        <v>30</v>
      </c>
      <c r="C4837" s="24" t="s">
        <v>31</v>
      </c>
      <c r="D4837" s="24">
        <v>0</v>
      </c>
      <c r="E4837" s="24" t="s">
        <v>801</v>
      </c>
      <c r="F4837" s="24" t="s">
        <v>1123</v>
      </c>
      <c r="G4837" s="24">
        <v>169641</v>
      </c>
    </row>
    <row r="4838" spans="1:7" x14ac:dyDescent="0.25">
      <c r="A4838" s="24" t="s">
        <v>575</v>
      </c>
      <c r="B4838" s="24" t="s">
        <v>32</v>
      </c>
      <c r="C4838" s="24" t="s">
        <v>33</v>
      </c>
      <c r="D4838" s="24">
        <v>0</v>
      </c>
      <c r="E4838" s="24" t="s">
        <v>796</v>
      </c>
      <c r="F4838" s="24" t="s">
        <v>1123</v>
      </c>
      <c r="G4838" s="24">
        <v>169641</v>
      </c>
    </row>
    <row r="4839" spans="1:7" x14ac:dyDescent="0.25">
      <c r="A4839" s="24" t="s">
        <v>575</v>
      </c>
      <c r="B4839" s="24" t="s">
        <v>34</v>
      </c>
      <c r="C4839" s="24" t="s">
        <v>31</v>
      </c>
      <c r="D4839" s="24">
        <v>7.8</v>
      </c>
      <c r="E4839" s="24" t="s">
        <v>796</v>
      </c>
      <c r="F4839" s="24" t="s">
        <v>1123</v>
      </c>
      <c r="G4839" s="24">
        <v>169641</v>
      </c>
    </row>
    <row r="4840" spans="1:7" x14ac:dyDescent="0.25">
      <c r="A4840" s="24" t="s">
        <v>575</v>
      </c>
      <c r="B4840" s="24" t="s">
        <v>35</v>
      </c>
      <c r="C4840" s="24" t="s">
        <v>36</v>
      </c>
      <c r="D4840" s="24">
        <v>0</v>
      </c>
      <c r="E4840" s="24" t="s">
        <v>796</v>
      </c>
      <c r="F4840" s="24" t="s">
        <v>1123</v>
      </c>
      <c r="G4840" s="24">
        <v>169641</v>
      </c>
    </row>
    <row r="4841" spans="1:7" x14ac:dyDescent="0.25">
      <c r="A4841" s="24" t="s">
        <v>575</v>
      </c>
      <c r="B4841" s="24" t="s">
        <v>37</v>
      </c>
      <c r="C4841" s="24" t="s">
        <v>38</v>
      </c>
      <c r="D4841" s="24">
        <v>0.1</v>
      </c>
      <c r="E4841" s="24" t="s">
        <v>796</v>
      </c>
      <c r="F4841" s="24" t="s">
        <v>1123</v>
      </c>
      <c r="G4841" s="24">
        <v>169641</v>
      </c>
    </row>
    <row r="4842" spans="1:7" x14ac:dyDescent="0.25">
      <c r="A4842" s="24" t="s">
        <v>575</v>
      </c>
      <c r="B4842" s="24" t="s">
        <v>39</v>
      </c>
      <c r="C4842" s="24" t="s">
        <v>36</v>
      </c>
      <c r="D4842" s="24">
        <v>0</v>
      </c>
      <c r="E4842" s="24" t="s">
        <v>796</v>
      </c>
      <c r="F4842" s="24" t="s">
        <v>1123</v>
      </c>
      <c r="G4842" s="24">
        <v>169641</v>
      </c>
    </row>
    <row r="4843" spans="1:7" x14ac:dyDescent="0.25">
      <c r="A4843" s="24" t="s">
        <v>575</v>
      </c>
      <c r="B4843" s="24" t="s">
        <v>40</v>
      </c>
      <c r="C4843" s="24" t="s">
        <v>31</v>
      </c>
      <c r="D4843" s="24">
        <v>0</v>
      </c>
      <c r="E4843" s="24" t="s">
        <v>796</v>
      </c>
      <c r="F4843" s="24" t="s">
        <v>1123</v>
      </c>
      <c r="G4843" s="24">
        <v>169641</v>
      </c>
    </row>
    <row r="4844" spans="1:7" x14ac:dyDescent="0.25">
      <c r="A4844" s="24" t="s">
        <v>575</v>
      </c>
      <c r="B4844" s="24" t="s">
        <v>41</v>
      </c>
      <c r="C4844" s="24" t="s">
        <v>31</v>
      </c>
      <c r="D4844" s="24">
        <v>0.1</v>
      </c>
      <c r="E4844" s="24" t="s">
        <v>796</v>
      </c>
      <c r="F4844" s="24" t="s">
        <v>1123</v>
      </c>
      <c r="G4844" s="24">
        <v>169641</v>
      </c>
    </row>
    <row r="4845" spans="1:7" x14ac:dyDescent="0.25">
      <c r="A4845" s="24" t="s">
        <v>575</v>
      </c>
      <c r="B4845" s="24" t="s">
        <v>42</v>
      </c>
      <c r="C4845" s="24" t="s">
        <v>43</v>
      </c>
      <c r="D4845" s="24">
        <v>0</v>
      </c>
      <c r="E4845" s="24" t="s">
        <v>796</v>
      </c>
      <c r="F4845" s="24" t="s">
        <v>1123</v>
      </c>
      <c r="G4845" s="24">
        <v>169641</v>
      </c>
    </row>
    <row r="4846" spans="1:7" x14ac:dyDescent="0.25">
      <c r="A4846" s="24" t="s">
        <v>575</v>
      </c>
      <c r="B4846" s="24" t="s">
        <v>44</v>
      </c>
      <c r="C4846" s="24" t="s">
        <v>31</v>
      </c>
      <c r="D4846" s="24">
        <v>0</v>
      </c>
      <c r="E4846" s="24" t="s">
        <v>796</v>
      </c>
      <c r="F4846" s="24" t="s">
        <v>1123</v>
      </c>
      <c r="G4846" s="24">
        <v>169641</v>
      </c>
    </row>
    <row r="4847" spans="1:7" x14ac:dyDescent="0.25">
      <c r="A4847" s="24" t="s">
        <v>575</v>
      </c>
      <c r="B4847" s="24" t="s">
        <v>45</v>
      </c>
      <c r="C4847" s="24" t="s">
        <v>31</v>
      </c>
      <c r="D4847" s="24">
        <v>0</v>
      </c>
      <c r="E4847" s="24" t="s">
        <v>796</v>
      </c>
      <c r="F4847" s="24" t="s">
        <v>1123</v>
      </c>
      <c r="G4847" s="24">
        <v>169641</v>
      </c>
    </row>
    <row r="4848" spans="1:7" x14ac:dyDescent="0.25">
      <c r="A4848" s="24" t="s">
        <v>575</v>
      </c>
      <c r="B4848" s="24" t="s">
        <v>46</v>
      </c>
      <c r="C4848" s="24" t="s">
        <v>36</v>
      </c>
      <c r="D4848" s="24">
        <v>0</v>
      </c>
      <c r="E4848" s="24" t="s">
        <v>796</v>
      </c>
      <c r="F4848" s="24" t="s">
        <v>1123</v>
      </c>
      <c r="G4848" s="24">
        <v>169641</v>
      </c>
    </row>
    <row r="4849" spans="1:7" x14ac:dyDescent="0.25">
      <c r="A4849" s="24" t="s">
        <v>575</v>
      </c>
      <c r="B4849" s="24" t="s">
        <v>47</v>
      </c>
      <c r="C4849" s="24" t="s">
        <v>48</v>
      </c>
      <c r="D4849" s="24">
        <v>9.8000000000000007</v>
      </c>
      <c r="E4849" s="24" t="s">
        <v>796</v>
      </c>
      <c r="F4849" s="24" t="s">
        <v>1123</v>
      </c>
      <c r="G4849" s="24">
        <v>169641</v>
      </c>
    </row>
    <row r="4850" spans="1:7" x14ac:dyDescent="0.25">
      <c r="A4850" s="24" t="s">
        <v>575</v>
      </c>
      <c r="B4850" s="24" t="s">
        <v>50</v>
      </c>
      <c r="C4850" s="24" t="s">
        <v>31</v>
      </c>
      <c r="D4850" s="24">
        <v>68.7</v>
      </c>
      <c r="E4850" s="24" t="s">
        <v>796</v>
      </c>
      <c r="F4850" s="24" t="s">
        <v>1123</v>
      </c>
      <c r="G4850" s="24">
        <v>169641</v>
      </c>
    </row>
    <row r="4851" spans="1:7" x14ac:dyDescent="0.25">
      <c r="A4851" s="24" t="s">
        <v>575</v>
      </c>
      <c r="B4851" s="24" t="s">
        <v>51</v>
      </c>
      <c r="C4851" s="24" t="s">
        <v>31</v>
      </c>
      <c r="D4851" s="24">
        <v>17.8</v>
      </c>
      <c r="E4851" s="24" t="s">
        <v>796</v>
      </c>
      <c r="F4851" s="24" t="s">
        <v>1123</v>
      </c>
      <c r="G4851" s="24">
        <v>169641</v>
      </c>
    </row>
    <row r="4852" spans="1:7" x14ac:dyDescent="0.25">
      <c r="A4852" s="24" t="s">
        <v>575</v>
      </c>
      <c r="B4852" s="24" t="s">
        <v>52</v>
      </c>
      <c r="C4852" s="24" t="s">
        <v>31</v>
      </c>
      <c r="D4852" s="24">
        <v>16.899999999999999</v>
      </c>
      <c r="E4852" s="24" t="s">
        <v>796</v>
      </c>
      <c r="F4852" s="24" t="s">
        <v>1123</v>
      </c>
      <c r="G4852" s="24">
        <v>169641</v>
      </c>
    </row>
    <row r="4853" spans="1:7" x14ac:dyDescent="0.25">
      <c r="A4853" s="24" t="s">
        <v>575</v>
      </c>
      <c r="B4853" s="24" t="s">
        <v>53</v>
      </c>
      <c r="C4853" s="24" t="s">
        <v>31</v>
      </c>
      <c r="D4853" s="24">
        <v>3.6</v>
      </c>
      <c r="E4853" s="24" t="s">
        <v>796</v>
      </c>
      <c r="F4853" s="24" t="s">
        <v>1123</v>
      </c>
      <c r="G4853" s="24">
        <v>169641</v>
      </c>
    </row>
    <row r="4854" spans="1:7" x14ac:dyDescent="0.25">
      <c r="A4854" s="24" t="s">
        <v>575</v>
      </c>
      <c r="B4854" s="24" t="s">
        <v>54</v>
      </c>
      <c r="C4854" s="24" t="s">
        <v>31</v>
      </c>
      <c r="D4854" s="24">
        <v>0.4</v>
      </c>
      <c r="E4854" s="24" t="s">
        <v>796</v>
      </c>
      <c r="F4854" s="24" t="s">
        <v>1123</v>
      </c>
      <c r="G4854" s="24">
        <v>169641</v>
      </c>
    </row>
    <row r="4855" spans="1:7" x14ac:dyDescent="0.25">
      <c r="A4855" s="24" t="s">
        <v>575</v>
      </c>
      <c r="B4855" s="24" t="s">
        <v>55</v>
      </c>
      <c r="C4855" s="24" t="s">
        <v>31</v>
      </c>
      <c r="D4855" s="24">
        <v>0.1</v>
      </c>
      <c r="E4855" s="24" t="s">
        <v>796</v>
      </c>
      <c r="F4855" s="24" t="s">
        <v>1123</v>
      </c>
      <c r="G4855" s="24">
        <v>169641</v>
      </c>
    </row>
    <row r="4856" spans="1:7" x14ac:dyDescent="0.25">
      <c r="A4856" s="24" t="s">
        <v>575</v>
      </c>
      <c r="B4856" s="24" t="s">
        <v>56</v>
      </c>
      <c r="C4856" s="24" t="s">
        <v>31</v>
      </c>
      <c r="D4856" s="24">
        <v>0.1</v>
      </c>
      <c r="E4856" s="24" t="s">
        <v>796</v>
      </c>
      <c r="F4856" s="24" t="s">
        <v>1123</v>
      </c>
      <c r="G4856" s="24">
        <v>169641</v>
      </c>
    </row>
    <row r="4857" spans="1:7" x14ac:dyDescent="0.25">
      <c r="A4857" s="24" t="s">
        <v>575</v>
      </c>
      <c r="B4857" s="24" t="s">
        <v>57</v>
      </c>
      <c r="C4857" s="24" t="s">
        <v>36</v>
      </c>
      <c r="D4857" s="24">
        <v>1.8</v>
      </c>
      <c r="E4857" s="24" t="s">
        <v>796</v>
      </c>
      <c r="F4857" s="24" t="s">
        <v>1123</v>
      </c>
      <c r="G4857" s="24">
        <v>169641</v>
      </c>
    </row>
    <row r="4858" spans="1:7" x14ac:dyDescent="0.25">
      <c r="A4858" s="24" t="s">
        <v>575</v>
      </c>
      <c r="B4858" s="24" t="s">
        <v>58</v>
      </c>
      <c r="C4858" s="24" t="s">
        <v>5</v>
      </c>
      <c r="D4858" s="24">
        <v>0</v>
      </c>
      <c r="E4858" s="24" t="s">
        <v>795</v>
      </c>
      <c r="F4858" s="24"/>
      <c r="G4858" s="24"/>
    </row>
    <row r="4859" spans="1:7" x14ac:dyDescent="0.25">
      <c r="A4859" s="24" t="s">
        <v>576</v>
      </c>
      <c r="B4859" s="24" t="s">
        <v>26</v>
      </c>
      <c r="C4859" s="24" t="s">
        <v>5</v>
      </c>
      <c r="D4859" s="24">
        <v>1.53</v>
      </c>
      <c r="E4859" s="24" t="s">
        <v>799</v>
      </c>
      <c r="F4859" s="24" t="s">
        <v>1125</v>
      </c>
      <c r="G4859" s="24">
        <v>169608</v>
      </c>
    </row>
    <row r="4860" spans="1:7" x14ac:dyDescent="0.25">
      <c r="A4860" s="24" t="s">
        <v>576</v>
      </c>
      <c r="B4860" s="24" t="s">
        <v>27</v>
      </c>
      <c r="C4860" s="24" t="s">
        <v>5</v>
      </c>
      <c r="D4860" s="24">
        <v>3.45</v>
      </c>
      <c r="E4860" s="24" t="s">
        <v>799</v>
      </c>
      <c r="F4860" s="24" t="s">
        <v>1125</v>
      </c>
      <c r="G4860" s="24">
        <v>169608</v>
      </c>
    </row>
    <row r="4861" spans="1:7" x14ac:dyDescent="0.25">
      <c r="A4861" s="24" t="s">
        <v>576</v>
      </c>
      <c r="B4861" s="24" t="s">
        <v>28</v>
      </c>
      <c r="C4861" s="24" t="s">
        <v>5</v>
      </c>
      <c r="D4861" s="24">
        <v>0.13</v>
      </c>
      <c r="E4861" s="24" t="s">
        <v>799</v>
      </c>
      <c r="F4861" s="24" t="s">
        <v>1125</v>
      </c>
      <c r="G4861" s="24">
        <v>169608</v>
      </c>
    </row>
    <row r="4862" spans="1:7" x14ac:dyDescent="0.25">
      <c r="A4862" s="24" t="s">
        <v>576</v>
      </c>
      <c r="B4862" s="24" t="s">
        <v>30</v>
      </c>
      <c r="C4862" s="24" t="s">
        <v>31</v>
      </c>
      <c r="D4862" s="24">
        <v>1</v>
      </c>
      <c r="E4862" s="24" t="s">
        <v>801</v>
      </c>
      <c r="F4862" s="24" t="s">
        <v>1125</v>
      </c>
      <c r="G4862" s="24">
        <v>169608</v>
      </c>
    </row>
    <row r="4863" spans="1:7" x14ac:dyDescent="0.25">
      <c r="A4863" s="24" t="s">
        <v>576</v>
      </c>
      <c r="B4863" s="24" t="s">
        <v>32</v>
      </c>
      <c r="C4863" s="24" t="s">
        <v>33</v>
      </c>
      <c r="D4863" s="24">
        <v>2.2000000000000002</v>
      </c>
      <c r="E4863" s="24" t="s">
        <v>796</v>
      </c>
      <c r="F4863" s="24" t="s">
        <v>1125</v>
      </c>
      <c r="G4863" s="24">
        <v>169608</v>
      </c>
    </row>
    <row r="4864" spans="1:7" x14ac:dyDescent="0.25">
      <c r="A4864" s="24" t="s">
        <v>576</v>
      </c>
      <c r="B4864" s="24" t="s">
        <v>34</v>
      </c>
      <c r="C4864" s="24" t="s">
        <v>31</v>
      </c>
      <c r="D4864" s="24">
        <v>0.2</v>
      </c>
      <c r="E4864" s="24" t="s">
        <v>796</v>
      </c>
      <c r="F4864" s="24" t="s">
        <v>1125</v>
      </c>
      <c r="G4864" s="24">
        <v>169608</v>
      </c>
    </row>
    <row r="4865" spans="1:7" x14ac:dyDescent="0.25">
      <c r="A4865" s="24" t="s">
        <v>576</v>
      </c>
      <c r="B4865" s="24" t="s">
        <v>35</v>
      </c>
      <c r="C4865" s="24" t="s">
        <v>36</v>
      </c>
      <c r="D4865" s="24">
        <v>0</v>
      </c>
      <c r="E4865" s="24" t="s">
        <v>796</v>
      </c>
      <c r="F4865" s="24" t="s">
        <v>1125</v>
      </c>
      <c r="G4865" s="24">
        <v>169608</v>
      </c>
    </row>
    <row r="4866" spans="1:7" x14ac:dyDescent="0.25">
      <c r="A4866" s="24" t="s">
        <v>576</v>
      </c>
      <c r="B4866" s="24" t="s">
        <v>37</v>
      </c>
      <c r="C4866" s="24" t="s">
        <v>38</v>
      </c>
      <c r="D4866" s="24">
        <v>0.3</v>
      </c>
      <c r="E4866" s="24" t="s">
        <v>796</v>
      </c>
      <c r="F4866" s="24" t="s">
        <v>1125</v>
      </c>
      <c r="G4866" s="24">
        <v>169608</v>
      </c>
    </row>
    <row r="4867" spans="1:7" x14ac:dyDescent="0.25">
      <c r="A4867" s="24" t="s">
        <v>576</v>
      </c>
      <c r="B4867" s="24" t="s">
        <v>39</v>
      </c>
      <c r="C4867" s="24" t="s">
        <v>36</v>
      </c>
      <c r="D4867" s="24">
        <v>0.7</v>
      </c>
      <c r="E4867" s="24" t="s">
        <v>796</v>
      </c>
      <c r="F4867" s="24" t="s">
        <v>1125</v>
      </c>
      <c r="G4867" s="24">
        <v>169608</v>
      </c>
    </row>
    <row r="4868" spans="1:7" x14ac:dyDescent="0.25">
      <c r="A4868" s="24" t="s">
        <v>576</v>
      </c>
      <c r="B4868" s="24" t="s">
        <v>42</v>
      </c>
      <c r="C4868" s="24" t="s">
        <v>43</v>
      </c>
      <c r="D4868" s="24">
        <v>0.1</v>
      </c>
      <c r="E4868" s="24" t="s">
        <v>796</v>
      </c>
      <c r="F4868" s="24" t="s">
        <v>1125</v>
      </c>
      <c r="G4868" s="24">
        <v>169608</v>
      </c>
    </row>
    <row r="4869" spans="1:7" x14ac:dyDescent="0.25">
      <c r="A4869" s="24" t="s">
        <v>576</v>
      </c>
      <c r="B4869" s="24" t="s">
        <v>44</v>
      </c>
      <c r="C4869" s="24" t="s">
        <v>31</v>
      </c>
      <c r="D4869" s="24">
        <v>0</v>
      </c>
      <c r="E4869" s="24" t="s">
        <v>796</v>
      </c>
      <c r="F4869" s="24" t="s">
        <v>1125</v>
      </c>
      <c r="G4869" s="24">
        <v>169608</v>
      </c>
    </row>
    <row r="4870" spans="1:7" x14ac:dyDescent="0.25">
      <c r="A4870" s="24" t="s">
        <v>576</v>
      </c>
      <c r="B4870" s="24" t="s">
        <v>45</v>
      </c>
      <c r="C4870" s="24" t="s">
        <v>31</v>
      </c>
      <c r="D4870" s="24">
        <v>0.2</v>
      </c>
      <c r="E4870" s="24" t="s">
        <v>796</v>
      </c>
      <c r="F4870" s="24" t="s">
        <v>1125</v>
      </c>
      <c r="G4870" s="24">
        <v>169608</v>
      </c>
    </row>
    <row r="4871" spans="1:7" x14ac:dyDescent="0.25">
      <c r="A4871" s="24" t="s">
        <v>576</v>
      </c>
      <c r="B4871" s="24" t="s">
        <v>46</v>
      </c>
      <c r="C4871" s="24" t="s">
        <v>36</v>
      </c>
      <c r="D4871" s="24">
        <v>0.2</v>
      </c>
      <c r="E4871" s="24" t="s">
        <v>796</v>
      </c>
      <c r="F4871" s="24" t="s">
        <v>1125</v>
      </c>
      <c r="G4871" s="24">
        <v>169608</v>
      </c>
    </row>
    <row r="4872" spans="1:7" x14ac:dyDescent="0.25">
      <c r="A4872" s="24" t="s">
        <v>576</v>
      </c>
      <c r="B4872" s="24" t="s">
        <v>47</v>
      </c>
      <c r="C4872" s="24" t="s">
        <v>48</v>
      </c>
      <c r="D4872" s="24">
        <v>2.2000000000000002</v>
      </c>
      <c r="E4872" s="24" t="s">
        <v>796</v>
      </c>
      <c r="F4872" s="24" t="s">
        <v>1125</v>
      </c>
      <c r="G4872" s="24">
        <v>169608</v>
      </c>
    </row>
    <row r="4873" spans="1:7" x14ac:dyDescent="0.25">
      <c r="A4873" s="24" t="s">
        <v>576</v>
      </c>
      <c r="B4873" s="24" t="s">
        <v>49</v>
      </c>
      <c r="C4873" s="24" t="s">
        <v>31</v>
      </c>
      <c r="D4873" s="24">
        <v>189.4</v>
      </c>
      <c r="E4873" s="24" t="s">
        <v>796</v>
      </c>
      <c r="F4873" s="24" t="s">
        <v>1125</v>
      </c>
      <c r="G4873" s="24">
        <v>169608</v>
      </c>
    </row>
    <row r="4874" spans="1:7" x14ac:dyDescent="0.25">
      <c r="A4874" s="24" t="s">
        <v>576</v>
      </c>
      <c r="B4874" s="24" t="s">
        <v>50</v>
      </c>
      <c r="C4874" s="24" t="s">
        <v>31</v>
      </c>
      <c r="D4874" s="24">
        <v>71.599999999999994</v>
      </c>
      <c r="E4874" s="24" t="s">
        <v>796</v>
      </c>
      <c r="F4874" s="24" t="s">
        <v>1125</v>
      </c>
      <c r="G4874" s="24">
        <v>169608</v>
      </c>
    </row>
    <row r="4875" spans="1:7" x14ac:dyDescent="0.25">
      <c r="A4875" s="24" t="s">
        <v>576</v>
      </c>
      <c r="B4875" s="24" t="s">
        <v>53</v>
      </c>
      <c r="C4875" s="24" t="s">
        <v>31</v>
      </c>
      <c r="D4875" s="24">
        <v>4.4000000000000004</v>
      </c>
      <c r="E4875" s="24" t="s">
        <v>796</v>
      </c>
      <c r="F4875" s="24" t="s">
        <v>1125</v>
      </c>
      <c r="G4875" s="24">
        <v>169608</v>
      </c>
    </row>
    <row r="4876" spans="1:7" x14ac:dyDescent="0.25">
      <c r="A4876" s="24" t="s">
        <v>576</v>
      </c>
      <c r="B4876" s="24" t="s">
        <v>54</v>
      </c>
      <c r="C4876" s="24" t="s">
        <v>31</v>
      </c>
      <c r="D4876" s="24">
        <v>0.1</v>
      </c>
      <c r="E4876" s="24" t="s">
        <v>796</v>
      </c>
      <c r="F4876" s="24" t="s">
        <v>1125</v>
      </c>
      <c r="G4876" s="24">
        <v>169608</v>
      </c>
    </row>
    <row r="4877" spans="1:7" x14ac:dyDescent="0.25">
      <c r="A4877" s="24" t="s">
        <v>576</v>
      </c>
      <c r="B4877" s="24" t="s">
        <v>55</v>
      </c>
      <c r="C4877" s="24" t="s">
        <v>31</v>
      </c>
      <c r="D4877" s="24">
        <v>0.2</v>
      </c>
      <c r="E4877" s="24" t="s">
        <v>796</v>
      </c>
      <c r="F4877" s="24" t="s">
        <v>1125</v>
      </c>
      <c r="G4877" s="24">
        <v>169608</v>
      </c>
    </row>
    <row r="4878" spans="1:7" x14ac:dyDescent="0.25">
      <c r="A4878" s="24" t="s">
        <v>576</v>
      </c>
      <c r="B4878" s="24" t="s">
        <v>56</v>
      </c>
      <c r="C4878" s="24" t="s">
        <v>31</v>
      </c>
      <c r="D4878" s="24">
        <v>0</v>
      </c>
      <c r="E4878" s="24" t="s">
        <v>796</v>
      </c>
      <c r="F4878" s="24" t="s">
        <v>1125</v>
      </c>
      <c r="G4878" s="24">
        <v>169608</v>
      </c>
    </row>
    <row r="4879" spans="1:7" x14ac:dyDescent="0.25">
      <c r="A4879" s="24" t="s">
        <v>576</v>
      </c>
      <c r="B4879" s="24" t="s">
        <v>57</v>
      </c>
      <c r="C4879" s="24" t="s">
        <v>36</v>
      </c>
      <c r="D4879" s="24">
        <v>0</v>
      </c>
      <c r="E4879" s="24" t="s">
        <v>796</v>
      </c>
      <c r="F4879" s="24" t="s">
        <v>1125</v>
      </c>
      <c r="G4879" s="24">
        <v>169608</v>
      </c>
    </row>
    <row r="4880" spans="1:7" x14ac:dyDescent="0.25">
      <c r="A4880" s="24" t="s">
        <v>576</v>
      </c>
      <c r="B4880" s="24" t="s">
        <v>58</v>
      </c>
      <c r="C4880" s="24" t="s">
        <v>5</v>
      </c>
      <c r="D4880" s="24">
        <v>0</v>
      </c>
      <c r="E4880" s="24" t="s">
        <v>795</v>
      </c>
      <c r="F4880" s="24"/>
      <c r="G4880" s="24"/>
    </row>
    <row r="4881" spans="1:7" x14ac:dyDescent="0.25">
      <c r="A4881" s="24" t="s">
        <v>577</v>
      </c>
      <c r="B4881" s="24" t="s">
        <v>29</v>
      </c>
      <c r="C4881" s="24" t="s">
        <v>5</v>
      </c>
      <c r="D4881" s="24">
        <v>0.13</v>
      </c>
      <c r="E4881" s="24" t="s">
        <v>799</v>
      </c>
      <c r="F4881" s="24" t="s">
        <v>1126</v>
      </c>
      <c r="G4881" s="24">
        <v>172765</v>
      </c>
    </row>
    <row r="4882" spans="1:7" x14ac:dyDescent="0.25">
      <c r="A4882" s="24" t="s">
        <v>577</v>
      </c>
      <c r="B4882" s="24" t="s">
        <v>58</v>
      </c>
      <c r="C4882" s="24" t="s">
        <v>5</v>
      </c>
      <c r="D4882" s="24">
        <v>0</v>
      </c>
      <c r="E4882" s="24" t="s">
        <v>795</v>
      </c>
      <c r="F4882" s="24"/>
      <c r="G4882" s="24"/>
    </row>
    <row r="4883" spans="1:7" x14ac:dyDescent="0.25">
      <c r="A4883" s="24" t="s">
        <v>578</v>
      </c>
      <c r="B4883" s="24" t="s">
        <v>20</v>
      </c>
      <c r="C4883" s="24" t="s">
        <v>5</v>
      </c>
      <c r="D4883" s="24">
        <v>2</v>
      </c>
      <c r="E4883" s="24" t="s">
        <v>796</v>
      </c>
      <c r="F4883" s="24" t="s">
        <v>977</v>
      </c>
      <c r="G4883" s="24">
        <v>172714</v>
      </c>
    </row>
    <row r="4884" spans="1:7" x14ac:dyDescent="0.25">
      <c r="A4884" s="24" t="s">
        <v>578</v>
      </c>
      <c r="B4884" s="24" t="s">
        <v>24</v>
      </c>
      <c r="C4884" s="24" t="s">
        <v>5</v>
      </c>
      <c r="D4884" s="24">
        <v>3.4</v>
      </c>
      <c r="E4884" s="24" t="s">
        <v>801</v>
      </c>
      <c r="F4884" s="24" t="s">
        <v>977</v>
      </c>
      <c r="G4884" s="24">
        <v>172714</v>
      </c>
    </row>
    <row r="4885" spans="1:7" x14ac:dyDescent="0.25">
      <c r="A4885" s="24" t="s">
        <v>578</v>
      </c>
      <c r="B4885" s="24" t="s">
        <v>32</v>
      </c>
      <c r="C4885" s="24" t="s">
        <v>33</v>
      </c>
      <c r="D4885" s="24">
        <v>3</v>
      </c>
      <c r="E4885" s="24" t="s">
        <v>801</v>
      </c>
      <c r="F4885" s="24" t="s">
        <v>977</v>
      </c>
      <c r="G4885" s="24">
        <v>172714</v>
      </c>
    </row>
    <row r="4886" spans="1:7" x14ac:dyDescent="0.25">
      <c r="A4886" s="24" t="s">
        <v>578</v>
      </c>
      <c r="B4886" s="24" t="s">
        <v>34</v>
      </c>
      <c r="C4886" s="24" t="s">
        <v>31</v>
      </c>
      <c r="D4886" s="24">
        <v>0</v>
      </c>
      <c r="E4886" s="24" t="s">
        <v>801</v>
      </c>
      <c r="F4886" s="24" t="s">
        <v>977</v>
      </c>
      <c r="G4886" s="24">
        <v>172714</v>
      </c>
    </row>
    <row r="4887" spans="1:7" x14ac:dyDescent="0.25">
      <c r="A4887" s="24" t="s">
        <v>578</v>
      </c>
      <c r="B4887" s="24" t="s">
        <v>35</v>
      </c>
      <c r="C4887" s="24" t="s">
        <v>36</v>
      </c>
      <c r="D4887" s="24">
        <v>0</v>
      </c>
      <c r="E4887" s="24" t="s">
        <v>801</v>
      </c>
      <c r="F4887" s="24" t="s">
        <v>977</v>
      </c>
      <c r="G4887" s="24">
        <v>172714</v>
      </c>
    </row>
    <row r="4888" spans="1:7" x14ac:dyDescent="0.25">
      <c r="A4888" s="24" t="s">
        <v>578</v>
      </c>
      <c r="B4888" s="24" t="s">
        <v>37</v>
      </c>
      <c r="C4888" s="24" t="s">
        <v>38</v>
      </c>
      <c r="D4888" s="24">
        <v>0.7</v>
      </c>
      <c r="E4888" s="24" t="s">
        <v>801</v>
      </c>
      <c r="F4888" s="24" t="s">
        <v>977</v>
      </c>
      <c r="G4888" s="24">
        <v>172714</v>
      </c>
    </row>
    <row r="4889" spans="1:7" x14ac:dyDescent="0.25">
      <c r="A4889" s="24" t="s">
        <v>578</v>
      </c>
      <c r="B4889" s="24" t="s">
        <v>39</v>
      </c>
      <c r="C4889" s="24" t="s">
        <v>36</v>
      </c>
      <c r="D4889" s="24">
        <v>2.4</v>
      </c>
      <c r="E4889" s="24" t="s">
        <v>801</v>
      </c>
      <c r="F4889" s="24" t="s">
        <v>977</v>
      </c>
      <c r="G4889" s="24">
        <v>172714</v>
      </c>
    </row>
    <row r="4890" spans="1:7" x14ac:dyDescent="0.25">
      <c r="A4890" s="24" t="s">
        <v>578</v>
      </c>
      <c r="B4890" s="24" t="s">
        <v>40</v>
      </c>
      <c r="C4890" s="24" t="s">
        <v>31</v>
      </c>
      <c r="D4890" s="24">
        <v>0.2</v>
      </c>
      <c r="E4890" s="24" t="s">
        <v>801</v>
      </c>
      <c r="F4890" s="24" t="s">
        <v>977</v>
      </c>
      <c r="G4890" s="24">
        <v>172714</v>
      </c>
    </row>
    <row r="4891" spans="1:7" x14ac:dyDescent="0.25">
      <c r="A4891" s="24" t="s">
        <v>578</v>
      </c>
      <c r="B4891" s="24" t="s">
        <v>41</v>
      </c>
      <c r="C4891" s="24" t="s">
        <v>31</v>
      </c>
      <c r="D4891" s="24">
        <v>0.3</v>
      </c>
      <c r="E4891" s="24" t="s">
        <v>801</v>
      </c>
      <c r="F4891" s="24" t="s">
        <v>977</v>
      </c>
      <c r="G4891" s="24">
        <v>172714</v>
      </c>
    </row>
    <row r="4892" spans="1:7" x14ac:dyDescent="0.25">
      <c r="A4892" s="24" t="s">
        <v>578</v>
      </c>
      <c r="B4892" s="24" t="s">
        <v>42</v>
      </c>
      <c r="C4892" s="24" t="s">
        <v>43</v>
      </c>
      <c r="D4892" s="24">
        <v>2.9</v>
      </c>
      <c r="E4892" s="24" t="s">
        <v>801</v>
      </c>
      <c r="F4892" s="24" t="s">
        <v>977</v>
      </c>
      <c r="G4892" s="24">
        <v>172714</v>
      </c>
    </row>
    <row r="4893" spans="1:7" x14ac:dyDescent="0.25">
      <c r="A4893" s="24" t="s">
        <v>578</v>
      </c>
      <c r="B4893" s="24" t="s">
        <v>44</v>
      </c>
      <c r="C4893" s="24" t="s">
        <v>31</v>
      </c>
      <c r="D4893" s="24">
        <v>0.1</v>
      </c>
      <c r="E4893" s="24" t="s">
        <v>801</v>
      </c>
      <c r="F4893" s="24" t="s">
        <v>977</v>
      </c>
      <c r="G4893" s="24">
        <v>172714</v>
      </c>
    </row>
    <row r="4894" spans="1:7" x14ac:dyDescent="0.25">
      <c r="A4894" s="24" t="s">
        <v>578</v>
      </c>
      <c r="B4894" s="24" t="s">
        <v>45</v>
      </c>
      <c r="C4894" s="24" t="s">
        <v>31</v>
      </c>
      <c r="D4894" s="24">
        <v>0.4</v>
      </c>
      <c r="E4894" s="24" t="s">
        <v>801</v>
      </c>
      <c r="F4894" s="24" t="s">
        <v>977</v>
      </c>
      <c r="G4894" s="24">
        <v>172714</v>
      </c>
    </row>
    <row r="4895" spans="1:7" x14ac:dyDescent="0.25">
      <c r="A4895" s="24" t="s">
        <v>578</v>
      </c>
      <c r="B4895" s="24" t="s">
        <v>46</v>
      </c>
      <c r="C4895" s="24" t="s">
        <v>36</v>
      </c>
      <c r="D4895" s="24">
        <v>0.1</v>
      </c>
      <c r="E4895" s="24" t="s">
        <v>801</v>
      </c>
      <c r="F4895" s="24" t="s">
        <v>977</v>
      </c>
      <c r="G4895" s="24">
        <v>172714</v>
      </c>
    </row>
    <row r="4896" spans="1:7" x14ac:dyDescent="0.25">
      <c r="A4896" s="24" t="s">
        <v>578</v>
      </c>
      <c r="B4896" s="24" t="s">
        <v>47</v>
      </c>
      <c r="C4896" s="24" t="s">
        <v>48</v>
      </c>
      <c r="D4896" s="24">
        <v>75</v>
      </c>
      <c r="E4896" s="24" t="s">
        <v>801</v>
      </c>
      <c r="F4896" s="24" t="s">
        <v>977</v>
      </c>
      <c r="G4896" s="24">
        <v>172714</v>
      </c>
    </row>
    <row r="4897" spans="1:7" x14ac:dyDescent="0.25">
      <c r="A4897" s="24" t="s">
        <v>578</v>
      </c>
      <c r="B4897" s="24" t="s">
        <v>50</v>
      </c>
      <c r="C4897" s="24" t="s">
        <v>31</v>
      </c>
      <c r="D4897" s="24">
        <v>210</v>
      </c>
      <c r="E4897" s="24" t="s">
        <v>801</v>
      </c>
      <c r="F4897" s="24" t="s">
        <v>977</v>
      </c>
      <c r="G4897" s="24">
        <v>172714</v>
      </c>
    </row>
    <row r="4898" spans="1:7" x14ac:dyDescent="0.25">
      <c r="A4898" s="24" t="s">
        <v>578</v>
      </c>
      <c r="B4898" s="24" t="s">
        <v>51</v>
      </c>
      <c r="C4898" s="24" t="s">
        <v>31</v>
      </c>
      <c r="D4898" s="24">
        <v>31</v>
      </c>
      <c r="E4898" s="24" t="s">
        <v>801</v>
      </c>
      <c r="F4898" s="24" t="s">
        <v>977</v>
      </c>
      <c r="G4898" s="24">
        <v>172714</v>
      </c>
    </row>
    <row r="4899" spans="1:7" x14ac:dyDescent="0.25">
      <c r="A4899" s="24" t="s">
        <v>578</v>
      </c>
      <c r="B4899" s="24" t="s">
        <v>52</v>
      </c>
      <c r="C4899" s="24" t="s">
        <v>31</v>
      </c>
      <c r="D4899" s="24">
        <v>132</v>
      </c>
      <c r="E4899" s="24" t="s">
        <v>801</v>
      </c>
      <c r="F4899" s="24" t="s">
        <v>977</v>
      </c>
      <c r="G4899" s="24">
        <v>172714</v>
      </c>
    </row>
    <row r="4900" spans="1:7" x14ac:dyDescent="0.25">
      <c r="A4900" s="24" t="s">
        <v>578</v>
      </c>
      <c r="B4900" s="24" t="s">
        <v>53</v>
      </c>
      <c r="C4900" s="24" t="s">
        <v>31</v>
      </c>
      <c r="D4900" s="24">
        <v>53</v>
      </c>
      <c r="E4900" s="24" t="s">
        <v>801</v>
      </c>
      <c r="F4900" s="24" t="s">
        <v>977</v>
      </c>
      <c r="G4900" s="24">
        <v>172714</v>
      </c>
    </row>
    <row r="4901" spans="1:7" x14ac:dyDescent="0.25">
      <c r="A4901" s="24" t="s">
        <v>578</v>
      </c>
      <c r="B4901" s="24" t="s">
        <v>54</v>
      </c>
      <c r="C4901" s="24" t="s">
        <v>31</v>
      </c>
      <c r="D4901" s="24">
        <v>4</v>
      </c>
      <c r="E4901" s="24" t="s">
        <v>801</v>
      </c>
      <c r="F4901" s="24" t="s">
        <v>977</v>
      </c>
      <c r="G4901" s="24">
        <v>172714</v>
      </c>
    </row>
    <row r="4902" spans="1:7" x14ac:dyDescent="0.25">
      <c r="A4902" s="24" t="s">
        <v>578</v>
      </c>
      <c r="B4902" s="24" t="s">
        <v>55</v>
      </c>
      <c r="C4902" s="24" t="s">
        <v>31</v>
      </c>
      <c r="D4902" s="24">
        <v>1.1000000000000001</v>
      </c>
      <c r="E4902" s="24" t="s">
        <v>801</v>
      </c>
      <c r="F4902" s="24" t="s">
        <v>977</v>
      </c>
      <c r="G4902" s="24">
        <v>172714</v>
      </c>
    </row>
    <row r="4903" spans="1:7" x14ac:dyDescent="0.25">
      <c r="A4903" s="24" t="s">
        <v>578</v>
      </c>
      <c r="B4903" s="24" t="s">
        <v>56</v>
      </c>
      <c r="C4903" s="24" t="s">
        <v>31</v>
      </c>
      <c r="D4903" s="24">
        <v>0.5</v>
      </c>
      <c r="E4903" s="24" t="s">
        <v>801</v>
      </c>
      <c r="F4903" s="24" t="s">
        <v>977</v>
      </c>
      <c r="G4903" s="24">
        <v>172714</v>
      </c>
    </row>
    <row r="4904" spans="1:7" x14ac:dyDescent="0.25">
      <c r="A4904" s="24" t="s">
        <v>578</v>
      </c>
      <c r="B4904" s="24" t="s">
        <v>57</v>
      </c>
      <c r="C4904" s="24" t="s">
        <v>36</v>
      </c>
      <c r="D4904" s="24">
        <v>5.7</v>
      </c>
      <c r="E4904" s="24" t="s">
        <v>801</v>
      </c>
      <c r="F4904" s="24" t="s">
        <v>977</v>
      </c>
      <c r="G4904" s="24">
        <v>172714</v>
      </c>
    </row>
    <row r="4905" spans="1:7" x14ac:dyDescent="0.25">
      <c r="A4905" s="24" t="s">
        <v>578</v>
      </c>
      <c r="B4905" s="24" t="s">
        <v>58</v>
      </c>
      <c r="C4905" s="24" t="s">
        <v>5</v>
      </c>
      <c r="D4905" s="24">
        <v>0</v>
      </c>
      <c r="E4905" s="24" t="s">
        <v>795</v>
      </c>
      <c r="F4905" s="24"/>
      <c r="G4905" s="24"/>
    </row>
    <row r="4906" spans="1:7" x14ac:dyDescent="0.25">
      <c r="A4906" s="24" t="s">
        <v>579</v>
      </c>
      <c r="B4906" s="24" t="s">
        <v>58</v>
      </c>
      <c r="C4906" s="24" t="s">
        <v>5</v>
      </c>
      <c r="D4906" s="24">
        <v>0</v>
      </c>
      <c r="E4906" s="24" t="s">
        <v>795</v>
      </c>
      <c r="F4906" s="24"/>
      <c r="G4906" s="24"/>
    </row>
    <row r="4907" spans="1:7" x14ac:dyDescent="0.25">
      <c r="A4907" s="24" t="s">
        <v>580</v>
      </c>
      <c r="B4907" s="24" t="s">
        <v>58</v>
      </c>
      <c r="C4907" s="24" t="s">
        <v>5</v>
      </c>
      <c r="D4907" s="24">
        <v>0</v>
      </c>
      <c r="E4907" s="24" t="s">
        <v>795</v>
      </c>
      <c r="F4907" s="24"/>
      <c r="G4907" s="24"/>
    </row>
    <row r="4908" spans="1:7" x14ac:dyDescent="0.25">
      <c r="A4908" s="24" t="s">
        <v>581</v>
      </c>
      <c r="B4908" s="24" t="s">
        <v>58</v>
      </c>
      <c r="C4908" s="24" t="s">
        <v>5</v>
      </c>
      <c r="D4908" s="24">
        <v>0</v>
      </c>
      <c r="E4908" s="24" t="s">
        <v>795</v>
      </c>
      <c r="F4908" s="24"/>
      <c r="G4908" s="24"/>
    </row>
    <row r="4909" spans="1:7" x14ac:dyDescent="0.25">
      <c r="A4909" s="24" t="s">
        <v>582</v>
      </c>
      <c r="B4909" s="24" t="s">
        <v>24</v>
      </c>
      <c r="C4909" s="24" t="s">
        <v>5</v>
      </c>
      <c r="D4909" s="24">
        <v>0.1</v>
      </c>
      <c r="E4909" s="24" t="s">
        <v>796</v>
      </c>
      <c r="F4909" s="24" t="s">
        <v>1127</v>
      </c>
      <c r="G4909" s="24">
        <v>167995</v>
      </c>
    </row>
    <row r="4910" spans="1:7" x14ac:dyDescent="0.25">
      <c r="A4910" s="24" t="s">
        <v>582</v>
      </c>
      <c r="B4910" s="24" t="s">
        <v>25</v>
      </c>
      <c r="C4910" s="24" t="s">
        <v>5</v>
      </c>
      <c r="D4910" s="24">
        <v>0.2</v>
      </c>
      <c r="E4910" s="24" t="s">
        <v>796</v>
      </c>
      <c r="F4910" s="24" t="s">
        <v>1127</v>
      </c>
      <c r="G4910" s="24">
        <v>167995</v>
      </c>
    </row>
    <row r="4911" spans="1:7" x14ac:dyDescent="0.25">
      <c r="A4911" s="24" t="s">
        <v>582</v>
      </c>
      <c r="B4911" s="24" t="s">
        <v>26</v>
      </c>
      <c r="C4911" s="24" t="s">
        <v>5</v>
      </c>
      <c r="D4911" s="24">
        <v>0.06</v>
      </c>
      <c r="E4911" s="24" t="s">
        <v>799</v>
      </c>
      <c r="F4911" s="24" t="s">
        <v>1127</v>
      </c>
      <c r="G4911" s="24">
        <v>167995</v>
      </c>
    </row>
    <row r="4912" spans="1:7" x14ac:dyDescent="0.25">
      <c r="A4912" s="24" t="s">
        <v>582</v>
      </c>
      <c r="B4912" s="24" t="s">
        <v>27</v>
      </c>
      <c r="C4912" s="24" t="s">
        <v>5</v>
      </c>
      <c r="D4912" s="24">
        <v>0.08</v>
      </c>
      <c r="E4912" s="24" t="s">
        <v>799</v>
      </c>
      <c r="F4912" s="24" t="s">
        <v>1127</v>
      </c>
      <c r="G4912" s="24">
        <v>167995</v>
      </c>
    </row>
    <row r="4913" spans="1:7" x14ac:dyDescent="0.25">
      <c r="A4913" s="24" t="s">
        <v>582</v>
      </c>
      <c r="B4913" s="24" t="s">
        <v>28</v>
      </c>
      <c r="C4913" s="24" t="s">
        <v>5</v>
      </c>
      <c r="D4913" s="24">
        <v>0.05</v>
      </c>
      <c r="E4913" s="24" t="s">
        <v>799</v>
      </c>
      <c r="F4913" s="24" t="s">
        <v>1127</v>
      </c>
      <c r="G4913" s="24">
        <v>167995</v>
      </c>
    </row>
    <row r="4914" spans="1:7" x14ac:dyDescent="0.25">
      <c r="A4914" s="24" t="s">
        <v>582</v>
      </c>
      <c r="B4914" s="24" t="s">
        <v>30</v>
      </c>
      <c r="C4914" s="24" t="s">
        <v>31</v>
      </c>
      <c r="D4914" s="24">
        <v>0</v>
      </c>
      <c r="E4914" s="24" t="s">
        <v>801</v>
      </c>
      <c r="F4914" s="24" t="s">
        <v>1127</v>
      </c>
      <c r="G4914" s="24">
        <v>167995</v>
      </c>
    </row>
    <row r="4915" spans="1:7" x14ac:dyDescent="0.25">
      <c r="A4915" s="24" t="s">
        <v>582</v>
      </c>
      <c r="B4915" s="24" t="s">
        <v>32</v>
      </c>
      <c r="C4915" s="24" t="s">
        <v>33</v>
      </c>
      <c r="D4915" s="24">
        <v>0</v>
      </c>
      <c r="E4915" s="24" t="s">
        <v>796</v>
      </c>
      <c r="F4915" s="24" t="s">
        <v>1127</v>
      </c>
      <c r="G4915" s="24">
        <v>167995</v>
      </c>
    </row>
    <row r="4916" spans="1:7" x14ac:dyDescent="0.25">
      <c r="A4916" s="24" t="s">
        <v>582</v>
      </c>
      <c r="B4916" s="24" t="s">
        <v>34</v>
      </c>
      <c r="C4916" s="24" t="s">
        <v>31</v>
      </c>
      <c r="D4916" s="24">
        <v>0</v>
      </c>
      <c r="E4916" s="24" t="s">
        <v>796</v>
      </c>
      <c r="F4916" s="24" t="s">
        <v>1127</v>
      </c>
      <c r="G4916" s="24">
        <v>167995</v>
      </c>
    </row>
    <row r="4917" spans="1:7" x14ac:dyDescent="0.25">
      <c r="A4917" s="24" t="s">
        <v>582</v>
      </c>
      <c r="B4917" s="24" t="s">
        <v>35</v>
      </c>
      <c r="C4917" s="24" t="s">
        <v>36</v>
      </c>
      <c r="D4917" s="24">
        <v>0</v>
      </c>
      <c r="E4917" s="24" t="s">
        <v>796</v>
      </c>
      <c r="F4917" s="24" t="s">
        <v>1127</v>
      </c>
      <c r="G4917" s="24">
        <v>167995</v>
      </c>
    </row>
    <row r="4918" spans="1:7" x14ac:dyDescent="0.25">
      <c r="A4918" s="24" t="s">
        <v>582</v>
      </c>
      <c r="B4918" s="24" t="s">
        <v>37</v>
      </c>
      <c r="C4918" s="24" t="s">
        <v>38</v>
      </c>
      <c r="D4918" s="24">
        <v>0</v>
      </c>
      <c r="E4918" s="24" t="s">
        <v>796</v>
      </c>
      <c r="F4918" s="24" t="s">
        <v>1127</v>
      </c>
      <c r="G4918" s="24">
        <v>167995</v>
      </c>
    </row>
    <row r="4919" spans="1:7" x14ac:dyDescent="0.25">
      <c r="A4919" s="24" t="s">
        <v>582</v>
      </c>
      <c r="B4919" s="24" t="s">
        <v>39</v>
      </c>
      <c r="C4919" s="24" t="s">
        <v>36</v>
      </c>
      <c r="D4919" s="24">
        <v>0</v>
      </c>
      <c r="E4919" s="24" t="s">
        <v>796</v>
      </c>
      <c r="F4919" s="24" t="s">
        <v>1127</v>
      </c>
      <c r="G4919" s="24">
        <v>167995</v>
      </c>
    </row>
    <row r="4920" spans="1:7" x14ac:dyDescent="0.25">
      <c r="A4920" s="24" t="s">
        <v>582</v>
      </c>
      <c r="B4920" s="24" t="s">
        <v>40</v>
      </c>
      <c r="C4920" s="24" t="s">
        <v>31</v>
      </c>
      <c r="D4920" s="24">
        <v>0</v>
      </c>
      <c r="E4920" s="24" t="s">
        <v>796</v>
      </c>
      <c r="F4920" s="24" t="s">
        <v>1127</v>
      </c>
      <c r="G4920" s="24">
        <v>167995</v>
      </c>
    </row>
    <row r="4921" spans="1:7" x14ac:dyDescent="0.25">
      <c r="A4921" s="24" t="s">
        <v>582</v>
      </c>
      <c r="B4921" s="24" t="s">
        <v>41</v>
      </c>
      <c r="C4921" s="24" t="s">
        <v>31</v>
      </c>
      <c r="D4921" s="24">
        <v>0</v>
      </c>
      <c r="E4921" s="24" t="s">
        <v>796</v>
      </c>
      <c r="F4921" s="24" t="s">
        <v>1127</v>
      </c>
      <c r="G4921" s="24">
        <v>167995</v>
      </c>
    </row>
    <row r="4922" spans="1:7" x14ac:dyDescent="0.25">
      <c r="A4922" s="24" t="s">
        <v>582</v>
      </c>
      <c r="B4922" s="24" t="s">
        <v>42</v>
      </c>
      <c r="C4922" s="24" t="s">
        <v>43</v>
      </c>
      <c r="D4922" s="24">
        <v>0.1</v>
      </c>
      <c r="E4922" s="24" t="s">
        <v>796</v>
      </c>
      <c r="F4922" s="24" t="s">
        <v>1127</v>
      </c>
      <c r="G4922" s="24">
        <v>167995</v>
      </c>
    </row>
    <row r="4923" spans="1:7" x14ac:dyDescent="0.25">
      <c r="A4923" s="24" t="s">
        <v>582</v>
      </c>
      <c r="B4923" s="24" t="s">
        <v>44</v>
      </c>
      <c r="C4923" s="24" t="s">
        <v>31</v>
      </c>
      <c r="D4923" s="24">
        <v>0</v>
      </c>
      <c r="E4923" s="24" t="s">
        <v>796</v>
      </c>
      <c r="F4923" s="24" t="s">
        <v>1127</v>
      </c>
      <c r="G4923" s="24">
        <v>167995</v>
      </c>
    </row>
    <row r="4924" spans="1:7" x14ac:dyDescent="0.25">
      <c r="A4924" s="24" t="s">
        <v>582</v>
      </c>
      <c r="B4924" s="24" t="s">
        <v>45</v>
      </c>
      <c r="C4924" s="24" t="s">
        <v>31</v>
      </c>
      <c r="D4924" s="24">
        <v>0</v>
      </c>
      <c r="E4924" s="24" t="s">
        <v>796</v>
      </c>
      <c r="F4924" s="24" t="s">
        <v>1127</v>
      </c>
      <c r="G4924" s="24">
        <v>167995</v>
      </c>
    </row>
    <row r="4925" spans="1:7" x14ac:dyDescent="0.25">
      <c r="A4925" s="24" t="s">
        <v>582</v>
      </c>
      <c r="B4925" s="24" t="s">
        <v>46</v>
      </c>
      <c r="C4925" s="24" t="s">
        <v>36</v>
      </c>
      <c r="D4925" s="24">
        <v>0</v>
      </c>
      <c r="E4925" s="24" t="s">
        <v>796</v>
      </c>
      <c r="F4925" s="24" t="s">
        <v>1127</v>
      </c>
      <c r="G4925" s="24">
        <v>167995</v>
      </c>
    </row>
    <row r="4926" spans="1:7" x14ac:dyDescent="0.25">
      <c r="A4926" s="24" t="s">
        <v>582</v>
      </c>
      <c r="B4926" s="24" t="s">
        <v>47</v>
      </c>
      <c r="C4926" s="24" t="s">
        <v>48</v>
      </c>
      <c r="D4926" s="24">
        <v>1</v>
      </c>
      <c r="E4926" s="24" t="s">
        <v>796</v>
      </c>
      <c r="F4926" s="24" t="s">
        <v>1127</v>
      </c>
      <c r="G4926" s="24">
        <v>167995</v>
      </c>
    </row>
    <row r="4927" spans="1:7" x14ac:dyDescent="0.25">
      <c r="A4927" s="24" t="s">
        <v>582</v>
      </c>
      <c r="B4927" s="24" t="s">
        <v>50</v>
      </c>
      <c r="C4927" s="24" t="s">
        <v>31</v>
      </c>
      <c r="D4927" s="24">
        <v>5.0999999999999996</v>
      </c>
      <c r="E4927" s="24" t="s">
        <v>796</v>
      </c>
      <c r="F4927" s="24" t="s">
        <v>1127</v>
      </c>
      <c r="G4927" s="24">
        <v>167995</v>
      </c>
    </row>
    <row r="4928" spans="1:7" x14ac:dyDescent="0.25">
      <c r="A4928" s="24" t="s">
        <v>582</v>
      </c>
      <c r="B4928" s="24" t="s">
        <v>51</v>
      </c>
      <c r="C4928" s="24" t="s">
        <v>31</v>
      </c>
      <c r="D4928" s="24">
        <v>3</v>
      </c>
      <c r="E4928" s="24" t="s">
        <v>796</v>
      </c>
      <c r="F4928" s="24" t="s">
        <v>1127</v>
      </c>
      <c r="G4928" s="24">
        <v>167995</v>
      </c>
    </row>
    <row r="4929" spans="1:7" x14ac:dyDescent="0.25">
      <c r="A4929" s="24" t="s">
        <v>582</v>
      </c>
      <c r="B4929" s="24" t="s">
        <v>52</v>
      </c>
      <c r="C4929" s="24" t="s">
        <v>31</v>
      </c>
      <c r="D4929" s="24">
        <v>8.1</v>
      </c>
      <c r="E4929" s="24" t="s">
        <v>796</v>
      </c>
      <c r="F4929" s="24" t="s">
        <v>1127</v>
      </c>
      <c r="G4929" s="24">
        <v>167995</v>
      </c>
    </row>
    <row r="4930" spans="1:7" x14ac:dyDescent="0.25">
      <c r="A4930" s="24" t="s">
        <v>582</v>
      </c>
      <c r="B4930" s="24" t="s">
        <v>53</v>
      </c>
      <c r="C4930" s="24" t="s">
        <v>31</v>
      </c>
      <c r="D4930" s="24">
        <v>2</v>
      </c>
      <c r="E4930" s="24" t="s">
        <v>796</v>
      </c>
      <c r="F4930" s="24" t="s">
        <v>1127</v>
      </c>
      <c r="G4930" s="24">
        <v>167995</v>
      </c>
    </row>
    <row r="4931" spans="1:7" x14ac:dyDescent="0.25">
      <c r="A4931" s="24" t="s">
        <v>582</v>
      </c>
      <c r="B4931" s="24" t="s">
        <v>54</v>
      </c>
      <c r="C4931" s="24" t="s">
        <v>31</v>
      </c>
      <c r="D4931" s="24">
        <v>0.2</v>
      </c>
      <c r="E4931" s="24" t="s">
        <v>796</v>
      </c>
      <c r="F4931" s="24" t="s">
        <v>1127</v>
      </c>
      <c r="G4931" s="24">
        <v>167995</v>
      </c>
    </row>
    <row r="4932" spans="1:7" x14ac:dyDescent="0.25">
      <c r="A4932" s="24" t="s">
        <v>582</v>
      </c>
      <c r="B4932" s="24" t="s">
        <v>55</v>
      </c>
      <c r="C4932" s="24" t="s">
        <v>31</v>
      </c>
      <c r="D4932" s="24">
        <v>0</v>
      </c>
      <c r="E4932" s="24" t="s">
        <v>796</v>
      </c>
      <c r="F4932" s="24" t="s">
        <v>1127</v>
      </c>
      <c r="G4932" s="24">
        <v>167995</v>
      </c>
    </row>
    <row r="4933" spans="1:7" x14ac:dyDescent="0.25">
      <c r="A4933" s="24" t="s">
        <v>582</v>
      </c>
      <c r="B4933" s="24" t="s">
        <v>56</v>
      </c>
      <c r="C4933" s="24" t="s">
        <v>31</v>
      </c>
      <c r="D4933" s="24">
        <v>0.1</v>
      </c>
      <c r="E4933" s="24" t="s">
        <v>796</v>
      </c>
      <c r="F4933" s="24" t="s">
        <v>1127</v>
      </c>
      <c r="G4933" s="24">
        <v>167995</v>
      </c>
    </row>
    <row r="4934" spans="1:7" x14ac:dyDescent="0.25">
      <c r="A4934" s="24" t="s">
        <v>582</v>
      </c>
      <c r="B4934" s="24" t="s">
        <v>57</v>
      </c>
      <c r="C4934" s="24" t="s">
        <v>36</v>
      </c>
      <c r="D4934" s="24">
        <v>1.7</v>
      </c>
      <c r="E4934" s="24" t="s">
        <v>796</v>
      </c>
      <c r="F4934" s="24" t="s">
        <v>1127</v>
      </c>
      <c r="G4934" s="24">
        <v>167995</v>
      </c>
    </row>
    <row r="4935" spans="1:7" x14ac:dyDescent="0.25">
      <c r="A4935" s="24" t="s">
        <v>582</v>
      </c>
      <c r="B4935" s="24" t="s">
        <v>58</v>
      </c>
      <c r="C4935" s="24" t="s">
        <v>5</v>
      </c>
      <c r="D4935" s="24">
        <v>0</v>
      </c>
      <c r="E4935" s="24" t="s">
        <v>795</v>
      </c>
      <c r="F4935" s="24"/>
      <c r="G4935" s="24"/>
    </row>
    <row r="4936" spans="1:7" x14ac:dyDescent="0.25">
      <c r="A4936" s="24" t="s">
        <v>583</v>
      </c>
      <c r="B4936" s="24" t="s">
        <v>35</v>
      </c>
      <c r="C4936" s="24" t="s">
        <v>36</v>
      </c>
      <c r="D4936" s="24">
        <v>0</v>
      </c>
      <c r="E4936" s="24" t="s">
        <v>796</v>
      </c>
      <c r="F4936" s="24" t="s">
        <v>1127</v>
      </c>
      <c r="G4936" s="24">
        <v>167995</v>
      </c>
    </row>
    <row r="4937" spans="1:7" x14ac:dyDescent="0.25">
      <c r="A4937" s="24" t="s">
        <v>583</v>
      </c>
      <c r="B4937" s="24" t="s">
        <v>39</v>
      </c>
      <c r="C4937" s="24" t="s">
        <v>36</v>
      </c>
      <c r="D4937" s="24">
        <v>0</v>
      </c>
      <c r="E4937" s="24" t="s">
        <v>796</v>
      </c>
      <c r="F4937" s="24" t="s">
        <v>1127</v>
      </c>
      <c r="G4937" s="24">
        <v>167995</v>
      </c>
    </row>
    <row r="4938" spans="1:7" x14ac:dyDescent="0.25">
      <c r="A4938" s="24" t="s">
        <v>583</v>
      </c>
      <c r="B4938" s="24" t="s">
        <v>55</v>
      </c>
      <c r="C4938" s="24" t="s">
        <v>31</v>
      </c>
      <c r="D4938" s="24">
        <v>0</v>
      </c>
      <c r="E4938" s="24" t="s">
        <v>796</v>
      </c>
      <c r="F4938" s="24" t="s">
        <v>1127</v>
      </c>
      <c r="G4938" s="24">
        <v>167995</v>
      </c>
    </row>
    <row r="4939" spans="1:7" x14ac:dyDescent="0.25">
      <c r="A4939" s="24" t="s">
        <v>583</v>
      </c>
      <c r="B4939" s="24" t="s">
        <v>57</v>
      </c>
      <c r="C4939" s="24" t="s">
        <v>36</v>
      </c>
      <c r="D4939" s="24">
        <v>1.8</v>
      </c>
      <c r="E4939" s="24" t="s">
        <v>796</v>
      </c>
      <c r="F4939" s="24" t="s">
        <v>1127</v>
      </c>
      <c r="G4939" s="24">
        <v>167995</v>
      </c>
    </row>
    <row r="4940" spans="1:7" x14ac:dyDescent="0.25">
      <c r="A4940" s="24" t="s">
        <v>583</v>
      </c>
      <c r="B4940" s="24" t="s">
        <v>58</v>
      </c>
      <c r="C4940" s="24" t="s">
        <v>5</v>
      </c>
      <c r="D4940" s="24">
        <v>0</v>
      </c>
      <c r="E4940" s="24" t="s">
        <v>795</v>
      </c>
      <c r="F4940" s="24"/>
      <c r="G4940" s="24"/>
    </row>
    <row r="4941" spans="1:7" x14ac:dyDescent="0.25">
      <c r="A4941" s="24" t="s">
        <v>584</v>
      </c>
      <c r="B4941" s="24" t="s">
        <v>35</v>
      </c>
      <c r="C4941" s="24" t="s">
        <v>36</v>
      </c>
      <c r="D4941" s="24">
        <v>0</v>
      </c>
      <c r="E4941" s="24" t="s">
        <v>796</v>
      </c>
      <c r="F4941" s="24" t="s">
        <v>1108</v>
      </c>
      <c r="G4941" s="24">
        <v>172723</v>
      </c>
    </row>
    <row r="4942" spans="1:7" x14ac:dyDescent="0.25">
      <c r="A4942" s="24" t="s">
        <v>584</v>
      </c>
      <c r="B4942" s="24" t="s">
        <v>39</v>
      </c>
      <c r="C4942" s="24" t="s">
        <v>36</v>
      </c>
      <c r="D4942" s="24">
        <v>7.3</v>
      </c>
      <c r="E4942" s="24" t="s">
        <v>796</v>
      </c>
      <c r="F4942" s="24" t="s">
        <v>1108</v>
      </c>
      <c r="G4942" s="24">
        <v>172723</v>
      </c>
    </row>
    <row r="4943" spans="1:7" x14ac:dyDescent="0.25">
      <c r="A4943" s="24" t="s">
        <v>584</v>
      </c>
      <c r="B4943" s="24" t="s">
        <v>55</v>
      </c>
      <c r="C4943" s="24" t="s">
        <v>31</v>
      </c>
      <c r="D4943" s="24">
        <v>0.7</v>
      </c>
      <c r="E4943" s="24" t="s">
        <v>796</v>
      </c>
      <c r="F4943" s="24" t="s">
        <v>1108</v>
      </c>
      <c r="G4943" s="24">
        <v>172723</v>
      </c>
    </row>
    <row r="4944" spans="1:7" x14ac:dyDescent="0.25">
      <c r="A4944" s="24" t="s">
        <v>584</v>
      </c>
      <c r="B4944" s="24" t="s">
        <v>57</v>
      </c>
      <c r="C4944" s="24" t="s">
        <v>36</v>
      </c>
      <c r="D4944" s="24">
        <v>4.5999999999999996</v>
      </c>
      <c r="E4944" s="24" t="s">
        <v>796</v>
      </c>
      <c r="F4944" s="24" t="s">
        <v>1108</v>
      </c>
      <c r="G4944" s="24">
        <v>172723</v>
      </c>
    </row>
    <row r="4945" spans="1:7" x14ac:dyDescent="0.25">
      <c r="A4945" s="24" t="s">
        <v>584</v>
      </c>
      <c r="B4945" s="24" t="s">
        <v>58</v>
      </c>
      <c r="C4945" s="24" t="s">
        <v>5</v>
      </c>
      <c r="D4945" s="24">
        <v>0</v>
      </c>
      <c r="E4945" s="24" t="s">
        <v>795</v>
      </c>
      <c r="F4945" s="24"/>
      <c r="G4945" s="24"/>
    </row>
    <row r="4946" spans="1:7" x14ac:dyDescent="0.25">
      <c r="A4946" s="24" t="s">
        <v>586</v>
      </c>
      <c r="B4946" s="24" t="s">
        <v>20</v>
      </c>
      <c r="C4946" s="24" t="s">
        <v>5</v>
      </c>
      <c r="D4946" s="24">
        <v>0.8</v>
      </c>
      <c r="E4946" s="24" t="s">
        <v>796</v>
      </c>
      <c r="F4946" s="24" t="s">
        <v>1128</v>
      </c>
      <c r="G4946" s="24">
        <v>168782</v>
      </c>
    </row>
    <row r="4947" spans="1:7" x14ac:dyDescent="0.25">
      <c r="A4947" s="24" t="s">
        <v>586</v>
      </c>
      <c r="B4947" s="24" t="s">
        <v>24</v>
      </c>
      <c r="C4947" s="24" t="s">
        <v>5</v>
      </c>
      <c r="D4947" s="24">
        <v>0.3</v>
      </c>
      <c r="E4947" s="24" t="s">
        <v>801</v>
      </c>
      <c r="F4947" s="24" t="s">
        <v>1128</v>
      </c>
      <c r="G4947" s="24">
        <v>168782</v>
      </c>
    </row>
    <row r="4948" spans="1:7" x14ac:dyDescent="0.25">
      <c r="A4948" s="24" t="s">
        <v>586</v>
      </c>
      <c r="B4948" s="24" t="s">
        <v>26</v>
      </c>
      <c r="C4948" s="24" t="s">
        <v>5</v>
      </c>
      <c r="D4948" s="24">
        <v>0.79</v>
      </c>
      <c r="E4948" s="24" t="s">
        <v>799</v>
      </c>
      <c r="F4948" s="24" t="s">
        <v>1128</v>
      </c>
      <c r="G4948" s="24">
        <v>168782</v>
      </c>
    </row>
    <row r="4949" spans="1:7" x14ac:dyDescent="0.25">
      <c r="A4949" s="24" t="s">
        <v>586</v>
      </c>
      <c r="B4949" s="24" t="s">
        <v>27</v>
      </c>
      <c r="C4949" s="24" t="s">
        <v>5</v>
      </c>
      <c r="D4949" s="24">
        <v>0.36</v>
      </c>
      <c r="E4949" s="24" t="s">
        <v>799</v>
      </c>
      <c r="F4949" s="24" t="s">
        <v>1128</v>
      </c>
      <c r="G4949" s="24">
        <v>168782</v>
      </c>
    </row>
    <row r="4950" spans="1:7" x14ac:dyDescent="0.25">
      <c r="A4950" s="24" t="s">
        <v>586</v>
      </c>
      <c r="B4950" s="24" t="s">
        <v>28</v>
      </c>
      <c r="C4950" s="24" t="s">
        <v>5</v>
      </c>
      <c r="D4950" s="24">
        <v>0.08</v>
      </c>
      <c r="E4950" s="24" t="s">
        <v>799</v>
      </c>
      <c r="F4950" s="24" t="s">
        <v>1128</v>
      </c>
      <c r="G4950" s="24">
        <v>168782</v>
      </c>
    </row>
    <row r="4951" spans="1:7" x14ac:dyDescent="0.25">
      <c r="A4951" s="24" t="s">
        <v>586</v>
      </c>
      <c r="B4951" s="24" t="s">
        <v>29</v>
      </c>
      <c r="C4951" s="24" t="s">
        <v>5</v>
      </c>
      <c r="D4951" s="24">
        <v>0.04</v>
      </c>
      <c r="E4951" s="24" t="s">
        <v>799</v>
      </c>
      <c r="F4951" s="24" t="s">
        <v>1128</v>
      </c>
      <c r="G4951" s="24">
        <v>168782</v>
      </c>
    </row>
    <row r="4952" spans="1:7" x14ac:dyDescent="0.25">
      <c r="A4952" s="24" t="s">
        <v>586</v>
      </c>
      <c r="B4952" s="24" t="s">
        <v>30</v>
      </c>
      <c r="C4952" s="24" t="s">
        <v>31</v>
      </c>
      <c r="D4952" s="24">
        <v>12</v>
      </c>
      <c r="E4952" s="24" t="s">
        <v>801</v>
      </c>
      <c r="F4952" s="24" t="s">
        <v>1128</v>
      </c>
      <c r="G4952" s="24">
        <v>168782</v>
      </c>
    </row>
    <row r="4953" spans="1:7" x14ac:dyDescent="0.25">
      <c r="A4953" s="24" t="s">
        <v>586</v>
      </c>
      <c r="B4953" s="24" t="s">
        <v>32</v>
      </c>
      <c r="C4953" s="24" t="s">
        <v>33</v>
      </c>
      <c r="D4953" s="24">
        <v>19</v>
      </c>
      <c r="E4953" s="24" t="s">
        <v>801</v>
      </c>
      <c r="F4953" s="24" t="s">
        <v>1128</v>
      </c>
      <c r="G4953" s="24">
        <v>168782</v>
      </c>
    </row>
    <row r="4954" spans="1:7" x14ac:dyDescent="0.25">
      <c r="A4954" s="24" t="s">
        <v>586</v>
      </c>
      <c r="B4954" s="24" t="s">
        <v>34</v>
      </c>
      <c r="C4954" s="24" t="s">
        <v>31</v>
      </c>
      <c r="D4954" s="24">
        <v>1.3</v>
      </c>
      <c r="E4954" s="24" t="s">
        <v>801</v>
      </c>
      <c r="F4954" s="24" t="s">
        <v>1128</v>
      </c>
      <c r="G4954" s="24">
        <v>168782</v>
      </c>
    </row>
    <row r="4955" spans="1:7" x14ac:dyDescent="0.25">
      <c r="A4955" s="24" t="s">
        <v>586</v>
      </c>
      <c r="B4955" s="24" t="s">
        <v>35</v>
      </c>
      <c r="C4955" s="24" t="s">
        <v>36</v>
      </c>
      <c r="D4955" s="24">
        <v>0</v>
      </c>
      <c r="E4955" s="24" t="s">
        <v>801</v>
      </c>
      <c r="F4955" s="24" t="s">
        <v>1128</v>
      </c>
      <c r="G4955" s="24">
        <v>168782</v>
      </c>
    </row>
    <row r="4956" spans="1:7" x14ac:dyDescent="0.25">
      <c r="A4956" s="24" t="s">
        <v>586</v>
      </c>
      <c r="B4956" s="24" t="s">
        <v>37</v>
      </c>
      <c r="C4956" s="24" t="s">
        <v>38</v>
      </c>
      <c r="D4956" s="24">
        <v>0.1</v>
      </c>
      <c r="E4956" s="24" t="s">
        <v>801</v>
      </c>
      <c r="F4956" s="24" t="s">
        <v>1128</v>
      </c>
      <c r="G4956" s="24">
        <v>168782</v>
      </c>
    </row>
    <row r="4957" spans="1:7" x14ac:dyDescent="0.25">
      <c r="A4957" s="24" t="s">
        <v>586</v>
      </c>
      <c r="B4957" s="24" t="s">
        <v>39</v>
      </c>
      <c r="C4957" s="24" t="s">
        <v>36</v>
      </c>
      <c r="D4957" s="24">
        <v>0.2</v>
      </c>
      <c r="E4957" s="24" t="s">
        <v>801</v>
      </c>
      <c r="F4957" s="24" t="s">
        <v>1128</v>
      </c>
      <c r="G4957" s="24">
        <v>168782</v>
      </c>
    </row>
    <row r="4958" spans="1:7" x14ac:dyDescent="0.25">
      <c r="A4958" s="24" t="s">
        <v>586</v>
      </c>
      <c r="B4958" s="24" t="s">
        <v>40</v>
      </c>
      <c r="C4958" s="24" t="s">
        <v>31</v>
      </c>
      <c r="D4958" s="24">
        <v>0</v>
      </c>
      <c r="E4958" s="24" t="s">
        <v>801</v>
      </c>
      <c r="F4958" s="24" t="s">
        <v>1128</v>
      </c>
      <c r="G4958" s="24">
        <v>168782</v>
      </c>
    </row>
    <row r="4959" spans="1:7" x14ac:dyDescent="0.25">
      <c r="A4959" s="24" t="s">
        <v>586</v>
      </c>
      <c r="B4959" s="24" t="s">
        <v>41</v>
      </c>
      <c r="C4959" s="24" t="s">
        <v>31</v>
      </c>
      <c r="D4959" s="24">
        <v>0.2</v>
      </c>
      <c r="E4959" s="24" t="s">
        <v>801</v>
      </c>
      <c r="F4959" s="24" t="s">
        <v>1128</v>
      </c>
      <c r="G4959" s="24">
        <v>168782</v>
      </c>
    </row>
    <row r="4960" spans="1:7" x14ac:dyDescent="0.25">
      <c r="A4960" s="24" t="s">
        <v>586</v>
      </c>
      <c r="B4960" s="24" t="s">
        <v>42</v>
      </c>
      <c r="C4960" s="24" t="s">
        <v>43</v>
      </c>
      <c r="D4960" s="24">
        <v>0.2</v>
      </c>
      <c r="E4960" s="24" t="s">
        <v>801</v>
      </c>
      <c r="F4960" s="24" t="s">
        <v>1128</v>
      </c>
      <c r="G4960" s="24">
        <v>168782</v>
      </c>
    </row>
    <row r="4961" spans="1:7" x14ac:dyDescent="0.25">
      <c r="A4961" s="24" t="s">
        <v>586</v>
      </c>
      <c r="B4961" s="24" t="s">
        <v>44</v>
      </c>
      <c r="C4961" s="24" t="s">
        <v>31</v>
      </c>
      <c r="D4961" s="24">
        <v>0.1</v>
      </c>
      <c r="E4961" s="24" t="s">
        <v>801</v>
      </c>
      <c r="F4961" s="24" t="s">
        <v>1128</v>
      </c>
      <c r="G4961" s="24">
        <v>168782</v>
      </c>
    </row>
    <row r="4962" spans="1:7" x14ac:dyDescent="0.25">
      <c r="A4962" s="24" t="s">
        <v>586</v>
      </c>
      <c r="B4962" s="24" t="s">
        <v>45</v>
      </c>
      <c r="C4962" s="24" t="s">
        <v>31</v>
      </c>
      <c r="D4962" s="24">
        <v>0.5</v>
      </c>
      <c r="E4962" s="24" t="s">
        <v>801</v>
      </c>
      <c r="F4962" s="24" t="s">
        <v>1128</v>
      </c>
      <c r="G4962" s="24">
        <v>168782</v>
      </c>
    </row>
    <row r="4963" spans="1:7" x14ac:dyDescent="0.25">
      <c r="A4963" s="24" t="s">
        <v>586</v>
      </c>
      <c r="B4963" s="24" t="s">
        <v>46</v>
      </c>
      <c r="C4963" s="24" t="s">
        <v>36</v>
      </c>
      <c r="D4963" s="24">
        <v>0.1</v>
      </c>
      <c r="E4963" s="24" t="s">
        <v>801</v>
      </c>
      <c r="F4963" s="24" t="s">
        <v>1128</v>
      </c>
      <c r="G4963" s="24">
        <v>168782</v>
      </c>
    </row>
    <row r="4964" spans="1:7" x14ac:dyDescent="0.25">
      <c r="A4964" s="24" t="s">
        <v>586</v>
      </c>
      <c r="B4964" s="24" t="s">
        <v>47</v>
      </c>
      <c r="C4964" s="24" t="s">
        <v>48</v>
      </c>
      <c r="D4964" s="24">
        <v>4</v>
      </c>
      <c r="E4964" s="24" t="s">
        <v>801</v>
      </c>
      <c r="F4964" s="24" t="s">
        <v>1128</v>
      </c>
      <c r="G4964" s="24">
        <v>168782</v>
      </c>
    </row>
    <row r="4965" spans="1:7" x14ac:dyDescent="0.25">
      <c r="A4965" s="24" t="s">
        <v>586</v>
      </c>
      <c r="B4965" s="24" t="s">
        <v>50</v>
      </c>
      <c r="C4965" s="24" t="s">
        <v>31</v>
      </c>
      <c r="D4965" s="24">
        <v>125</v>
      </c>
      <c r="E4965" s="24" t="s">
        <v>801</v>
      </c>
      <c r="F4965" s="24" t="s">
        <v>1128</v>
      </c>
      <c r="G4965" s="24">
        <v>168782</v>
      </c>
    </row>
    <row r="4966" spans="1:7" x14ac:dyDescent="0.25">
      <c r="A4966" s="24" t="s">
        <v>586</v>
      </c>
      <c r="B4966" s="24" t="s">
        <v>51</v>
      </c>
      <c r="C4966" s="24" t="s">
        <v>31</v>
      </c>
      <c r="D4966" s="24">
        <v>95</v>
      </c>
      <c r="E4966" s="24" t="s">
        <v>801</v>
      </c>
      <c r="F4966" s="24" t="s">
        <v>1128</v>
      </c>
      <c r="G4966" s="24">
        <v>168782</v>
      </c>
    </row>
    <row r="4967" spans="1:7" x14ac:dyDescent="0.25">
      <c r="A4967" s="24" t="s">
        <v>586</v>
      </c>
      <c r="B4967" s="24" t="s">
        <v>52</v>
      </c>
      <c r="C4967" s="24" t="s">
        <v>31</v>
      </c>
      <c r="D4967" s="24">
        <v>82</v>
      </c>
      <c r="E4967" s="24" t="s">
        <v>801</v>
      </c>
      <c r="F4967" s="24" t="s">
        <v>1128</v>
      </c>
      <c r="G4967" s="24">
        <v>168782</v>
      </c>
    </row>
    <row r="4968" spans="1:7" x14ac:dyDescent="0.25">
      <c r="A4968" s="24" t="s">
        <v>586</v>
      </c>
      <c r="B4968" s="24" t="s">
        <v>53</v>
      </c>
      <c r="C4968" s="24" t="s">
        <v>31</v>
      </c>
      <c r="D4968" s="24">
        <v>8</v>
      </c>
      <c r="E4968" s="24" t="s">
        <v>801</v>
      </c>
      <c r="F4968" s="24" t="s">
        <v>1128</v>
      </c>
      <c r="G4968" s="24">
        <v>168782</v>
      </c>
    </row>
    <row r="4969" spans="1:7" x14ac:dyDescent="0.25">
      <c r="A4969" s="24" t="s">
        <v>586</v>
      </c>
      <c r="B4969" s="24" t="s">
        <v>54</v>
      </c>
      <c r="C4969" s="24" t="s">
        <v>31</v>
      </c>
      <c r="D4969" s="24">
        <v>0.1</v>
      </c>
      <c r="E4969" s="24" t="s">
        <v>801</v>
      </c>
      <c r="F4969" s="24" t="s">
        <v>1128</v>
      </c>
      <c r="G4969" s="24">
        <v>168782</v>
      </c>
    </row>
    <row r="4970" spans="1:7" x14ac:dyDescent="0.25">
      <c r="A4970" s="24" t="s">
        <v>586</v>
      </c>
      <c r="B4970" s="24" t="s">
        <v>55</v>
      </c>
      <c r="C4970" s="24" t="s">
        <v>31</v>
      </c>
      <c r="D4970" s="24">
        <v>0.4</v>
      </c>
      <c r="E4970" s="24" t="s">
        <v>801</v>
      </c>
      <c r="F4970" s="24" t="s">
        <v>1128</v>
      </c>
      <c r="G4970" s="24">
        <v>168782</v>
      </c>
    </row>
    <row r="4971" spans="1:7" x14ac:dyDescent="0.25">
      <c r="A4971" s="24" t="s">
        <v>586</v>
      </c>
      <c r="B4971" s="24" t="s">
        <v>56</v>
      </c>
      <c r="C4971" s="24" t="s">
        <v>31</v>
      </c>
      <c r="D4971" s="24">
        <v>0</v>
      </c>
      <c r="E4971" s="24" t="s">
        <v>801</v>
      </c>
      <c r="F4971" s="24" t="s">
        <v>1128</v>
      </c>
      <c r="G4971" s="24">
        <v>168782</v>
      </c>
    </row>
    <row r="4972" spans="1:7" x14ac:dyDescent="0.25">
      <c r="A4972" s="24" t="s">
        <v>586</v>
      </c>
      <c r="B4972" s="24" t="s">
        <v>57</v>
      </c>
      <c r="C4972" s="24" t="s">
        <v>36</v>
      </c>
      <c r="D4972" s="24">
        <v>3.2</v>
      </c>
      <c r="E4972" s="24" t="s">
        <v>801</v>
      </c>
      <c r="F4972" s="24" t="s">
        <v>1128</v>
      </c>
      <c r="G4972" s="24">
        <v>168782</v>
      </c>
    </row>
    <row r="4973" spans="1:7" x14ac:dyDescent="0.25">
      <c r="A4973" s="24" t="s">
        <v>586</v>
      </c>
      <c r="B4973" s="24" t="s">
        <v>58</v>
      </c>
      <c r="C4973" s="24" t="s">
        <v>5</v>
      </c>
      <c r="D4973" s="24">
        <v>0</v>
      </c>
      <c r="E4973" s="24" t="s">
        <v>795</v>
      </c>
      <c r="F4973" s="24"/>
      <c r="G4973" s="24"/>
    </row>
    <row r="4974" spans="1:7" x14ac:dyDescent="0.25">
      <c r="A4974" s="24" t="s">
        <v>586</v>
      </c>
      <c r="B4974" s="24" t="s">
        <v>18</v>
      </c>
      <c r="C4974" s="24" t="s">
        <v>5</v>
      </c>
      <c r="D4974" s="24">
        <v>79.5</v>
      </c>
      <c r="E4974" s="24" t="s">
        <v>803</v>
      </c>
      <c r="F4974" s="24"/>
      <c r="G4974" s="24"/>
    </row>
    <row r="4975" spans="1:7" x14ac:dyDescent="0.25">
      <c r="A4975" s="24" t="s">
        <v>587</v>
      </c>
      <c r="B4975" s="24" t="s">
        <v>20</v>
      </c>
      <c r="C4975" s="24" t="s">
        <v>5</v>
      </c>
      <c r="D4975" s="24">
        <v>0.5</v>
      </c>
      <c r="E4975" s="24" t="s">
        <v>796</v>
      </c>
      <c r="F4975" s="24" t="s">
        <v>1125</v>
      </c>
      <c r="G4975" s="24">
        <v>169608</v>
      </c>
    </row>
    <row r="4976" spans="1:7" x14ac:dyDescent="0.25">
      <c r="A4976" s="24" t="s">
        <v>587</v>
      </c>
      <c r="B4976" s="24" t="s">
        <v>24</v>
      </c>
      <c r="C4976" s="24" t="s">
        <v>5</v>
      </c>
      <c r="D4976" s="24">
        <v>0</v>
      </c>
      <c r="E4976" s="24" t="s">
        <v>801</v>
      </c>
      <c r="F4976" s="24" t="s">
        <v>1125</v>
      </c>
      <c r="G4976" s="24">
        <v>169608</v>
      </c>
    </row>
    <row r="4977" spans="1:7" x14ac:dyDescent="0.25">
      <c r="A4977" s="24" t="s">
        <v>587</v>
      </c>
      <c r="B4977" s="24" t="s">
        <v>32</v>
      </c>
      <c r="C4977" s="24" t="s">
        <v>33</v>
      </c>
      <c r="D4977" s="24">
        <v>2</v>
      </c>
      <c r="E4977" s="24" t="s">
        <v>801</v>
      </c>
      <c r="F4977" s="24" t="s">
        <v>1125</v>
      </c>
      <c r="G4977" s="24">
        <v>169608</v>
      </c>
    </row>
    <row r="4978" spans="1:7" x14ac:dyDescent="0.25">
      <c r="A4978" s="24" t="s">
        <v>587</v>
      </c>
      <c r="B4978" s="24" t="s">
        <v>34</v>
      </c>
      <c r="C4978" s="24" t="s">
        <v>31</v>
      </c>
      <c r="D4978" s="24">
        <v>0.2</v>
      </c>
      <c r="E4978" s="24" t="s">
        <v>801</v>
      </c>
      <c r="F4978" s="24" t="s">
        <v>1125</v>
      </c>
      <c r="G4978" s="24">
        <v>169608</v>
      </c>
    </row>
    <row r="4979" spans="1:7" x14ac:dyDescent="0.25">
      <c r="A4979" s="24" t="s">
        <v>587</v>
      </c>
      <c r="B4979" s="24" t="s">
        <v>35</v>
      </c>
      <c r="C4979" s="24" t="s">
        <v>36</v>
      </c>
      <c r="D4979" s="24">
        <v>0</v>
      </c>
      <c r="E4979" s="24" t="s">
        <v>801</v>
      </c>
      <c r="F4979" s="24" t="s">
        <v>1125</v>
      </c>
      <c r="G4979" s="24">
        <v>169608</v>
      </c>
    </row>
    <row r="4980" spans="1:7" x14ac:dyDescent="0.25">
      <c r="A4980" s="24" t="s">
        <v>587</v>
      </c>
      <c r="B4980" s="24" t="s">
        <v>37</v>
      </c>
      <c r="C4980" s="24" t="s">
        <v>38</v>
      </c>
      <c r="D4980" s="24">
        <v>0.3</v>
      </c>
      <c r="E4980" s="24" t="s">
        <v>801</v>
      </c>
      <c r="F4980" s="24" t="s">
        <v>1125</v>
      </c>
      <c r="G4980" s="24">
        <v>169608</v>
      </c>
    </row>
    <row r="4981" spans="1:7" x14ac:dyDescent="0.25">
      <c r="A4981" s="24" t="s">
        <v>587</v>
      </c>
      <c r="B4981" s="24" t="s">
        <v>39</v>
      </c>
      <c r="C4981" s="24" t="s">
        <v>36</v>
      </c>
      <c r="D4981" s="24">
        <v>0.6</v>
      </c>
      <c r="E4981" s="24" t="s">
        <v>801</v>
      </c>
      <c r="F4981" s="24" t="s">
        <v>1125</v>
      </c>
      <c r="G4981" s="24">
        <v>169608</v>
      </c>
    </row>
    <row r="4982" spans="1:7" x14ac:dyDescent="0.25">
      <c r="A4982" s="24" t="s">
        <v>587</v>
      </c>
      <c r="B4982" s="24" t="s">
        <v>40</v>
      </c>
      <c r="C4982" s="24" t="s">
        <v>31</v>
      </c>
      <c r="D4982" s="24">
        <v>0</v>
      </c>
      <c r="E4982" s="24" t="s">
        <v>801</v>
      </c>
      <c r="F4982" s="24" t="s">
        <v>1125</v>
      </c>
      <c r="G4982" s="24">
        <v>169608</v>
      </c>
    </row>
    <row r="4983" spans="1:7" x14ac:dyDescent="0.25">
      <c r="A4983" s="24" t="s">
        <v>587</v>
      </c>
      <c r="B4983" s="24" t="s">
        <v>41</v>
      </c>
      <c r="C4983" s="24" t="s">
        <v>31</v>
      </c>
      <c r="D4983" s="24">
        <v>0.1</v>
      </c>
      <c r="E4983" s="24" t="s">
        <v>801</v>
      </c>
      <c r="F4983" s="24" t="s">
        <v>1125</v>
      </c>
      <c r="G4983" s="24">
        <v>169608</v>
      </c>
    </row>
    <row r="4984" spans="1:7" x14ac:dyDescent="0.25">
      <c r="A4984" s="24" t="s">
        <v>587</v>
      </c>
      <c r="B4984" s="24" t="s">
        <v>42</v>
      </c>
      <c r="C4984" s="24" t="s">
        <v>43</v>
      </c>
      <c r="D4984" s="24">
        <v>0.1</v>
      </c>
      <c r="E4984" s="24" t="s">
        <v>801</v>
      </c>
      <c r="F4984" s="24" t="s">
        <v>1125</v>
      </c>
      <c r="G4984" s="24">
        <v>169608</v>
      </c>
    </row>
    <row r="4985" spans="1:7" x14ac:dyDescent="0.25">
      <c r="A4985" s="24" t="s">
        <v>587</v>
      </c>
      <c r="B4985" s="24" t="s">
        <v>44</v>
      </c>
      <c r="C4985" s="24" t="s">
        <v>31</v>
      </c>
      <c r="D4985" s="24">
        <v>0</v>
      </c>
      <c r="E4985" s="24" t="s">
        <v>801</v>
      </c>
      <c r="F4985" s="24" t="s">
        <v>1125</v>
      </c>
      <c r="G4985" s="24">
        <v>169608</v>
      </c>
    </row>
    <row r="4986" spans="1:7" x14ac:dyDescent="0.25">
      <c r="A4986" s="24" t="s">
        <v>587</v>
      </c>
      <c r="B4986" s="24" t="s">
        <v>45</v>
      </c>
      <c r="C4986" s="24" t="s">
        <v>31</v>
      </c>
      <c r="D4986" s="24">
        <v>0.2</v>
      </c>
      <c r="E4986" s="24" t="s">
        <v>801</v>
      </c>
      <c r="F4986" s="24" t="s">
        <v>1125</v>
      </c>
      <c r="G4986" s="24">
        <v>169608</v>
      </c>
    </row>
    <row r="4987" spans="1:7" x14ac:dyDescent="0.25">
      <c r="A4987" s="24" t="s">
        <v>587</v>
      </c>
      <c r="B4987" s="24" t="s">
        <v>46</v>
      </c>
      <c r="C4987" s="24" t="s">
        <v>36</v>
      </c>
      <c r="D4987" s="24">
        <v>0.1</v>
      </c>
      <c r="E4987" s="24" t="s">
        <v>801</v>
      </c>
      <c r="F4987" s="24" t="s">
        <v>1125</v>
      </c>
      <c r="G4987" s="24">
        <v>169608</v>
      </c>
    </row>
    <row r="4988" spans="1:7" x14ac:dyDescent="0.25">
      <c r="A4988" s="24" t="s">
        <v>587</v>
      </c>
      <c r="B4988" s="24" t="s">
        <v>47</v>
      </c>
      <c r="C4988" s="24" t="s">
        <v>48</v>
      </c>
      <c r="D4988" s="24">
        <v>2</v>
      </c>
      <c r="E4988" s="24" t="s">
        <v>801</v>
      </c>
      <c r="F4988" s="24" t="s">
        <v>1125</v>
      </c>
      <c r="G4988" s="24">
        <v>169608</v>
      </c>
    </row>
    <row r="4989" spans="1:7" x14ac:dyDescent="0.25">
      <c r="A4989" s="24" t="s">
        <v>587</v>
      </c>
      <c r="B4989" s="24" t="s">
        <v>50</v>
      </c>
      <c r="C4989" s="24" t="s">
        <v>31</v>
      </c>
      <c r="D4989" s="24">
        <v>65</v>
      </c>
      <c r="E4989" s="24" t="s">
        <v>801</v>
      </c>
      <c r="F4989" s="24" t="s">
        <v>1125</v>
      </c>
      <c r="G4989" s="24">
        <v>169608</v>
      </c>
    </row>
    <row r="4990" spans="1:7" x14ac:dyDescent="0.25">
      <c r="A4990" s="24" t="s">
        <v>587</v>
      </c>
      <c r="B4990" s="24" t="s">
        <v>51</v>
      </c>
      <c r="C4990" s="24" t="s">
        <v>31</v>
      </c>
      <c r="D4990" s="24">
        <v>49</v>
      </c>
      <c r="E4990" s="24" t="s">
        <v>801</v>
      </c>
      <c r="F4990" s="24" t="s">
        <v>1125</v>
      </c>
      <c r="G4990" s="24">
        <v>169608</v>
      </c>
    </row>
    <row r="4991" spans="1:7" x14ac:dyDescent="0.25">
      <c r="A4991" s="24" t="s">
        <v>587</v>
      </c>
      <c r="B4991" s="24" t="s">
        <v>52</v>
      </c>
      <c r="C4991" s="24" t="s">
        <v>31</v>
      </c>
      <c r="D4991" s="24">
        <v>41</v>
      </c>
      <c r="E4991" s="24" t="s">
        <v>801</v>
      </c>
      <c r="F4991" s="24" t="s">
        <v>1125</v>
      </c>
      <c r="G4991" s="24">
        <v>169608</v>
      </c>
    </row>
    <row r="4992" spans="1:7" x14ac:dyDescent="0.25">
      <c r="A4992" s="24" t="s">
        <v>587</v>
      </c>
      <c r="B4992" s="24" t="s">
        <v>53</v>
      </c>
      <c r="C4992" s="24" t="s">
        <v>31</v>
      </c>
      <c r="D4992" s="24">
        <v>4</v>
      </c>
      <c r="E4992" s="24" t="s">
        <v>801</v>
      </c>
      <c r="F4992" s="24" t="s">
        <v>1125</v>
      </c>
      <c r="G4992" s="24">
        <v>169608</v>
      </c>
    </row>
    <row r="4993" spans="1:7" x14ac:dyDescent="0.25">
      <c r="A4993" s="24" t="s">
        <v>587</v>
      </c>
      <c r="B4993" s="24" t="s">
        <v>54</v>
      </c>
      <c r="C4993" s="24" t="s">
        <v>31</v>
      </c>
      <c r="D4993" s="24">
        <v>0.1</v>
      </c>
      <c r="E4993" s="24" t="s">
        <v>801</v>
      </c>
      <c r="F4993" s="24" t="s">
        <v>1125</v>
      </c>
      <c r="G4993" s="24">
        <v>169608</v>
      </c>
    </row>
    <row r="4994" spans="1:7" x14ac:dyDescent="0.25">
      <c r="A4994" s="24" t="s">
        <v>587</v>
      </c>
      <c r="B4994" s="24" t="s">
        <v>55</v>
      </c>
      <c r="C4994" s="24" t="s">
        <v>31</v>
      </c>
      <c r="D4994" s="24">
        <v>0.2</v>
      </c>
      <c r="E4994" s="24" t="s">
        <v>801</v>
      </c>
      <c r="F4994" s="24" t="s">
        <v>1125</v>
      </c>
      <c r="G4994" s="24">
        <v>169608</v>
      </c>
    </row>
    <row r="4995" spans="1:7" x14ac:dyDescent="0.25">
      <c r="A4995" s="24" t="s">
        <v>587</v>
      </c>
      <c r="B4995" s="24" t="s">
        <v>56</v>
      </c>
      <c r="C4995" s="24" t="s">
        <v>31</v>
      </c>
      <c r="D4995" s="24">
        <v>0</v>
      </c>
      <c r="E4995" s="24" t="s">
        <v>801</v>
      </c>
      <c r="F4995" s="24" t="s">
        <v>1125</v>
      </c>
      <c r="G4995" s="24">
        <v>169608</v>
      </c>
    </row>
    <row r="4996" spans="1:7" x14ac:dyDescent="0.25">
      <c r="A4996" s="24" t="s">
        <v>587</v>
      </c>
      <c r="B4996" s="24" t="s">
        <v>57</v>
      </c>
      <c r="C4996" s="24" t="s">
        <v>36</v>
      </c>
      <c r="D4996" s="24">
        <v>0</v>
      </c>
      <c r="E4996" s="24" t="s">
        <v>801</v>
      </c>
      <c r="F4996" s="24" t="s">
        <v>1125</v>
      </c>
      <c r="G4996" s="24">
        <v>169608</v>
      </c>
    </row>
    <row r="4997" spans="1:7" x14ac:dyDescent="0.25">
      <c r="A4997" s="24" t="s">
        <v>587</v>
      </c>
      <c r="B4997" s="24" t="s">
        <v>58</v>
      </c>
      <c r="C4997" s="24" t="s">
        <v>5</v>
      </c>
      <c r="D4997" s="24">
        <v>0</v>
      </c>
      <c r="E4997" s="24" t="s">
        <v>795</v>
      </c>
      <c r="F4997" s="24"/>
      <c r="G4997" s="24"/>
    </row>
    <row r="4998" spans="1:7" x14ac:dyDescent="0.25">
      <c r="A4998" s="24" t="s">
        <v>587</v>
      </c>
      <c r="B4998" s="24" t="s">
        <v>18</v>
      </c>
      <c r="C4998" s="24" t="s">
        <v>5</v>
      </c>
      <c r="D4998" s="24">
        <v>72</v>
      </c>
      <c r="E4998" s="24" t="s">
        <v>803</v>
      </c>
      <c r="F4998" s="24"/>
      <c r="G4998" s="24"/>
    </row>
    <row r="4999" spans="1:7" x14ac:dyDescent="0.25">
      <c r="A4999" s="24" t="s">
        <v>588</v>
      </c>
      <c r="B4999" s="24" t="s">
        <v>23</v>
      </c>
      <c r="C4999" s="24" t="s">
        <v>5</v>
      </c>
      <c r="D4999" s="24">
        <v>8.4</v>
      </c>
      <c r="E4999" s="24" t="s">
        <v>796</v>
      </c>
      <c r="F4999" s="24" t="s">
        <v>1125</v>
      </c>
      <c r="G4999" s="24">
        <v>169608</v>
      </c>
    </row>
    <row r="5000" spans="1:7" x14ac:dyDescent="0.25">
      <c r="A5000" s="24" t="s">
        <v>588</v>
      </c>
      <c r="B5000" s="24" t="s">
        <v>26</v>
      </c>
      <c r="C5000" s="24" t="s">
        <v>5</v>
      </c>
      <c r="D5000" s="24">
        <v>1.02</v>
      </c>
      <c r="E5000" s="24" t="s">
        <v>799</v>
      </c>
      <c r="F5000" s="24" t="s">
        <v>1125</v>
      </c>
      <c r="G5000" s="24">
        <v>169608</v>
      </c>
    </row>
    <row r="5001" spans="1:7" x14ac:dyDescent="0.25">
      <c r="A5001" s="24" t="s">
        <v>588</v>
      </c>
      <c r="B5001" s="24" t="s">
        <v>27</v>
      </c>
      <c r="C5001" s="24" t="s">
        <v>5</v>
      </c>
      <c r="D5001" s="24">
        <v>2.2999999999999998</v>
      </c>
      <c r="E5001" s="24" t="s">
        <v>799</v>
      </c>
      <c r="F5001" s="24" t="s">
        <v>1125</v>
      </c>
      <c r="G5001" s="24">
        <v>169608</v>
      </c>
    </row>
    <row r="5002" spans="1:7" x14ac:dyDescent="0.25">
      <c r="A5002" s="24" t="s">
        <v>588</v>
      </c>
      <c r="B5002" s="24" t="s">
        <v>28</v>
      </c>
      <c r="C5002" s="24" t="s">
        <v>5</v>
      </c>
      <c r="D5002" s="24">
        <v>0.09</v>
      </c>
      <c r="E5002" s="24" t="s">
        <v>799</v>
      </c>
      <c r="F5002" s="24" t="s">
        <v>1125</v>
      </c>
      <c r="G5002" s="24">
        <v>169608</v>
      </c>
    </row>
    <row r="5003" spans="1:7" x14ac:dyDescent="0.25">
      <c r="A5003" s="24" t="s">
        <v>588</v>
      </c>
      <c r="B5003" s="24" t="s">
        <v>30</v>
      </c>
      <c r="C5003" s="24" t="s">
        <v>31</v>
      </c>
      <c r="D5003" s="24">
        <v>1</v>
      </c>
      <c r="E5003" s="24" t="s">
        <v>801</v>
      </c>
      <c r="F5003" s="24" t="s">
        <v>1125</v>
      </c>
      <c r="G5003" s="24">
        <v>169608</v>
      </c>
    </row>
    <row r="5004" spans="1:7" x14ac:dyDescent="0.25">
      <c r="A5004" s="24" t="s">
        <v>588</v>
      </c>
      <c r="B5004" s="24" t="s">
        <v>32</v>
      </c>
      <c r="C5004" s="24" t="s">
        <v>33</v>
      </c>
      <c r="D5004" s="24">
        <v>1.1000000000000001</v>
      </c>
      <c r="E5004" s="24" t="s">
        <v>796</v>
      </c>
      <c r="F5004" s="24" t="s">
        <v>1125</v>
      </c>
      <c r="G5004" s="24">
        <v>169608</v>
      </c>
    </row>
    <row r="5005" spans="1:7" x14ac:dyDescent="0.25">
      <c r="A5005" s="24" t="s">
        <v>588</v>
      </c>
      <c r="B5005" s="24" t="s">
        <v>34</v>
      </c>
      <c r="C5005" s="24" t="s">
        <v>31</v>
      </c>
      <c r="D5005" s="24">
        <v>0.1</v>
      </c>
      <c r="E5005" s="24" t="s">
        <v>796</v>
      </c>
      <c r="F5005" s="24" t="s">
        <v>1125</v>
      </c>
      <c r="G5005" s="24">
        <v>169608</v>
      </c>
    </row>
    <row r="5006" spans="1:7" x14ac:dyDescent="0.25">
      <c r="A5006" s="24" t="s">
        <v>588</v>
      </c>
      <c r="B5006" s="24" t="s">
        <v>35</v>
      </c>
      <c r="C5006" s="24" t="s">
        <v>36</v>
      </c>
      <c r="D5006" s="24">
        <v>0</v>
      </c>
      <c r="E5006" s="24" t="s">
        <v>796</v>
      </c>
      <c r="F5006" s="24" t="s">
        <v>1125</v>
      </c>
      <c r="G5006" s="24">
        <v>169608</v>
      </c>
    </row>
    <row r="5007" spans="1:7" x14ac:dyDescent="0.25">
      <c r="A5007" s="24" t="s">
        <v>588</v>
      </c>
      <c r="B5007" s="24" t="s">
        <v>37</v>
      </c>
      <c r="C5007" s="24" t="s">
        <v>38</v>
      </c>
      <c r="D5007" s="24">
        <v>0.2</v>
      </c>
      <c r="E5007" s="24" t="s">
        <v>796</v>
      </c>
      <c r="F5007" s="24" t="s">
        <v>1125</v>
      </c>
      <c r="G5007" s="24">
        <v>169608</v>
      </c>
    </row>
    <row r="5008" spans="1:7" x14ac:dyDescent="0.25">
      <c r="A5008" s="24" t="s">
        <v>588</v>
      </c>
      <c r="B5008" s="24" t="s">
        <v>39</v>
      </c>
      <c r="C5008" s="24" t="s">
        <v>36</v>
      </c>
      <c r="D5008" s="24">
        <v>0.3</v>
      </c>
      <c r="E5008" s="24" t="s">
        <v>796</v>
      </c>
      <c r="F5008" s="24" t="s">
        <v>1125</v>
      </c>
      <c r="G5008" s="24">
        <v>169608</v>
      </c>
    </row>
    <row r="5009" spans="1:7" x14ac:dyDescent="0.25">
      <c r="A5009" s="24" t="s">
        <v>588</v>
      </c>
      <c r="B5009" s="24" t="s">
        <v>40</v>
      </c>
      <c r="C5009" s="24" t="s">
        <v>31</v>
      </c>
      <c r="D5009" s="24">
        <v>0</v>
      </c>
      <c r="E5009" s="24" t="s">
        <v>796</v>
      </c>
      <c r="F5009" s="24" t="s">
        <v>1125</v>
      </c>
      <c r="G5009" s="24">
        <v>169608</v>
      </c>
    </row>
    <row r="5010" spans="1:7" x14ac:dyDescent="0.25">
      <c r="A5010" s="24" t="s">
        <v>588</v>
      </c>
      <c r="B5010" s="24" t="s">
        <v>41</v>
      </c>
      <c r="C5010" s="24" t="s">
        <v>31</v>
      </c>
      <c r="D5010" s="24">
        <v>0</v>
      </c>
      <c r="E5010" s="24" t="s">
        <v>796</v>
      </c>
      <c r="F5010" s="24" t="s">
        <v>1125</v>
      </c>
      <c r="G5010" s="24">
        <v>169608</v>
      </c>
    </row>
    <row r="5011" spans="1:7" x14ac:dyDescent="0.25">
      <c r="A5011" s="24" t="s">
        <v>588</v>
      </c>
      <c r="B5011" s="24" t="s">
        <v>42</v>
      </c>
      <c r="C5011" s="24" t="s">
        <v>43</v>
      </c>
      <c r="D5011" s="24">
        <v>0</v>
      </c>
      <c r="E5011" s="24" t="s">
        <v>796</v>
      </c>
      <c r="F5011" s="24" t="s">
        <v>1125</v>
      </c>
      <c r="G5011" s="24">
        <v>169608</v>
      </c>
    </row>
    <row r="5012" spans="1:7" x14ac:dyDescent="0.25">
      <c r="A5012" s="24" t="s">
        <v>588</v>
      </c>
      <c r="B5012" s="24" t="s">
        <v>44</v>
      </c>
      <c r="C5012" s="24" t="s">
        <v>31</v>
      </c>
      <c r="D5012" s="24">
        <v>0</v>
      </c>
      <c r="E5012" s="24" t="s">
        <v>796</v>
      </c>
      <c r="F5012" s="24" t="s">
        <v>1125</v>
      </c>
      <c r="G5012" s="24">
        <v>169608</v>
      </c>
    </row>
    <row r="5013" spans="1:7" x14ac:dyDescent="0.25">
      <c r="A5013" s="24" t="s">
        <v>588</v>
      </c>
      <c r="B5013" s="24" t="s">
        <v>45</v>
      </c>
      <c r="C5013" s="24" t="s">
        <v>31</v>
      </c>
      <c r="D5013" s="24">
        <v>0.1</v>
      </c>
      <c r="E5013" s="24" t="s">
        <v>796</v>
      </c>
      <c r="F5013" s="24" t="s">
        <v>1125</v>
      </c>
      <c r="G5013" s="24">
        <v>169608</v>
      </c>
    </row>
    <row r="5014" spans="1:7" x14ac:dyDescent="0.25">
      <c r="A5014" s="24" t="s">
        <v>588</v>
      </c>
      <c r="B5014" s="24" t="s">
        <v>46</v>
      </c>
      <c r="C5014" s="24" t="s">
        <v>36</v>
      </c>
      <c r="D5014" s="24">
        <v>0.1</v>
      </c>
      <c r="E5014" s="24" t="s">
        <v>796</v>
      </c>
      <c r="F5014" s="24" t="s">
        <v>1125</v>
      </c>
      <c r="G5014" s="24">
        <v>169608</v>
      </c>
    </row>
    <row r="5015" spans="1:7" x14ac:dyDescent="0.25">
      <c r="A5015" s="24" t="s">
        <v>588</v>
      </c>
      <c r="B5015" s="24" t="s">
        <v>47</v>
      </c>
      <c r="C5015" s="24" t="s">
        <v>48</v>
      </c>
      <c r="D5015" s="24">
        <v>1.1000000000000001</v>
      </c>
      <c r="E5015" s="24" t="s">
        <v>796</v>
      </c>
      <c r="F5015" s="24" t="s">
        <v>1125</v>
      </c>
      <c r="G5015" s="24">
        <v>169608</v>
      </c>
    </row>
    <row r="5016" spans="1:7" x14ac:dyDescent="0.25">
      <c r="A5016" s="24" t="s">
        <v>588</v>
      </c>
      <c r="B5016" s="24" t="s">
        <v>50</v>
      </c>
      <c r="C5016" s="24" t="s">
        <v>31</v>
      </c>
      <c r="D5016" s="24">
        <v>37.200000000000003</v>
      </c>
      <c r="E5016" s="24" t="s">
        <v>796</v>
      </c>
      <c r="F5016" s="24" t="s">
        <v>1125</v>
      </c>
      <c r="G5016" s="24">
        <v>169608</v>
      </c>
    </row>
    <row r="5017" spans="1:7" x14ac:dyDescent="0.25">
      <c r="A5017" s="24" t="s">
        <v>588</v>
      </c>
      <c r="B5017" s="24" t="s">
        <v>51</v>
      </c>
      <c r="C5017" s="24" t="s">
        <v>31</v>
      </c>
      <c r="D5017" s="24">
        <v>28</v>
      </c>
      <c r="E5017" s="24" t="s">
        <v>796</v>
      </c>
      <c r="F5017" s="24" t="s">
        <v>1125</v>
      </c>
      <c r="G5017" s="24">
        <v>169608</v>
      </c>
    </row>
    <row r="5018" spans="1:7" x14ac:dyDescent="0.25">
      <c r="A5018" s="24" t="s">
        <v>588</v>
      </c>
      <c r="B5018" s="24" t="s">
        <v>52</v>
      </c>
      <c r="C5018" s="24" t="s">
        <v>31</v>
      </c>
      <c r="D5018" s="24">
        <v>23.4</v>
      </c>
      <c r="E5018" s="24" t="s">
        <v>796</v>
      </c>
      <c r="F5018" s="24" t="s">
        <v>1125</v>
      </c>
      <c r="G5018" s="24">
        <v>169608</v>
      </c>
    </row>
    <row r="5019" spans="1:7" x14ac:dyDescent="0.25">
      <c r="A5019" s="24" t="s">
        <v>588</v>
      </c>
      <c r="B5019" s="24" t="s">
        <v>53</v>
      </c>
      <c r="C5019" s="24" t="s">
        <v>31</v>
      </c>
      <c r="D5019" s="24">
        <v>2.2999999999999998</v>
      </c>
      <c r="E5019" s="24" t="s">
        <v>796</v>
      </c>
      <c r="F5019" s="24" t="s">
        <v>1125</v>
      </c>
      <c r="G5019" s="24">
        <v>169608</v>
      </c>
    </row>
    <row r="5020" spans="1:7" x14ac:dyDescent="0.25">
      <c r="A5020" s="24" t="s">
        <v>588</v>
      </c>
      <c r="B5020" s="24" t="s">
        <v>54</v>
      </c>
      <c r="C5020" s="24" t="s">
        <v>31</v>
      </c>
      <c r="D5020" s="24">
        <v>0.1</v>
      </c>
      <c r="E5020" s="24" t="s">
        <v>796</v>
      </c>
      <c r="F5020" s="24" t="s">
        <v>1125</v>
      </c>
      <c r="G5020" s="24">
        <v>169608</v>
      </c>
    </row>
    <row r="5021" spans="1:7" x14ac:dyDescent="0.25">
      <c r="A5021" s="24" t="s">
        <v>588</v>
      </c>
      <c r="B5021" s="24" t="s">
        <v>55</v>
      </c>
      <c r="C5021" s="24" t="s">
        <v>31</v>
      </c>
      <c r="D5021" s="24">
        <v>0.1</v>
      </c>
      <c r="E5021" s="24" t="s">
        <v>796</v>
      </c>
      <c r="F5021" s="24" t="s">
        <v>1125</v>
      </c>
      <c r="G5021" s="24">
        <v>169608</v>
      </c>
    </row>
    <row r="5022" spans="1:7" x14ac:dyDescent="0.25">
      <c r="A5022" s="24" t="s">
        <v>588</v>
      </c>
      <c r="B5022" s="24" t="s">
        <v>56</v>
      </c>
      <c r="C5022" s="24" t="s">
        <v>31</v>
      </c>
      <c r="D5022" s="24">
        <v>0</v>
      </c>
      <c r="E5022" s="24" t="s">
        <v>796</v>
      </c>
      <c r="F5022" s="24" t="s">
        <v>1125</v>
      </c>
      <c r="G5022" s="24">
        <v>169608</v>
      </c>
    </row>
    <row r="5023" spans="1:7" x14ac:dyDescent="0.25">
      <c r="A5023" s="24" t="s">
        <v>588</v>
      </c>
      <c r="B5023" s="24" t="s">
        <v>57</v>
      </c>
      <c r="C5023" s="24" t="s">
        <v>36</v>
      </c>
      <c r="D5023" s="24">
        <v>0</v>
      </c>
      <c r="E5023" s="24" t="s">
        <v>796</v>
      </c>
      <c r="F5023" s="24" t="s">
        <v>1125</v>
      </c>
      <c r="G5023" s="24">
        <v>169608</v>
      </c>
    </row>
    <row r="5024" spans="1:7" x14ac:dyDescent="0.25">
      <c r="A5024" s="24" t="s">
        <v>588</v>
      </c>
      <c r="B5024" s="24" t="s">
        <v>58</v>
      </c>
      <c r="C5024" s="24" t="s">
        <v>5</v>
      </c>
      <c r="D5024" s="24">
        <v>0</v>
      </c>
      <c r="E5024" s="24" t="s">
        <v>795</v>
      </c>
      <c r="F5024" s="24"/>
      <c r="G5024" s="24"/>
    </row>
    <row r="5025" spans="1:7" x14ac:dyDescent="0.25">
      <c r="A5025" s="24" t="s">
        <v>589</v>
      </c>
      <c r="B5025" s="24" t="s">
        <v>26</v>
      </c>
      <c r="C5025" s="24" t="s">
        <v>5</v>
      </c>
      <c r="D5025" s="24">
        <v>0</v>
      </c>
      <c r="E5025" s="24" t="s">
        <v>799</v>
      </c>
      <c r="F5025" s="24" t="s">
        <v>1129</v>
      </c>
      <c r="G5025" s="24">
        <v>169609</v>
      </c>
    </row>
    <row r="5026" spans="1:7" x14ac:dyDescent="0.25">
      <c r="A5026" s="24" t="s">
        <v>589</v>
      </c>
      <c r="B5026" s="24" t="s">
        <v>27</v>
      </c>
      <c r="C5026" s="24" t="s">
        <v>5</v>
      </c>
      <c r="D5026" s="24">
        <v>0</v>
      </c>
      <c r="E5026" s="24" t="s">
        <v>799</v>
      </c>
      <c r="F5026" s="24" t="s">
        <v>1129</v>
      </c>
      <c r="G5026" s="24">
        <v>169609</v>
      </c>
    </row>
    <row r="5027" spans="1:7" x14ac:dyDescent="0.25">
      <c r="A5027" s="24" t="s">
        <v>589</v>
      </c>
      <c r="B5027" s="24" t="s">
        <v>28</v>
      </c>
      <c r="C5027" s="24" t="s">
        <v>5</v>
      </c>
      <c r="D5027" s="24">
        <v>0</v>
      </c>
      <c r="E5027" s="24" t="s">
        <v>799</v>
      </c>
      <c r="F5027" s="24" t="s">
        <v>1129</v>
      </c>
      <c r="G5027" s="24">
        <v>169609</v>
      </c>
    </row>
    <row r="5028" spans="1:7" x14ac:dyDescent="0.25">
      <c r="A5028" s="24" t="s">
        <v>589</v>
      </c>
      <c r="B5028" s="24" t="s">
        <v>29</v>
      </c>
      <c r="C5028" s="24" t="s">
        <v>5</v>
      </c>
      <c r="D5028" s="24">
        <v>0</v>
      </c>
      <c r="E5028" s="24" t="s">
        <v>994</v>
      </c>
      <c r="F5028" s="24"/>
      <c r="G5028" s="24"/>
    </row>
    <row r="5029" spans="1:7" x14ac:dyDescent="0.25">
      <c r="A5029" s="24" t="s">
        <v>589</v>
      </c>
      <c r="B5029" s="24" t="s">
        <v>30</v>
      </c>
      <c r="C5029" s="24" t="s">
        <v>31</v>
      </c>
      <c r="D5029" s="24">
        <v>0</v>
      </c>
      <c r="E5029" s="24" t="s">
        <v>801</v>
      </c>
      <c r="F5029" s="24" t="s">
        <v>1129</v>
      </c>
      <c r="G5029" s="24">
        <v>169609</v>
      </c>
    </row>
    <row r="5030" spans="1:7" x14ac:dyDescent="0.25">
      <c r="A5030" s="24" t="s">
        <v>589</v>
      </c>
      <c r="B5030" s="24" t="s">
        <v>32</v>
      </c>
      <c r="C5030" s="24" t="s">
        <v>33</v>
      </c>
      <c r="D5030" s="24">
        <v>0</v>
      </c>
      <c r="E5030" s="24" t="s">
        <v>796</v>
      </c>
      <c r="F5030" s="24" t="s">
        <v>1129</v>
      </c>
      <c r="G5030" s="24">
        <v>169609</v>
      </c>
    </row>
    <row r="5031" spans="1:7" x14ac:dyDescent="0.25">
      <c r="A5031" s="24" t="s">
        <v>589</v>
      </c>
      <c r="B5031" s="24" t="s">
        <v>34</v>
      </c>
      <c r="C5031" s="24" t="s">
        <v>31</v>
      </c>
      <c r="D5031" s="24">
        <v>0</v>
      </c>
      <c r="E5031" s="24" t="s">
        <v>796</v>
      </c>
      <c r="F5031" s="24" t="s">
        <v>1129</v>
      </c>
      <c r="G5031" s="24">
        <v>169609</v>
      </c>
    </row>
    <row r="5032" spans="1:7" x14ac:dyDescent="0.25">
      <c r="A5032" s="24" t="s">
        <v>589</v>
      </c>
      <c r="B5032" s="24" t="s">
        <v>35</v>
      </c>
      <c r="C5032" s="24" t="s">
        <v>36</v>
      </c>
      <c r="D5032" s="24">
        <v>0</v>
      </c>
      <c r="E5032" s="24" t="s">
        <v>796</v>
      </c>
      <c r="F5032" s="24" t="s">
        <v>1129</v>
      </c>
      <c r="G5032" s="24">
        <v>169609</v>
      </c>
    </row>
    <row r="5033" spans="1:7" x14ac:dyDescent="0.25">
      <c r="A5033" s="24" t="s">
        <v>589</v>
      </c>
      <c r="B5033" s="24" t="s">
        <v>37</v>
      </c>
      <c r="C5033" s="24" t="s">
        <v>38</v>
      </c>
      <c r="D5033" s="24">
        <v>0</v>
      </c>
      <c r="E5033" s="24" t="s">
        <v>796</v>
      </c>
      <c r="F5033" s="24" t="s">
        <v>1129</v>
      </c>
      <c r="G5033" s="24">
        <v>169609</v>
      </c>
    </row>
    <row r="5034" spans="1:7" x14ac:dyDescent="0.25">
      <c r="A5034" s="24" t="s">
        <v>589</v>
      </c>
      <c r="B5034" s="24" t="s">
        <v>39</v>
      </c>
      <c r="C5034" s="24" t="s">
        <v>36</v>
      </c>
      <c r="D5034" s="24">
        <v>0</v>
      </c>
      <c r="E5034" s="24" t="s">
        <v>796</v>
      </c>
      <c r="F5034" s="24" t="s">
        <v>1129</v>
      </c>
      <c r="G5034" s="24">
        <v>169609</v>
      </c>
    </row>
    <row r="5035" spans="1:7" x14ac:dyDescent="0.25">
      <c r="A5035" s="24" t="s">
        <v>589</v>
      </c>
      <c r="B5035" s="24" t="s">
        <v>40</v>
      </c>
      <c r="C5035" s="24" t="s">
        <v>31</v>
      </c>
      <c r="D5035" s="24">
        <v>0</v>
      </c>
      <c r="E5035" s="24" t="s">
        <v>796</v>
      </c>
      <c r="F5035" s="24" t="s">
        <v>1129</v>
      </c>
      <c r="G5035" s="24">
        <v>169609</v>
      </c>
    </row>
    <row r="5036" spans="1:7" x14ac:dyDescent="0.25">
      <c r="A5036" s="24" t="s">
        <v>589</v>
      </c>
      <c r="B5036" s="24" t="s">
        <v>41</v>
      </c>
      <c r="C5036" s="24" t="s">
        <v>31</v>
      </c>
      <c r="D5036" s="24">
        <v>0</v>
      </c>
      <c r="E5036" s="24" t="s">
        <v>796</v>
      </c>
      <c r="F5036" s="24" t="s">
        <v>1129</v>
      </c>
      <c r="G5036" s="24">
        <v>169609</v>
      </c>
    </row>
    <row r="5037" spans="1:7" x14ac:dyDescent="0.25">
      <c r="A5037" s="24" t="s">
        <v>589</v>
      </c>
      <c r="B5037" s="24" t="s">
        <v>42</v>
      </c>
      <c r="C5037" s="24" t="s">
        <v>43</v>
      </c>
      <c r="D5037" s="24">
        <v>0</v>
      </c>
      <c r="E5037" s="24" t="s">
        <v>796</v>
      </c>
      <c r="F5037" s="24" t="s">
        <v>1129</v>
      </c>
      <c r="G5037" s="24">
        <v>169609</v>
      </c>
    </row>
    <row r="5038" spans="1:7" x14ac:dyDescent="0.25">
      <c r="A5038" s="24" t="s">
        <v>589</v>
      </c>
      <c r="B5038" s="24" t="s">
        <v>44</v>
      </c>
      <c r="C5038" s="24" t="s">
        <v>31</v>
      </c>
      <c r="D5038" s="24">
        <v>0</v>
      </c>
      <c r="E5038" s="24" t="s">
        <v>796</v>
      </c>
      <c r="F5038" s="24" t="s">
        <v>1129</v>
      </c>
      <c r="G5038" s="24">
        <v>169609</v>
      </c>
    </row>
    <row r="5039" spans="1:7" x14ac:dyDescent="0.25">
      <c r="A5039" s="24" t="s">
        <v>589</v>
      </c>
      <c r="B5039" s="24" t="s">
        <v>45</v>
      </c>
      <c r="C5039" s="24" t="s">
        <v>31</v>
      </c>
      <c r="D5039" s="24">
        <v>0</v>
      </c>
      <c r="E5039" s="24" t="s">
        <v>796</v>
      </c>
      <c r="F5039" s="24" t="s">
        <v>1129</v>
      </c>
      <c r="G5039" s="24">
        <v>169609</v>
      </c>
    </row>
    <row r="5040" spans="1:7" x14ac:dyDescent="0.25">
      <c r="A5040" s="24" t="s">
        <v>589</v>
      </c>
      <c r="B5040" s="24" t="s">
        <v>46</v>
      </c>
      <c r="C5040" s="24" t="s">
        <v>36</v>
      </c>
      <c r="D5040" s="24">
        <v>0</v>
      </c>
      <c r="E5040" s="24" t="s">
        <v>796</v>
      </c>
      <c r="F5040" s="24" t="s">
        <v>1129</v>
      </c>
      <c r="G5040" s="24">
        <v>169609</v>
      </c>
    </row>
    <row r="5041" spans="1:7" x14ac:dyDescent="0.25">
      <c r="A5041" s="24" t="s">
        <v>589</v>
      </c>
      <c r="B5041" s="24" t="s">
        <v>47</v>
      </c>
      <c r="C5041" s="24" t="s">
        <v>48</v>
      </c>
      <c r="D5041" s="24">
        <v>0</v>
      </c>
      <c r="E5041" s="24" t="s">
        <v>796</v>
      </c>
      <c r="F5041" s="24" t="s">
        <v>1129</v>
      </c>
      <c r="G5041" s="24">
        <v>169609</v>
      </c>
    </row>
    <row r="5042" spans="1:7" x14ac:dyDescent="0.25">
      <c r="A5042" s="24" t="s">
        <v>589</v>
      </c>
      <c r="B5042" s="24" t="s">
        <v>53</v>
      </c>
      <c r="C5042" s="24" t="s">
        <v>31</v>
      </c>
      <c r="D5042" s="24">
        <v>0</v>
      </c>
      <c r="E5042" s="24" t="s">
        <v>796</v>
      </c>
      <c r="F5042" s="24" t="s">
        <v>1129</v>
      </c>
      <c r="G5042" s="24">
        <v>169609</v>
      </c>
    </row>
    <row r="5043" spans="1:7" x14ac:dyDescent="0.25">
      <c r="A5043" s="24" t="s">
        <v>589</v>
      </c>
      <c r="B5043" s="24" t="s">
        <v>55</v>
      </c>
      <c r="C5043" s="24" t="s">
        <v>31</v>
      </c>
      <c r="D5043" s="24">
        <v>0</v>
      </c>
      <c r="E5043" s="24" t="s">
        <v>796</v>
      </c>
      <c r="F5043" s="24" t="s">
        <v>1129</v>
      </c>
      <c r="G5043" s="24">
        <v>169609</v>
      </c>
    </row>
    <row r="5044" spans="1:7" x14ac:dyDescent="0.25">
      <c r="A5044" s="24" t="s">
        <v>589</v>
      </c>
      <c r="B5044" s="24" t="s">
        <v>56</v>
      </c>
      <c r="C5044" s="24" t="s">
        <v>31</v>
      </c>
      <c r="D5044" s="24">
        <v>0</v>
      </c>
      <c r="E5044" s="24" t="s">
        <v>796</v>
      </c>
      <c r="F5044" s="24" t="s">
        <v>1129</v>
      </c>
      <c r="G5044" s="24">
        <v>169609</v>
      </c>
    </row>
    <row r="5045" spans="1:7" x14ac:dyDescent="0.25">
      <c r="A5045" s="24" t="s">
        <v>589</v>
      </c>
      <c r="B5045" s="24" t="s">
        <v>57</v>
      </c>
      <c r="C5045" s="24" t="s">
        <v>36</v>
      </c>
      <c r="D5045" s="24">
        <v>0.9</v>
      </c>
      <c r="E5045" s="24" t="s">
        <v>796</v>
      </c>
      <c r="F5045" s="24" t="s">
        <v>1129</v>
      </c>
      <c r="G5045" s="24">
        <v>169609</v>
      </c>
    </row>
    <row r="5046" spans="1:7" x14ac:dyDescent="0.25">
      <c r="A5046" s="24" t="s">
        <v>589</v>
      </c>
      <c r="B5046" s="24" t="s">
        <v>58</v>
      </c>
      <c r="C5046" s="24" t="s">
        <v>5</v>
      </c>
      <c r="D5046" s="24">
        <v>0</v>
      </c>
      <c r="E5046" s="24" t="s">
        <v>795</v>
      </c>
      <c r="F5046" s="24"/>
      <c r="G5046" s="24"/>
    </row>
    <row r="5047" spans="1:7" x14ac:dyDescent="0.25">
      <c r="A5047" s="24" t="s">
        <v>590</v>
      </c>
      <c r="B5047" s="24" t="s">
        <v>20</v>
      </c>
      <c r="C5047" s="24" t="s">
        <v>5</v>
      </c>
      <c r="D5047" s="24">
        <v>0.6</v>
      </c>
      <c r="E5047" s="24" t="s">
        <v>796</v>
      </c>
      <c r="F5047" s="24" t="s">
        <v>1130</v>
      </c>
      <c r="G5047" s="24">
        <v>167574</v>
      </c>
    </row>
    <row r="5048" spans="1:7" x14ac:dyDescent="0.25">
      <c r="A5048" s="24" t="s">
        <v>590</v>
      </c>
      <c r="B5048" s="24" t="s">
        <v>24</v>
      </c>
      <c r="C5048" s="24" t="s">
        <v>5</v>
      </c>
      <c r="D5048" s="24">
        <v>0</v>
      </c>
      <c r="E5048" s="24" t="s">
        <v>801</v>
      </c>
      <c r="F5048" s="24" t="s">
        <v>1130</v>
      </c>
      <c r="G5048" s="24">
        <v>167574</v>
      </c>
    </row>
    <row r="5049" spans="1:7" x14ac:dyDescent="0.25">
      <c r="A5049" s="24" t="s">
        <v>590</v>
      </c>
      <c r="B5049" s="24" t="s">
        <v>32</v>
      </c>
      <c r="C5049" s="24" t="s">
        <v>33</v>
      </c>
      <c r="D5049" s="24">
        <v>46</v>
      </c>
      <c r="E5049" s="24" t="s">
        <v>801</v>
      </c>
      <c r="F5049" s="24" t="s">
        <v>1130</v>
      </c>
      <c r="G5049" s="24">
        <v>167574</v>
      </c>
    </row>
    <row r="5050" spans="1:7" x14ac:dyDescent="0.25">
      <c r="A5050" s="24" t="s">
        <v>590</v>
      </c>
      <c r="B5050" s="24" t="s">
        <v>34</v>
      </c>
      <c r="C5050" s="24" t="s">
        <v>31</v>
      </c>
      <c r="D5050" s="24">
        <v>0</v>
      </c>
      <c r="E5050" s="24" t="s">
        <v>801</v>
      </c>
      <c r="F5050" s="24" t="s">
        <v>1130</v>
      </c>
      <c r="G5050" s="24">
        <v>167574</v>
      </c>
    </row>
    <row r="5051" spans="1:7" x14ac:dyDescent="0.25">
      <c r="A5051" s="24" t="s">
        <v>590</v>
      </c>
      <c r="B5051" s="24" t="s">
        <v>37</v>
      </c>
      <c r="C5051" s="24" t="s">
        <v>38</v>
      </c>
      <c r="D5051" s="24">
        <v>0.2</v>
      </c>
      <c r="E5051" s="24" t="s">
        <v>801</v>
      </c>
      <c r="F5051" s="24" t="s">
        <v>1130</v>
      </c>
      <c r="G5051" s="24">
        <v>167574</v>
      </c>
    </row>
    <row r="5052" spans="1:7" x14ac:dyDescent="0.25">
      <c r="A5052" s="24" t="s">
        <v>590</v>
      </c>
      <c r="B5052" s="24" t="s">
        <v>39</v>
      </c>
      <c r="C5052" s="24" t="s">
        <v>36</v>
      </c>
      <c r="D5052" s="24">
        <v>0.2</v>
      </c>
      <c r="E5052" s="24" t="s">
        <v>801</v>
      </c>
      <c r="F5052" s="24" t="s">
        <v>1130</v>
      </c>
      <c r="G5052" s="24">
        <v>167574</v>
      </c>
    </row>
    <row r="5053" spans="1:7" x14ac:dyDescent="0.25">
      <c r="A5053" s="24" t="s">
        <v>590</v>
      </c>
      <c r="B5053" s="24" t="s">
        <v>40</v>
      </c>
      <c r="C5053" s="24" t="s">
        <v>31</v>
      </c>
      <c r="D5053" s="24">
        <v>0</v>
      </c>
      <c r="E5053" s="24" t="s">
        <v>801</v>
      </c>
      <c r="F5053" s="24" t="s">
        <v>1130</v>
      </c>
      <c r="G5053" s="24">
        <v>167574</v>
      </c>
    </row>
    <row r="5054" spans="1:7" x14ac:dyDescent="0.25">
      <c r="A5054" s="24" t="s">
        <v>590</v>
      </c>
      <c r="B5054" s="24" t="s">
        <v>41</v>
      </c>
      <c r="C5054" s="24" t="s">
        <v>31</v>
      </c>
      <c r="D5054" s="24">
        <v>0.2</v>
      </c>
      <c r="E5054" s="24" t="s">
        <v>801</v>
      </c>
      <c r="F5054" s="24" t="s">
        <v>1130</v>
      </c>
      <c r="G5054" s="24">
        <v>167574</v>
      </c>
    </row>
    <row r="5055" spans="1:7" x14ac:dyDescent="0.25">
      <c r="A5055" s="24" t="s">
        <v>590</v>
      </c>
      <c r="B5055" s="24" t="s">
        <v>42</v>
      </c>
      <c r="C5055" s="24" t="s">
        <v>43</v>
      </c>
      <c r="D5055" s="24">
        <v>0.1</v>
      </c>
      <c r="E5055" s="24" t="s">
        <v>801</v>
      </c>
      <c r="F5055" s="24" t="s">
        <v>1130</v>
      </c>
      <c r="G5055" s="24">
        <v>167574</v>
      </c>
    </row>
    <row r="5056" spans="1:7" x14ac:dyDescent="0.25">
      <c r="A5056" s="24" t="s">
        <v>590</v>
      </c>
      <c r="B5056" s="24" t="s">
        <v>44</v>
      </c>
      <c r="C5056" s="24" t="s">
        <v>31</v>
      </c>
      <c r="D5056" s="24">
        <v>0</v>
      </c>
      <c r="E5056" s="24" t="s">
        <v>801</v>
      </c>
      <c r="F5056" s="24" t="s">
        <v>1130</v>
      </c>
      <c r="G5056" s="24">
        <v>167574</v>
      </c>
    </row>
    <row r="5057" spans="1:7" x14ac:dyDescent="0.25">
      <c r="A5057" s="24" t="s">
        <v>590</v>
      </c>
      <c r="B5057" s="24" t="s">
        <v>45</v>
      </c>
      <c r="C5057" s="24" t="s">
        <v>31</v>
      </c>
      <c r="D5057" s="24">
        <v>0.5</v>
      </c>
      <c r="E5057" s="24" t="s">
        <v>801</v>
      </c>
      <c r="F5057" s="24" t="s">
        <v>1130</v>
      </c>
      <c r="G5057" s="24">
        <v>167574</v>
      </c>
    </row>
    <row r="5058" spans="1:7" x14ac:dyDescent="0.25">
      <c r="A5058" s="24" t="s">
        <v>590</v>
      </c>
      <c r="B5058" s="24" t="s">
        <v>46</v>
      </c>
      <c r="C5058" s="24" t="s">
        <v>36</v>
      </c>
      <c r="D5058" s="24">
        <v>0.4</v>
      </c>
      <c r="E5058" s="24" t="s">
        <v>801</v>
      </c>
      <c r="F5058" s="24" t="s">
        <v>1130</v>
      </c>
      <c r="G5058" s="24">
        <v>167574</v>
      </c>
    </row>
    <row r="5059" spans="1:7" x14ac:dyDescent="0.25">
      <c r="A5059" s="24" t="s">
        <v>590</v>
      </c>
      <c r="B5059" s="24" t="s">
        <v>47</v>
      </c>
      <c r="C5059" s="24" t="s">
        <v>48</v>
      </c>
      <c r="D5059" s="24">
        <v>9</v>
      </c>
      <c r="E5059" s="24" t="s">
        <v>801</v>
      </c>
      <c r="F5059" s="24" t="s">
        <v>1130</v>
      </c>
      <c r="G5059" s="24">
        <v>167574</v>
      </c>
    </row>
    <row r="5060" spans="1:7" x14ac:dyDescent="0.25">
      <c r="A5060" s="24" t="s">
        <v>590</v>
      </c>
      <c r="B5060" s="24" t="s">
        <v>50</v>
      </c>
      <c r="C5060" s="24" t="s">
        <v>31</v>
      </c>
      <c r="D5060" s="24">
        <v>118</v>
      </c>
      <c r="E5060" s="24" t="s">
        <v>801</v>
      </c>
      <c r="F5060" s="24" t="s">
        <v>1130</v>
      </c>
      <c r="G5060" s="24">
        <v>167574</v>
      </c>
    </row>
    <row r="5061" spans="1:7" x14ac:dyDescent="0.25">
      <c r="A5061" s="24" t="s">
        <v>590</v>
      </c>
      <c r="B5061" s="24" t="s">
        <v>51</v>
      </c>
      <c r="C5061" s="24" t="s">
        <v>31</v>
      </c>
      <c r="D5061" s="24">
        <v>83</v>
      </c>
      <c r="E5061" s="24" t="s">
        <v>801</v>
      </c>
      <c r="F5061" s="24" t="s">
        <v>1130</v>
      </c>
      <c r="G5061" s="24">
        <v>167574</v>
      </c>
    </row>
    <row r="5062" spans="1:7" x14ac:dyDescent="0.25">
      <c r="A5062" s="24" t="s">
        <v>590</v>
      </c>
      <c r="B5062" s="24" t="s">
        <v>52</v>
      </c>
      <c r="C5062" s="24" t="s">
        <v>31</v>
      </c>
      <c r="D5062" s="24">
        <v>96</v>
      </c>
      <c r="E5062" s="24" t="s">
        <v>801</v>
      </c>
      <c r="F5062" s="24" t="s">
        <v>1130</v>
      </c>
      <c r="G5062" s="24">
        <v>167574</v>
      </c>
    </row>
    <row r="5063" spans="1:7" x14ac:dyDescent="0.25">
      <c r="A5063" s="24" t="s">
        <v>590</v>
      </c>
      <c r="B5063" s="24" t="s">
        <v>53</v>
      </c>
      <c r="C5063" s="24" t="s">
        <v>31</v>
      </c>
      <c r="D5063" s="24">
        <v>9</v>
      </c>
      <c r="E5063" s="24" t="s">
        <v>801</v>
      </c>
      <c r="F5063" s="24" t="s">
        <v>1130</v>
      </c>
      <c r="G5063" s="24">
        <v>167574</v>
      </c>
    </row>
    <row r="5064" spans="1:7" x14ac:dyDescent="0.25">
      <c r="A5064" s="24" t="s">
        <v>590</v>
      </c>
      <c r="B5064" s="24" t="s">
        <v>54</v>
      </c>
      <c r="C5064" s="24" t="s">
        <v>31</v>
      </c>
      <c r="D5064" s="24">
        <v>0.4</v>
      </c>
      <c r="E5064" s="24" t="s">
        <v>801</v>
      </c>
      <c r="F5064" s="24" t="s">
        <v>1130</v>
      </c>
      <c r="G5064" s="24">
        <v>167574</v>
      </c>
    </row>
    <row r="5065" spans="1:7" x14ac:dyDescent="0.25">
      <c r="A5065" s="24" t="s">
        <v>590</v>
      </c>
      <c r="B5065" s="24" t="s">
        <v>55</v>
      </c>
      <c r="C5065" s="24" t="s">
        <v>31</v>
      </c>
      <c r="D5065" s="24">
        <v>0.5</v>
      </c>
      <c r="E5065" s="24" t="s">
        <v>801</v>
      </c>
      <c r="F5065" s="24" t="s">
        <v>1130</v>
      </c>
      <c r="G5065" s="24">
        <v>167574</v>
      </c>
    </row>
    <row r="5066" spans="1:7" x14ac:dyDescent="0.25">
      <c r="A5066" s="24" t="s">
        <v>590</v>
      </c>
      <c r="B5066" s="24" t="s">
        <v>56</v>
      </c>
      <c r="C5066" s="24" t="s">
        <v>31</v>
      </c>
      <c r="D5066" s="24">
        <v>0</v>
      </c>
      <c r="E5066" s="24" t="s">
        <v>801</v>
      </c>
      <c r="F5066" s="24" t="s">
        <v>1130</v>
      </c>
      <c r="G5066" s="24">
        <v>167574</v>
      </c>
    </row>
    <row r="5067" spans="1:7" x14ac:dyDescent="0.25">
      <c r="A5067" s="24" t="s">
        <v>590</v>
      </c>
      <c r="B5067" s="24" t="s">
        <v>57</v>
      </c>
      <c r="C5067" s="24" t="s">
        <v>36</v>
      </c>
      <c r="D5067" s="24">
        <v>8.6999999999999993</v>
      </c>
      <c r="E5067" s="24" t="s">
        <v>801</v>
      </c>
      <c r="F5067" s="24" t="s">
        <v>1130</v>
      </c>
      <c r="G5067" s="24">
        <v>167574</v>
      </c>
    </row>
    <row r="5068" spans="1:7" x14ac:dyDescent="0.25">
      <c r="A5068" s="24" t="s">
        <v>590</v>
      </c>
      <c r="B5068" s="24" t="s">
        <v>58</v>
      </c>
      <c r="C5068" s="24" t="s">
        <v>5</v>
      </c>
      <c r="D5068" s="24">
        <v>0</v>
      </c>
      <c r="E5068" s="24" t="s">
        <v>795</v>
      </c>
      <c r="F5068" s="24"/>
      <c r="G5068" s="24"/>
    </row>
    <row r="5069" spans="1:7" x14ac:dyDescent="0.25">
      <c r="A5069" s="24" t="s">
        <v>590</v>
      </c>
      <c r="B5069" s="24" t="s">
        <v>18</v>
      </c>
      <c r="C5069" s="24" t="s">
        <v>5</v>
      </c>
      <c r="D5069" s="24">
        <v>67.8</v>
      </c>
      <c r="E5069" s="24" t="s">
        <v>803</v>
      </c>
      <c r="F5069" s="24"/>
      <c r="G5069" s="24"/>
    </row>
    <row r="5070" spans="1:7" x14ac:dyDescent="0.25">
      <c r="A5070" s="24" t="s">
        <v>591</v>
      </c>
      <c r="B5070" s="24" t="s">
        <v>20</v>
      </c>
      <c r="C5070" s="24" t="s">
        <v>5</v>
      </c>
      <c r="D5070" s="24">
        <v>0.5</v>
      </c>
      <c r="E5070" s="24" t="s">
        <v>796</v>
      </c>
      <c r="F5070" s="24" t="s">
        <v>1125</v>
      </c>
      <c r="G5070" s="24">
        <v>169608</v>
      </c>
    </row>
    <row r="5071" spans="1:7" x14ac:dyDescent="0.25">
      <c r="A5071" s="24" t="s">
        <v>591</v>
      </c>
      <c r="B5071" s="24" t="s">
        <v>24</v>
      </c>
      <c r="C5071" s="24" t="s">
        <v>5</v>
      </c>
      <c r="D5071" s="24">
        <v>0</v>
      </c>
      <c r="E5071" s="24" t="s">
        <v>801</v>
      </c>
      <c r="F5071" s="24" t="s">
        <v>1125</v>
      </c>
      <c r="G5071" s="24">
        <v>169608</v>
      </c>
    </row>
    <row r="5072" spans="1:7" x14ac:dyDescent="0.25">
      <c r="A5072" s="24" t="s">
        <v>591</v>
      </c>
      <c r="B5072" s="24" t="s">
        <v>26</v>
      </c>
      <c r="C5072" s="24" t="s">
        <v>5</v>
      </c>
      <c r="D5072" s="24">
        <v>0.59</v>
      </c>
      <c r="E5072" s="24" t="s">
        <v>799</v>
      </c>
      <c r="F5072" s="24" t="s">
        <v>1125</v>
      </c>
      <c r="G5072" s="24">
        <v>169608</v>
      </c>
    </row>
    <row r="5073" spans="1:7" x14ac:dyDescent="0.25">
      <c r="A5073" s="24" t="s">
        <v>591</v>
      </c>
      <c r="B5073" s="24" t="s">
        <v>27</v>
      </c>
      <c r="C5073" s="24" t="s">
        <v>5</v>
      </c>
      <c r="D5073" s="24">
        <v>1.33</v>
      </c>
      <c r="E5073" s="24" t="s">
        <v>799</v>
      </c>
      <c r="F5073" s="24" t="s">
        <v>1125</v>
      </c>
      <c r="G5073" s="24">
        <v>169608</v>
      </c>
    </row>
    <row r="5074" spans="1:7" x14ac:dyDescent="0.25">
      <c r="A5074" s="24" t="s">
        <v>591</v>
      </c>
      <c r="B5074" s="24" t="s">
        <v>28</v>
      </c>
      <c r="C5074" s="24" t="s">
        <v>5</v>
      </c>
      <c r="D5074" s="24">
        <v>0.05</v>
      </c>
      <c r="E5074" s="24" t="s">
        <v>799</v>
      </c>
      <c r="F5074" s="24" t="s">
        <v>1125</v>
      </c>
      <c r="G5074" s="24">
        <v>169608</v>
      </c>
    </row>
    <row r="5075" spans="1:7" x14ac:dyDescent="0.25">
      <c r="A5075" s="24" t="s">
        <v>591</v>
      </c>
      <c r="B5075" s="24" t="s">
        <v>30</v>
      </c>
      <c r="C5075" s="24" t="s">
        <v>31</v>
      </c>
      <c r="D5075" s="24">
        <v>1</v>
      </c>
      <c r="E5075" s="24" t="s">
        <v>801</v>
      </c>
      <c r="F5075" s="24" t="s">
        <v>1125</v>
      </c>
      <c r="G5075" s="24">
        <v>169608</v>
      </c>
    </row>
    <row r="5076" spans="1:7" x14ac:dyDescent="0.25">
      <c r="A5076" s="24" t="s">
        <v>591</v>
      </c>
      <c r="B5076" s="24" t="s">
        <v>32</v>
      </c>
      <c r="C5076" s="24" t="s">
        <v>33</v>
      </c>
      <c r="D5076" s="24">
        <v>2</v>
      </c>
      <c r="E5076" s="24" t="s">
        <v>801</v>
      </c>
      <c r="F5076" s="24" t="s">
        <v>1125</v>
      </c>
      <c r="G5076" s="24">
        <v>169608</v>
      </c>
    </row>
    <row r="5077" spans="1:7" x14ac:dyDescent="0.25">
      <c r="A5077" s="24" t="s">
        <v>591</v>
      </c>
      <c r="B5077" s="24" t="s">
        <v>34</v>
      </c>
      <c r="C5077" s="24" t="s">
        <v>31</v>
      </c>
      <c r="D5077" s="24">
        <v>0.2</v>
      </c>
      <c r="E5077" s="24" t="s">
        <v>801</v>
      </c>
      <c r="F5077" s="24" t="s">
        <v>1125</v>
      </c>
      <c r="G5077" s="24">
        <v>169608</v>
      </c>
    </row>
    <row r="5078" spans="1:7" x14ac:dyDescent="0.25">
      <c r="A5078" s="24" t="s">
        <v>591</v>
      </c>
      <c r="B5078" s="24" t="s">
        <v>35</v>
      </c>
      <c r="C5078" s="24" t="s">
        <v>36</v>
      </c>
      <c r="D5078" s="24">
        <v>0</v>
      </c>
      <c r="E5078" s="24" t="s">
        <v>801</v>
      </c>
      <c r="F5078" s="24" t="s">
        <v>1125</v>
      </c>
      <c r="G5078" s="24">
        <v>169608</v>
      </c>
    </row>
    <row r="5079" spans="1:7" x14ac:dyDescent="0.25">
      <c r="A5079" s="24" t="s">
        <v>591</v>
      </c>
      <c r="B5079" s="24" t="s">
        <v>37</v>
      </c>
      <c r="C5079" s="24" t="s">
        <v>38</v>
      </c>
      <c r="D5079" s="24">
        <v>0.3</v>
      </c>
      <c r="E5079" s="24" t="s">
        <v>801</v>
      </c>
      <c r="F5079" s="24" t="s">
        <v>1125</v>
      </c>
      <c r="G5079" s="24">
        <v>169608</v>
      </c>
    </row>
    <row r="5080" spans="1:7" x14ac:dyDescent="0.25">
      <c r="A5080" s="24" t="s">
        <v>591</v>
      </c>
      <c r="B5080" s="24" t="s">
        <v>39</v>
      </c>
      <c r="C5080" s="24" t="s">
        <v>36</v>
      </c>
      <c r="D5080" s="24">
        <v>0.6</v>
      </c>
      <c r="E5080" s="24" t="s">
        <v>801</v>
      </c>
      <c r="F5080" s="24" t="s">
        <v>1125</v>
      </c>
      <c r="G5080" s="24">
        <v>169608</v>
      </c>
    </row>
    <row r="5081" spans="1:7" x14ac:dyDescent="0.25">
      <c r="A5081" s="24" t="s">
        <v>591</v>
      </c>
      <c r="B5081" s="24" t="s">
        <v>40</v>
      </c>
      <c r="C5081" s="24" t="s">
        <v>31</v>
      </c>
      <c r="D5081" s="24">
        <v>0</v>
      </c>
      <c r="E5081" s="24" t="s">
        <v>801</v>
      </c>
      <c r="F5081" s="24" t="s">
        <v>1125</v>
      </c>
      <c r="G5081" s="24">
        <v>169608</v>
      </c>
    </row>
    <row r="5082" spans="1:7" x14ac:dyDescent="0.25">
      <c r="A5082" s="24" t="s">
        <v>591</v>
      </c>
      <c r="B5082" s="24" t="s">
        <v>41</v>
      </c>
      <c r="C5082" s="24" t="s">
        <v>31</v>
      </c>
      <c r="D5082" s="24">
        <v>0.1</v>
      </c>
      <c r="E5082" s="24" t="s">
        <v>801</v>
      </c>
      <c r="F5082" s="24" t="s">
        <v>1125</v>
      </c>
      <c r="G5082" s="24">
        <v>169608</v>
      </c>
    </row>
    <row r="5083" spans="1:7" x14ac:dyDescent="0.25">
      <c r="A5083" s="24" t="s">
        <v>591</v>
      </c>
      <c r="B5083" s="24" t="s">
        <v>42</v>
      </c>
      <c r="C5083" s="24" t="s">
        <v>43</v>
      </c>
      <c r="D5083" s="24">
        <v>0.1</v>
      </c>
      <c r="E5083" s="24" t="s">
        <v>801</v>
      </c>
      <c r="F5083" s="24" t="s">
        <v>1125</v>
      </c>
      <c r="G5083" s="24">
        <v>169608</v>
      </c>
    </row>
    <row r="5084" spans="1:7" x14ac:dyDescent="0.25">
      <c r="A5084" s="24" t="s">
        <v>591</v>
      </c>
      <c r="B5084" s="24" t="s">
        <v>44</v>
      </c>
      <c r="C5084" s="24" t="s">
        <v>31</v>
      </c>
      <c r="D5084" s="24">
        <v>0</v>
      </c>
      <c r="E5084" s="24" t="s">
        <v>801</v>
      </c>
      <c r="F5084" s="24" t="s">
        <v>1125</v>
      </c>
      <c r="G5084" s="24">
        <v>169608</v>
      </c>
    </row>
    <row r="5085" spans="1:7" x14ac:dyDescent="0.25">
      <c r="A5085" s="24" t="s">
        <v>591</v>
      </c>
      <c r="B5085" s="24" t="s">
        <v>45</v>
      </c>
      <c r="C5085" s="24" t="s">
        <v>31</v>
      </c>
      <c r="D5085" s="24">
        <v>0.2</v>
      </c>
      <c r="E5085" s="24" t="s">
        <v>801</v>
      </c>
      <c r="F5085" s="24" t="s">
        <v>1125</v>
      </c>
      <c r="G5085" s="24">
        <v>169608</v>
      </c>
    </row>
    <row r="5086" spans="1:7" x14ac:dyDescent="0.25">
      <c r="A5086" s="24" t="s">
        <v>591</v>
      </c>
      <c r="B5086" s="24" t="s">
        <v>46</v>
      </c>
      <c r="C5086" s="24" t="s">
        <v>36</v>
      </c>
      <c r="D5086" s="24">
        <v>0.1</v>
      </c>
      <c r="E5086" s="24" t="s">
        <v>801</v>
      </c>
      <c r="F5086" s="24" t="s">
        <v>1125</v>
      </c>
      <c r="G5086" s="24">
        <v>169608</v>
      </c>
    </row>
    <row r="5087" spans="1:7" x14ac:dyDescent="0.25">
      <c r="A5087" s="24" t="s">
        <v>591</v>
      </c>
      <c r="B5087" s="24" t="s">
        <v>47</v>
      </c>
      <c r="C5087" s="24" t="s">
        <v>48</v>
      </c>
      <c r="D5087" s="24">
        <v>2</v>
      </c>
      <c r="E5087" s="24" t="s">
        <v>801</v>
      </c>
      <c r="F5087" s="24" t="s">
        <v>1125</v>
      </c>
      <c r="G5087" s="24">
        <v>169608</v>
      </c>
    </row>
    <row r="5088" spans="1:7" x14ac:dyDescent="0.25">
      <c r="A5088" s="24" t="s">
        <v>591</v>
      </c>
      <c r="B5088" s="24" t="s">
        <v>50</v>
      </c>
      <c r="C5088" s="24" t="s">
        <v>31</v>
      </c>
      <c r="D5088" s="24">
        <v>65</v>
      </c>
      <c r="E5088" s="24" t="s">
        <v>801</v>
      </c>
      <c r="F5088" s="24" t="s">
        <v>1125</v>
      </c>
      <c r="G5088" s="24">
        <v>169608</v>
      </c>
    </row>
    <row r="5089" spans="1:7" x14ac:dyDescent="0.25">
      <c r="A5089" s="24" t="s">
        <v>591</v>
      </c>
      <c r="B5089" s="24" t="s">
        <v>51</v>
      </c>
      <c r="C5089" s="24" t="s">
        <v>31</v>
      </c>
      <c r="D5089" s="24">
        <v>49</v>
      </c>
      <c r="E5089" s="24" t="s">
        <v>801</v>
      </c>
      <c r="F5089" s="24" t="s">
        <v>1125</v>
      </c>
      <c r="G5089" s="24">
        <v>169608</v>
      </c>
    </row>
    <row r="5090" spans="1:7" x14ac:dyDescent="0.25">
      <c r="A5090" s="24" t="s">
        <v>591</v>
      </c>
      <c r="B5090" s="24" t="s">
        <v>52</v>
      </c>
      <c r="C5090" s="24" t="s">
        <v>31</v>
      </c>
      <c r="D5090" s="24">
        <v>41</v>
      </c>
      <c r="E5090" s="24" t="s">
        <v>801</v>
      </c>
      <c r="F5090" s="24" t="s">
        <v>1125</v>
      </c>
      <c r="G5090" s="24">
        <v>169608</v>
      </c>
    </row>
    <row r="5091" spans="1:7" x14ac:dyDescent="0.25">
      <c r="A5091" s="24" t="s">
        <v>591</v>
      </c>
      <c r="B5091" s="24" t="s">
        <v>53</v>
      </c>
      <c r="C5091" s="24" t="s">
        <v>31</v>
      </c>
      <c r="D5091" s="24">
        <v>4</v>
      </c>
      <c r="E5091" s="24" t="s">
        <v>801</v>
      </c>
      <c r="F5091" s="24" t="s">
        <v>1125</v>
      </c>
      <c r="G5091" s="24">
        <v>169608</v>
      </c>
    </row>
    <row r="5092" spans="1:7" x14ac:dyDescent="0.25">
      <c r="A5092" s="24" t="s">
        <v>591</v>
      </c>
      <c r="B5092" s="24" t="s">
        <v>54</v>
      </c>
      <c r="C5092" s="24" t="s">
        <v>31</v>
      </c>
      <c r="D5092" s="24">
        <v>0.1</v>
      </c>
      <c r="E5092" s="24" t="s">
        <v>801</v>
      </c>
      <c r="F5092" s="24" t="s">
        <v>1125</v>
      </c>
      <c r="G5092" s="24">
        <v>169608</v>
      </c>
    </row>
    <row r="5093" spans="1:7" x14ac:dyDescent="0.25">
      <c r="A5093" s="24" t="s">
        <v>591</v>
      </c>
      <c r="B5093" s="24" t="s">
        <v>55</v>
      </c>
      <c r="C5093" s="24" t="s">
        <v>31</v>
      </c>
      <c r="D5093" s="24">
        <v>0.2</v>
      </c>
      <c r="E5093" s="24" t="s">
        <v>801</v>
      </c>
      <c r="F5093" s="24" t="s">
        <v>1125</v>
      </c>
      <c r="G5093" s="24">
        <v>169608</v>
      </c>
    </row>
    <row r="5094" spans="1:7" x14ac:dyDescent="0.25">
      <c r="A5094" s="24" t="s">
        <v>591</v>
      </c>
      <c r="B5094" s="24" t="s">
        <v>56</v>
      </c>
      <c r="C5094" s="24" t="s">
        <v>31</v>
      </c>
      <c r="D5094" s="24">
        <v>0</v>
      </c>
      <c r="E5094" s="24" t="s">
        <v>801</v>
      </c>
      <c r="F5094" s="24" t="s">
        <v>1125</v>
      </c>
      <c r="G5094" s="24">
        <v>169608</v>
      </c>
    </row>
    <row r="5095" spans="1:7" x14ac:dyDescent="0.25">
      <c r="A5095" s="24" t="s">
        <v>591</v>
      </c>
      <c r="B5095" s="24" t="s">
        <v>57</v>
      </c>
      <c r="C5095" s="24" t="s">
        <v>36</v>
      </c>
      <c r="D5095" s="24">
        <v>0</v>
      </c>
      <c r="E5095" s="24" t="s">
        <v>801</v>
      </c>
      <c r="F5095" s="24" t="s">
        <v>1125</v>
      </c>
      <c r="G5095" s="24">
        <v>169608</v>
      </c>
    </row>
    <row r="5096" spans="1:7" x14ac:dyDescent="0.25">
      <c r="A5096" s="24" t="s">
        <v>591</v>
      </c>
      <c r="B5096" s="24" t="s">
        <v>58</v>
      </c>
      <c r="C5096" s="24" t="s">
        <v>5</v>
      </c>
      <c r="D5096" s="24">
        <v>0</v>
      </c>
      <c r="E5096" s="24" t="s">
        <v>795</v>
      </c>
      <c r="F5096" s="24"/>
      <c r="G5096" s="24"/>
    </row>
    <row r="5097" spans="1:7" x14ac:dyDescent="0.25">
      <c r="A5097" s="24" t="s">
        <v>591</v>
      </c>
      <c r="B5097" s="24" t="s">
        <v>18</v>
      </c>
      <c r="C5097" s="24" t="s">
        <v>5</v>
      </c>
      <c r="D5097" s="24">
        <v>66.599999999999994</v>
      </c>
      <c r="E5097" s="24" t="s">
        <v>803</v>
      </c>
      <c r="F5097" s="24"/>
      <c r="G5097" s="24"/>
    </row>
    <row r="5098" spans="1:7" x14ac:dyDescent="0.25">
      <c r="A5098" s="24" t="s">
        <v>593</v>
      </c>
      <c r="B5098" s="24" t="s">
        <v>20</v>
      </c>
      <c r="C5098" s="24" t="s">
        <v>5</v>
      </c>
      <c r="D5098" s="24">
        <v>0.7</v>
      </c>
      <c r="E5098" s="24" t="s">
        <v>796</v>
      </c>
      <c r="F5098" s="24" t="s">
        <v>1131</v>
      </c>
      <c r="G5098" s="24">
        <v>172446</v>
      </c>
    </row>
    <row r="5099" spans="1:7" x14ac:dyDescent="0.25">
      <c r="A5099" s="24" t="s">
        <v>593</v>
      </c>
      <c r="B5099" s="24" t="s">
        <v>39</v>
      </c>
      <c r="C5099" s="24" t="s">
        <v>36</v>
      </c>
      <c r="D5099" s="24">
        <v>3</v>
      </c>
      <c r="E5099" s="24" t="s">
        <v>801</v>
      </c>
      <c r="F5099" s="24" t="s">
        <v>1131</v>
      </c>
      <c r="G5099" s="24">
        <v>172446</v>
      </c>
    </row>
    <row r="5100" spans="1:7" x14ac:dyDescent="0.25">
      <c r="A5100" s="24" t="s">
        <v>593</v>
      </c>
      <c r="B5100" s="24" t="s">
        <v>45</v>
      </c>
      <c r="C5100" s="24" t="s">
        <v>31</v>
      </c>
      <c r="D5100" s="24">
        <v>0.4</v>
      </c>
      <c r="E5100" s="24" t="s">
        <v>801</v>
      </c>
      <c r="F5100" s="24" t="s">
        <v>1131</v>
      </c>
      <c r="G5100" s="24">
        <v>172446</v>
      </c>
    </row>
    <row r="5101" spans="1:7" x14ac:dyDescent="0.25">
      <c r="A5101" s="24" t="s">
        <v>593</v>
      </c>
      <c r="B5101" s="24" t="s">
        <v>50</v>
      </c>
      <c r="C5101" s="24" t="s">
        <v>31</v>
      </c>
      <c r="D5101" s="24">
        <v>118</v>
      </c>
      <c r="E5101" s="24" t="s">
        <v>801</v>
      </c>
      <c r="F5101" s="24" t="s">
        <v>1131</v>
      </c>
      <c r="G5101" s="24">
        <v>172446</v>
      </c>
    </row>
    <row r="5102" spans="1:7" x14ac:dyDescent="0.25">
      <c r="A5102" s="24" t="s">
        <v>593</v>
      </c>
      <c r="B5102" s="24" t="s">
        <v>51</v>
      </c>
      <c r="C5102" s="24" t="s">
        <v>31</v>
      </c>
      <c r="D5102" s="24">
        <v>25</v>
      </c>
      <c r="E5102" s="24" t="s">
        <v>801</v>
      </c>
      <c r="F5102" s="24" t="s">
        <v>1131</v>
      </c>
      <c r="G5102" s="24">
        <v>172446</v>
      </c>
    </row>
    <row r="5103" spans="1:7" x14ac:dyDescent="0.25">
      <c r="A5103" s="24" t="s">
        <v>593</v>
      </c>
      <c r="B5103" s="24" t="s">
        <v>52</v>
      </c>
      <c r="C5103" s="24" t="s">
        <v>31</v>
      </c>
      <c r="D5103" s="24">
        <v>52</v>
      </c>
      <c r="E5103" s="24" t="s">
        <v>801</v>
      </c>
      <c r="F5103" s="24" t="s">
        <v>1131</v>
      </c>
      <c r="G5103" s="24">
        <v>172446</v>
      </c>
    </row>
    <row r="5104" spans="1:7" x14ac:dyDescent="0.25">
      <c r="A5104" s="24" t="s">
        <v>593</v>
      </c>
      <c r="B5104" s="24" t="s">
        <v>53</v>
      </c>
      <c r="C5104" s="24" t="s">
        <v>31</v>
      </c>
      <c r="D5104" s="24">
        <v>25</v>
      </c>
      <c r="E5104" s="24" t="s">
        <v>801</v>
      </c>
      <c r="F5104" s="24" t="s">
        <v>1131</v>
      </c>
      <c r="G5104" s="24">
        <v>172446</v>
      </c>
    </row>
    <row r="5105" spans="1:7" x14ac:dyDescent="0.25">
      <c r="A5105" s="24" t="s">
        <v>593</v>
      </c>
      <c r="B5105" s="24" t="s">
        <v>54</v>
      </c>
      <c r="C5105" s="24" t="s">
        <v>31</v>
      </c>
      <c r="D5105" s="24">
        <v>0.6</v>
      </c>
      <c r="E5105" s="24" t="s">
        <v>801</v>
      </c>
      <c r="F5105" s="24" t="s">
        <v>1131</v>
      </c>
      <c r="G5105" s="24">
        <v>172446</v>
      </c>
    </row>
    <row r="5106" spans="1:7" x14ac:dyDescent="0.25">
      <c r="A5106" s="24" t="s">
        <v>593</v>
      </c>
      <c r="B5106" s="24" t="s">
        <v>56</v>
      </c>
      <c r="C5106" s="24" t="s">
        <v>31</v>
      </c>
      <c r="D5106" s="24">
        <v>0.1</v>
      </c>
      <c r="E5106" s="24" t="s">
        <v>801</v>
      </c>
      <c r="F5106" s="24" t="s">
        <v>1131</v>
      </c>
      <c r="G5106" s="24">
        <v>172446</v>
      </c>
    </row>
    <row r="5107" spans="1:7" x14ac:dyDescent="0.25">
      <c r="A5107" s="24" t="s">
        <v>593</v>
      </c>
      <c r="B5107" s="24" t="s">
        <v>57</v>
      </c>
      <c r="C5107" s="24" t="s">
        <v>36</v>
      </c>
      <c r="D5107" s="24">
        <v>4.8</v>
      </c>
      <c r="E5107" s="24" t="s">
        <v>801</v>
      </c>
      <c r="F5107" s="24" t="s">
        <v>1131</v>
      </c>
      <c r="G5107" s="24">
        <v>172446</v>
      </c>
    </row>
    <row r="5108" spans="1:7" x14ac:dyDescent="0.25">
      <c r="A5108" s="24" t="s">
        <v>593</v>
      </c>
      <c r="B5108" s="24" t="s">
        <v>58</v>
      </c>
      <c r="C5108" s="24" t="s">
        <v>5</v>
      </c>
      <c r="D5108" s="24">
        <v>0</v>
      </c>
      <c r="E5108" s="24" t="s">
        <v>795</v>
      </c>
      <c r="F5108" s="24"/>
      <c r="G5108" s="24"/>
    </row>
    <row r="5109" spans="1:7" x14ac:dyDescent="0.25">
      <c r="A5109" s="24" t="s">
        <v>593</v>
      </c>
      <c r="B5109" s="24" t="s">
        <v>18</v>
      </c>
      <c r="C5109" s="24" t="s">
        <v>5</v>
      </c>
      <c r="D5109" s="24">
        <v>82.7</v>
      </c>
      <c r="E5109" s="24" t="s">
        <v>803</v>
      </c>
      <c r="F5109" s="24"/>
      <c r="G5109" s="24"/>
    </row>
    <row r="5110" spans="1:7" x14ac:dyDescent="0.25">
      <c r="A5110" s="24" t="s">
        <v>594</v>
      </c>
      <c r="B5110" s="24" t="s">
        <v>29</v>
      </c>
      <c r="C5110" s="24" t="s">
        <v>5</v>
      </c>
      <c r="D5110" s="24">
        <v>0</v>
      </c>
      <c r="E5110" s="24" t="s">
        <v>799</v>
      </c>
      <c r="F5110" s="24" t="s">
        <v>1132</v>
      </c>
      <c r="G5110" s="24">
        <v>167747</v>
      </c>
    </row>
    <row r="5111" spans="1:7" x14ac:dyDescent="0.25">
      <c r="A5111" s="24" t="s">
        <v>594</v>
      </c>
      <c r="B5111" s="24" t="s">
        <v>58</v>
      </c>
      <c r="C5111" s="24" t="s">
        <v>5</v>
      </c>
      <c r="D5111" s="24">
        <v>0</v>
      </c>
      <c r="E5111" s="24" t="s">
        <v>795</v>
      </c>
      <c r="F5111" s="24"/>
      <c r="G5111" s="24"/>
    </row>
    <row r="5112" spans="1:7" x14ac:dyDescent="0.25">
      <c r="A5112" s="24" t="s">
        <v>595</v>
      </c>
      <c r="B5112" s="24" t="s">
        <v>29</v>
      </c>
      <c r="C5112" s="24" t="s">
        <v>5</v>
      </c>
      <c r="D5112" s="24">
        <v>0</v>
      </c>
      <c r="E5112" s="24" t="s">
        <v>799</v>
      </c>
      <c r="F5112" s="24" t="s">
        <v>1133</v>
      </c>
      <c r="G5112" s="24">
        <v>169925</v>
      </c>
    </row>
    <row r="5113" spans="1:7" x14ac:dyDescent="0.25">
      <c r="A5113" s="24" t="s">
        <v>595</v>
      </c>
      <c r="B5113" s="24" t="s">
        <v>58</v>
      </c>
      <c r="C5113" s="24" t="s">
        <v>5</v>
      </c>
      <c r="D5113" s="24">
        <v>0</v>
      </c>
      <c r="E5113" s="24" t="s">
        <v>795</v>
      </c>
      <c r="F5113" s="24"/>
      <c r="G5113" s="24"/>
    </row>
    <row r="5114" spans="1:7" x14ac:dyDescent="0.25">
      <c r="A5114" s="24" t="s">
        <v>596</v>
      </c>
      <c r="B5114" s="24" t="s">
        <v>29</v>
      </c>
      <c r="C5114" s="24" t="s">
        <v>5</v>
      </c>
      <c r="D5114" s="24">
        <v>0</v>
      </c>
      <c r="E5114" s="24" t="s">
        <v>940</v>
      </c>
      <c r="F5114" s="24"/>
      <c r="G5114" s="24"/>
    </row>
    <row r="5115" spans="1:7" x14ac:dyDescent="0.25">
      <c r="A5115" s="24" t="s">
        <v>596</v>
      </c>
      <c r="B5115" s="24" t="s">
        <v>58</v>
      </c>
      <c r="C5115" s="24" t="s">
        <v>5</v>
      </c>
      <c r="D5115" s="24">
        <v>0</v>
      </c>
      <c r="E5115" s="24" t="s">
        <v>795</v>
      </c>
      <c r="F5115" s="24"/>
      <c r="G5115" s="24"/>
    </row>
    <row r="5116" spans="1:7" x14ac:dyDescent="0.25">
      <c r="A5116" s="24" t="s">
        <v>597</v>
      </c>
      <c r="B5116" s="24" t="s">
        <v>29</v>
      </c>
      <c r="C5116" s="24" t="s">
        <v>5</v>
      </c>
      <c r="D5116" s="24">
        <v>0</v>
      </c>
      <c r="E5116" s="24" t="s">
        <v>799</v>
      </c>
      <c r="F5116" s="24" t="s">
        <v>1134</v>
      </c>
      <c r="G5116" s="24">
        <v>169098</v>
      </c>
    </row>
    <row r="5117" spans="1:7" x14ac:dyDescent="0.25">
      <c r="A5117" s="24" t="s">
        <v>597</v>
      </c>
      <c r="B5117" s="24" t="s">
        <v>58</v>
      </c>
      <c r="C5117" s="24" t="s">
        <v>5</v>
      </c>
      <c r="D5117" s="24">
        <v>0</v>
      </c>
      <c r="E5117" s="24" t="s">
        <v>795</v>
      </c>
      <c r="F5117" s="24"/>
      <c r="G5117" s="24"/>
    </row>
    <row r="5118" spans="1:7" x14ac:dyDescent="0.25">
      <c r="A5118" s="24" t="s">
        <v>598</v>
      </c>
      <c r="B5118" s="24" t="s">
        <v>29</v>
      </c>
      <c r="C5118" s="24" t="s">
        <v>5</v>
      </c>
      <c r="D5118" s="24">
        <v>0</v>
      </c>
      <c r="E5118" s="24" t="s">
        <v>799</v>
      </c>
      <c r="F5118" s="24" t="s">
        <v>1135</v>
      </c>
      <c r="G5118" s="24">
        <v>173039</v>
      </c>
    </row>
    <row r="5119" spans="1:7" x14ac:dyDescent="0.25">
      <c r="A5119" s="24" t="s">
        <v>598</v>
      </c>
      <c r="B5119" s="24" t="s">
        <v>58</v>
      </c>
      <c r="C5119" s="24" t="s">
        <v>5</v>
      </c>
      <c r="D5119" s="24">
        <v>0</v>
      </c>
      <c r="E5119" s="24" t="s">
        <v>795</v>
      </c>
      <c r="F5119" s="24"/>
      <c r="G5119" s="24"/>
    </row>
    <row r="5120" spans="1:7" x14ac:dyDescent="0.25">
      <c r="A5120" s="24" t="s">
        <v>599</v>
      </c>
      <c r="B5120" s="24" t="s">
        <v>26</v>
      </c>
      <c r="C5120" s="24" t="s">
        <v>5</v>
      </c>
      <c r="D5120" s="24">
        <v>0</v>
      </c>
      <c r="E5120" s="24" t="s">
        <v>799</v>
      </c>
      <c r="F5120" s="24" t="s">
        <v>1136</v>
      </c>
      <c r="G5120" s="24">
        <v>171704</v>
      </c>
    </row>
    <row r="5121" spans="1:7" x14ac:dyDescent="0.25">
      <c r="A5121" s="24" t="s">
        <v>599</v>
      </c>
      <c r="B5121" s="24" t="s">
        <v>27</v>
      </c>
      <c r="C5121" s="24" t="s">
        <v>5</v>
      </c>
      <c r="D5121" s="24">
        <v>0</v>
      </c>
      <c r="E5121" s="24" t="s">
        <v>799</v>
      </c>
      <c r="F5121" s="24" t="s">
        <v>1136</v>
      </c>
      <c r="G5121" s="24">
        <v>171704</v>
      </c>
    </row>
    <row r="5122" spans="1:7" x14ac:dyDescent="0.25">
      <c r="A5122" s="24" t="s">
        <v>599</v>
      </c>
      <c r="B5122" s="24" t="s">
        <v>28</v>
      </c>
      <c r="C5122" s="24" t="s">
        <v>5</v>
      </c>
      <c r="D5122" s="24">
        <v>0</v>
      </c>
      <c r="E5122" s="24" t="s">
        <v>799</v>
      </c>
      <c r="F5122" s="24" t="s">
        <v>1136</v>
      </c>
      <c r="G5122" s="24">
        <v>171704</v>
      </c>
    </row>
    <row r="5123" spans="1:7" x14ac:dyDescent="0.25">
      <c r="A5123" s="24" t="s">
        <v>599</v>
      </c>
      <c r="B5123" s="24" t="s">
        <v>29</v>
      </c>
      <c r="C5123" s="24" t="s">
        <v>5</v>
      </c>
      <c r="D5123" s="24">
        <v>0</v>
      </c>
      <c r="E5123" s="24" t="s">
        <v>799</v>
      </c>
      <c r="F5123" s="24" t="s">
        <v>1136</v>
      </c>
      <c r="G5123" s="24">
        <v>171704</v>
      </c>
    </row>
    <row r="5124" spans="1:7" x14ac:dyDescent="0.25">
      <c r="A5124" s="24" t="s">
        <v>599</v>
      </c>
      <c r="B5124" s="24" t="s">
        <v>30</v>
      </c>
      <c r="C5124" s="24" t="s">
        <v>31</v>
      </c>
      <c r="D5124" s="24">
        <v>0</v>
      </c>
      <c r="E5124" s="24" t="s">
        <v>801</v>
      </c>
      <c r="F5124" s="24" t="s">
        <v>1136</v>
      </c>
      <c r="G5124" s="24">
        <v>171704</v>
      </c>
    </row>
    <row r="5125" spans="1:7" x14ac:dyDescent="0.25">
      <c r="A5125" s="24" t="s">
        <v>599</v>
      </c>
      <c r="B5125" s="24" t="s">
        <v>32</v>
      </c>
      <c r="C5125" s="24" t="s">
        <v>33</v>
      </c>
      <c r="D5125" s="24">
        <v>7.3</v>
      </c>
      <c r="E5125" s="24" t="s">
        <v>796</v>
      </c>
      <c r="F5125" s="24" t="s">
        <v>1136</v>
      </c>
      <c r="G5125" s="24">
        <v>171704</v>
      </c>
    </row>
    <row r="5126" spans="1:7" x14ac:dyDescent="0.25">
      <c r="A5126" s="24" t="s">
        <v>599</v>
      </c>
      <c r="B5126" s="24" t="s">
        <v>34</v>
      </c>
      <c r="C5126" s="24" t="s">
        <v>31</v>
      </c>
      <c r="D5126" s="24">
        <v>13.6</v>
      </c>
      <c r="E5126" s="24" t="s">
        <v>796</v>
      </c>
      <c r="F5126" s="24" t="s">
        <v>1136</v>
      </c>
      <c r="G5126" s="24">
        <v>171704</v>
      </c>
    </row>
    <row r="5127" spans="1:7" x14ac:dyDescent="0.25">
      <c r="A5127" s="24" t="s">
        <v>599</v>
      </c>
      <c r="B5127" s="24" t="s">
        <v>35</v>
      </c>
      <c r="C5127" s="24" t="s">
        <v>36</v>
      </c>
      <c r="D5127" s="24">
        <v>0</v>
      </c>
      <c r="E5127" s="24" t="s">
        <v>796</v>
      </c>
      <c r="F5127" s="24" t="s">
        <v>1136</v>
      </c>
      <c r="G5127" s="24">
        <v>171704</v>
      </c>
    </row>
    <row r="5128" spans="1:7" x14ac:dyDescent="0.25">
      <c r="A5128" s="24" t="s">
        <v>599</v>
      </c>
      <c r="B5128" s="24" t="s">
        <v>37</v>
      </c>
      <c r="C5128" s="24" t="s">
        <v>38</v>
      </c>
      <c r="D5128" s="24">
        <v>0.2</v>
      </c>
      <c r="E5128" s="24" t="s">
        <v>796</v>
      </c>
      <c r="F5128" s="24" t="s">
        <v>1136</v>
      </c>
      <c r="G5128" s="24">
        <v>171704</v>
      </c>
    </row>
    <row r="5129" spans="1:7" x14ac:dyDescent="0.25">
      <c r="A5129" s="24" t="s">
        <v>599</v>
      </c>
      <c r="B5129" s="24" t="s">
        <v>39</v>
      </c>
      <c r="C5129" s="24" t="s">
        <v>36</v>
      </c>
      <c r="D5129" s="24">
        <v>0.6</v>
      </c>
      <c r="E5129" s="24" t="s">
        <v>796</v>
      </c>
      <c r="F5129" s="24" t="s">
        <v>1136</v>
      </c>
      <c r="G5129" s="24">
        <v>171704</v>
      </c>
    </row>
    <row r="5130" spans="1:7" x14ac:dyDescent="0.25">
      <c r="A5130" s="24" t="s">
        <v>599</v>
      </c>
      <c r="B5130" s="24" t="s">
        <v>40</v>
      </c>
      <c r="C5130" s="24" t="s">
        <v>31</v>
      </c>
      <c r="D5130" s="24">
        <v>0</v>
      </c>
      <c r="E5130" s="24" t="s">
        <v>796</v>
      </c>
      <c r="F5130" s="24" t="s">
        <v>1136</v>
      </c>
      <c r="G5130" s="24">
        <v>171704</v>
      </c>
    </row>
    <row r="5131" spans="1:7" x14ac:dyDescent="0.25">
      <c r="A5131" s="24" t="s">
        <v>599</v>
      </c>
      <c r="B5131" s="24" t="s">
        <v>41</v>
      </c>
      <c r="C5131" s="24" t="s">
        <v>31</v>
      </c>
      <c r="D5131" s="24">
        <v>0</v>
      </c>
      <c r="E5131" s="24" t="s">
        <v>796</v>
      </c>
      <c r="F5131" s="24" t="s">
        <v>1136</v>
      </c>
      <c r="G5131" s="24">
        <v>171704</v>
      </c>
    </row>
    <row r="5132" spans="1:7" x14ac:dyDescent="0.25">
      <c r="A5132" s="24" t="s">
        <v>599</v>
      </c>
      <c r="B5132" s="24" t="s">
        <v>42</v>
      </c>
      <c r="C5132" s="24" t="s">
        <v>43</v>
      </c>
      <c r="D5132" s="24">
        <v>0.1</v>
      </c>
      <c r="E5132" s="24" t="s">
        <v>796</v>
      </c>
      <c r="F5132" s="24" t="s">
        <v>1136</v>
      </c>
      <c r="G5132" s="24">
        <v>171704</v>
      </c>
    </row>
    <row r="5133" spans="1:7" x14ac:dyDescent="0.25">
      <c r="A5133" s="24" t="s">
        <v>599</v>
      </c>
      <c r="B5133" s="24" t="s">
        <v>44</v>
      </c>
      <c r="C5133" s="24" t="s">
        <v>31</v>
      </c>
      <c r="D5133" s="24">
        <v>0</v>
      </c>
      <c r="E5133" s="24" t="s">
        <v>796</v>
      </c>
      <c r="F5133" s="24" t="s">
        <v>1136</v>
      </c>
      <c r="G5133" s="24">
        <v>171704</v>
      </c>
    </row>
    <row r="5134" spans="1:7" x14ac:dyDescent="0.25">
      <c r="A5134" s="24" t="s">
        <v>599</v>
      </c>
      <c r="B5134" s="24" t="s">
        <v>45</v>
      </c>
      <c r="C5134" s="24" t="s">
        <v>31</v>
      </c>
      <c r="D5134" s="24">
        <v>0</v>
      </c>
      <c r="E5134" s="24" t="s">
        <v>796</v>
      </c>
      <c r="F5134" s="24" t="s">
        <v>1136</v>
      </c>
      <c r="G5134" s="24">
        <v>171704</v>
      </c>
    </row>
    <row r="5135" spans="1:7" x14ac:dyDescent="0.25">
      <c r="A5135" s="24" t="s">
        <v>599</v>
      </c>
      <c r="B5135" s="24" t="s">
        <v>46</v>
      </c>
      <c r="C5135" s="24" t="s">
        <v>36</v>
      </c>
      <c r="D5135" s="24">
        <v>0</v>
      </c>
      <c r="E5135" s="24" t="s">
        <v>796</v>
      </c>
      <c r="F5135" s="24" t="s">
        <v>1136</v>
      </c>
      <c r="G5135" s="24">
        <v>171704</v>
      </c>
    </row>
    <row r="5136" spans="1:7" x14ac:dyDescent="0.25">
      <c r="A5136" s="24" t="s">
        <v>599</v>
      </c>
      <c r="B5136" s="24" t="s">
        <v>47</v>
      </c>
      <c r="C5136" s="24" t="s">
        <v>48</v>
      </c>
      <c r="D5136" s="24">
        <v>0.5</v>
      </c>
      <c r="E5136" s="24" t="s">
        <v>796</v>
      </c>
      <c r="F5136" s="24" t="s">
        <v>1136</v>
      </c>
      <c r="G5136" s="24">
        <v>171704</v>
      </c>
    </row>
    <row r="5137" spans="1:7" x14ac:dyDescent="0.25">
      <c r="A5137" s="24" t="s">
        <v>599</v>
      </c>
      <c r="B5137" s="24" t="s">
        <v>50</v>
      </c>
      <c r="C5137" s="24" t="s">
        <v>31</v>
      </c>
      <c r="D5137" s="24">
        <v>30.8</v>
      </c>
      <c r="E5137" s="24" t="s">
        <v>796</v>
      </c>
      <c r="F5137" s="24" t="s">
        <v>1136</v>
      </c>
      <c r="G5137" s="24">
        <v>171704</v>
      </c>
    </row>
    <row r="5138" spans="1:7" x14ac:dyDescent="0.25">
      <c r="A5138" s="24" t="s">
        <v>599</v>
      </c>
      <c r="B5138" s="24" t="s">
        <v>51</v>
      </c>
      <c r="C5138" s="24" t="s">
        <v>31</v>
      </c>
      <c r="D5138" s="24">
        <v>5.0999999999999996</v>
      </c>
      <c r="E5138" s="24" t="s">
        <v>796</v>
      </c>
      <c r="F5138" s="24" t="s">
        <v>1136</v>
      </c>
      <c r="G5138" s="24">
        <v>171704</v>
      </c>
    </row>
    <row r="5139" spans="1:7" x14ac:dyDescent="0.25">
      <c r="A5139" s="24" t="s">
        <v>599</v>
      </c>
      <c r="B5139" s="24" t="s">
        <v>52</v>
      </c>
      <c r="C5139" s="24" t="s">
        <v>31</v>
      </c>
      <c r="D5139" s="24">
        <v>2.2999999999999998</v>
      </c>
      <c r="E5139" s="24" t="s">
        <v>796</v>
      </c>
      <c r="F5139" s="24" t="s">
        <v>1136</v>
      </c>
      <c r="G5139" s="24">
        <v>171704</v>
      </c>
    </row>
    <row r="5140" spans="1:7" x14ac:dyDescent="0.25">
      <c r="A5140" s="24" t="s">
        <v>599</v>
      </c>
      <c r="B5140" s="24" t="s">
        <v>53</v>
      </c>
      <c r="C5140" s="24" t="s">
        <v>31</v>
      </c>
      <c r="D5140" s="24">
        <v>2.2999999999999998</v>
      </c>
      <c r="E5140" s="24" t="s">
        <v>796</v>
      </c>
      <c r="F5140" s="24" t="s">
        <v>1136</v>
      </c>
      <c r="G5140" s="24">
        <v>171704</v>
      </c>
    </row>
    <row r="5141" spans="1:7" x14ac:dyDescent="0.25">
      <c r="A5141" s="24" t="s">
        <v>599</v>
      </c>
      <c r="B5141" s="24" t="s">
        <v>54</v>
      </c>
      <c r="C5141" s="24" t="s">
        <v>31</v>
      </c>
      <c r="D5141" s="24">
        <v>0</v>
      </c>
      <c r="E5141" s="24" t="s">
        <v>796</v>
      </c>
      <c r="F5141" s="24" t="s">
        <v>1136</v>
      </c>
      <c r="G5141" s="24">
        <v>171704</v>
      </c>
    </row>
    <row r="5142" spans="1:7" x14ac:dyDescent="0.25">
      <c r="A5142" s="24" t="s">
        <v>599</v>
      </c>
      <c r="B5142" s="24" t="s">
        <v>55</v>
      </c>
      <c r="C5142" s="24" t="s">
        <v>31</v>
      </c>
      <c r="D5142" s="24">
        <v>0</v>
      </c>
      <c r="E5142" s="24" t="s">
        <v>796</v>
      </c>
      <c r="F5142" s="24" t="s">
        <v>1136</v>
      </c>
      <c r="G5142" s="24">
        <v>171704</v>
      </c>
    </row>
    <row r="5143" spans="1:7" x14ac:dyDescent="0.25">
      <c r="A5143" s="24" t="s">
        <v>599</v>
      </c>
      <c r="B5143" s="24" t="s">
        <v>56</v>
      </c>
      <c r="C5143" s="24" t="s">
        <v>31</v>
      </c>
      <c r="D5143" s="24">
        <v>0</v>
      </c>
      <c r="E5143" s="24" t="s">
        <v>796</v>
      </c>
      <c r="F5143" s="24" t="s">
        <v>1136</v>
      </c>
      <c r="G5143" s="24">
        <v>171704</v>
      </c>
    </row>
    <row r="5144" spans="1:7" x14ac:dyDescent="0.25">
      <c r="A5144" s="24" t="s">
        <v>599</v>
      </c>
      <c r="B5144" s="24" t="s">
        <v>57</v>
      </c>
      <c r="C5144" s="24" t="s">
        <v>36</v>
      </c>
      <c r="D5144" s="24">
        <v>0</v>
      </c>
      <c r="E5144" s="24" t="s">
        <v>796</v>
      </c>
      <c r="F5144" s="24" t="s">
        <v>1136</v>
      </c>
      <c r="G5144" s="24">
        <v>171704</v>
      </c>
    </row>
    <row r="5145" spans="1:7" x14ac:dyDescent="0.25">
      <c r="A5145" s="24" t="s">
        <v>599</v>
      </c>
      <c r="B5145" s="24" t="s">
        <v>58</v>
      </c>
      <c r="C5145" s="24" t="s">
        <v>5</v>
      </c>
      <c r="D5145" s="24">
        <v>0</v>
      </c>
      <c r="E5145" s="24" t="s">
        <v>795</v>
      </c>
      <c r="F5145" s="24"/>
      <c r="G5145" s="24"/>
    </row>
    <row r="5146" spans="1:7" x14ac:dyDescent="0.25">
      <c r="A5146" s="24" t="s">
        <v>600</v>
      </c>
      <c r="B5146" s="24" t="s">
        <v>20</v>
      </c>
      <c r="C5146" s="24" t="s">
        <v>5</v>
      </c>
      <c r="D5146" s="24">
        <v>0.1</v>
      </c>
      <c r="E5146" s="24" t="s">
        <v>796</v>
      </c>
      <c r="F5146" s="24" t="s">
        <v>1136</v>
      </c>
      <c r="G5146" s="24">
        <v>171704</v>
      </c>
    </row>
    <row r="5147" spans="1:7" x14ac:dyDescent="0.25">
      <c r="A5147" s="24" t="s">
        <v>600</v>
      </c>
      <c r="B5147" s="24" t="s">
        <v>24</v>
      </c>
      <c r="C5147" s="24" t="s">
        <v>5</v>
      </c>
      <c r="D5147" s="24">
        <v>0.1</v>
      </c>
      <c r="E5147" s="24" t="s">
        <v>801</v>
      </c>
      <c r="F5147" s="24" t="s">
        <v>1136</v>
      </c>
      <c r="G5147" s="24">
        <v>171704</v>
      </c>
    </row>
    <row r="5148" spans="1:7" x14ac:dyDescent="0.25">
      <c r="A5148" s="24" t="s">
        <v>600</v>
      </c>
      <c r="B5148" s="24" t="s">
        <v>26</v>
      </c>
      <c r="C5148" s="24" t="s">
        <v>5</v>
      </c>
      <c r="D5148" s="24">
        <v>0.01</v>
      </c>
      <c r="E5148" s="24" t="s">
        <v>799</v>
      </c>
      <c r="F5148" s="24" t="s">
        <v>1136</v>
      </c>
      <c r="G5148" s="24">
        <v>171704</v>
      </c>
    </row>
    <row r="5149" spans="1:7" x14ac:dyDescent="0.25">
      <c r="A5149" s="24" t="s">
        <v>600</v>
      </c>
      <c r="B5149" s="24" t="s">
        <v>27</v>
      </c>
      <c r="C5149" s="24" t="s">
        <v>5</v>
      </c>
      <c r="D5149" s="24">
        <v>0.04</v>
      </c>
      <c r="E5149" s="24" t="s">
        <v>799</v>
      </c>
      <c r="F5149" s="24" t="s">
        <v>1136</v>
      </c>
      <c r="G5149" s="24">
        <v>171704</v>
      </c>
    </row>
    <row r="5150" spans="1:7" x14ac:dyDescent="0.25">
      <c r="A5150" s="24" t="s">
        <v>600</v>
      </c>
      <c r="B5150" s="24" t="s">
        <v>28</v>
      </c>
      <c r="C5150" s="24" t="s">
        <v>5</v>
      </c>
      <c r="D5150" s="24">
        <v>0.02</v>
      </c>
      <c r="E5150" s="24" t="s">
        <v>799</v>
      </c>
      <c r="F5150" s="24" t="s">
        <v>1136</v>
      </c>
      <c r="G5150" s="24">
        <v>171704</v>
      </c>
    </row>
    <row r="5151" spans="1:7" x14ac:dyDescent="0.25">
      <c r="A5151" s="24" t="s">
        <v>600</v>
      </c>
      <c r="B5151" s="24" t="s">
        <v>29</v>
      </c>
      <c r="C5151" s="24" t="s">
        <v>5</v>
      </c>
      <c r="D5151" s="24">
        <v>0</v>
      </c>
      <c r="E5151" s="24" t="s">
        <v>799</v>
      </c>
      <c r="F5151" s="24" t="s">
        <v>1136</v>
      </c>
      <c r="G5151" s="24">
        <v>171704</v>
      </c>
    </row>
    <row r="5152" spans="1:7" x14ac:dyDescent="0.25">
      <c r="A5152" s="24" t="s">
        <v>600</v>
      </c>
      <c r="B5152" s="24" t="s">
        <v>30</v>
      </c>
      <c r="C5152" s="24" t="s">
        <v>31</v>
      </c>
      <c r="D5152" s="24">
        <v>0</v>
      </c>
      <c r="E5152" s="24" t="s">
        <v>801</v>
      </c>
      <c r="F5152" s="24" t="s">
        <v>1136</v>
      </c>
      <c r="G5152" s="24">
        <v>171704</v>
      </c>
    </row>
    <row r="5153" spans="1:7" x14ac:dyDescent="0.25">
      <c r="A5153" s="24" t="s">
        <v>600</v>
      </c>
      <c r="B5153" s="24" t="s">
        <v>32</v>
      </c>
      <c r="C5153" s="24" t="s">
        <v>33</v>
      </c>
      <c r="D5153" s="24">
        <v>16</v>
      </c>
      <c r="E5153" s="24" t="s">
        <v>801</v>
      </c>
      <c r="F5153" s="24" t="s">
        <v>1136</v>
      </c>
      <c r="G5153" s="24">
        <v>171704</v>
      </c>
    </row>
    <row r="5154" spans="1:7" x14ac:dyDescent="0.25">
      <c r="A5154" s="24" t="s">
        <v>600</v>
      </c>
      <c r="B5154" s="24" t="s">
        <v>34</v>
      </c>
      <c r="C5154" s="24" t="s">
        <v>31</v>
      </c>
      <c r="D5154" s="24">
        <v>29.7</v>
      </c>
      <c r="E5154" s="24" t="s">
        <v>801</v>
      </c>
      <c r="F5154" s="24" t="s">
        <v>1136</v>
      </c>
      <c r="G5154" s="24">
        <v>171704</v>
      </c>
    </row>
    <row r="5155" spans="1:7" x14ac:dyDescent="0.25">
      <c r="A5155" s="24" t="s">
        <v>600</v>
      </c>
      <c r="B5155" s="24" t="s">
        <v>35</v>
      </c>
      <c r="C5155" s="24" t="s">
        <v>36</v>
      </c>
      <c r="D5155" s="24">
        <v>0</v>
      </c>
      <c r="E5155" s="24" t="s">
        <v>801</v>
      </c>
      <c r="F5155" s="24" t="s">
        <v>1136</v>
      </c>
      <c r="G5155" s="24">
        <v>171704</v>
      </c>
    </row>
    <row r="5156" spans="1:7" x14ac:dyDescent="0.25">
      <c r="A5156" s="24" t="s">
        <v>600</v>
      </c>
      <c r="B5156" s="24" t="s">
        <v>37</v>
      </c>
      <c r="C5156" s="24" t="s">
        <v>38</v>
      </c>
      <c r="D5156" s="24">
        <v>0.4</v>
      </c>
      <c r="E5156" s="24" t="s">
        <v>801</v>
      </c>
      <c r="F5156" s="24" t="s">
        <v>1136</v>
      </c>
      <c r="G5156" s="24">
        <v>171704</v>
      </c>
    </row>
    <row r="5157" spans="1:7" x14ac:dyDescent="0.25">
      <c r="A5157" s="24" t="s">
        <v>600</v>
      </c>
      <c r="B5157" s="24" t="s">
        <v>39</v>
      </c>
      <c r="C5157" s="24" t="s">
        <v>36</v>
      </c>
      <c r="D5157" s="24">
        <v>1.2</v>
      </c>
      <c r="E5157" s="24" t="s">
        <v>801</v>
      </c>
      <c r="F5157" s="24" t="s">
        <v>1136</v>
      </c>
      <c r="G5157" s="24">
        <v>171704</v>
      </c>
    </row>
    <row r="5158" spans="1:7" x14ac:dyDescent="0.25">
      <c r="A5158" s="24" t="s">
        <v>600</v>
      </c>
      <c r="B5158" s="24" t="s">
        <v>40</v>
      </c>
      <c r="C5158" s="24" t="s">
        <v>31</v>
      </c>
      <c r="D5158" s="24">
        <v>0.1</v>
      </c>
      <c r="E5158" s="24" t="s">
        <v>801</v>
      </c>
      <c r="F5158" s="24" t="s">
        <v>1136</v>
      </c>
      <c r="G5158" s="24">
        <v>171704</v>
      </c>
    </row>
    <row r="5159" spans="1:7" x14ac:dyDescent="0.25">
      <c r="A5159" s="24" t="s">
        <v>600</v>
      </c>
      <c r="B5159" s="24" t="s">
        <v>41</v>
      </c>
      <c r="C5159" s="24" t="s">
        <v>31</v>
      </c>
      <c r="D5159" s="24">
        <v>0</v>
      </c>
      <c r="E5159" s="24" t="s">
        <v>801</v>
      </c>
      <c r="F5159" s="24" t="s">
        <v>1136</v>
      </c>
      <c r="G5159" s="24">
        <v>171704</v>
      </c>
    </row>
    <row r="5160" spans="1:7" x14ac:dyDescent="0.25">
      <c r="A5160" s="24" t="s">
        <v>600</v>
      </c>
      <c r="B5160" s="24" t="s">
        <v>42</v>
      </c>
      <c r="C5160" s="24" t="s">
        <v>43</v>
      </c>
      <c r="D5160" s="24">
        <v>0.1</v>
      </c>
      <c r="E5160" s="24" t="s">
        <v>801</v>
      </c>
      <c r="F5160" s="24" t="s">
        <v>1136</v>
      </c>
      <c r="G5160" s="24">
        <v>171704</v>
      </c>
    </row>
    <row r="5161" spans="1:7" x14ac:dyDescent="0.25">
      <c r="A5161" s="24" t="s">
        <v>600</v>
      </c>
      <c r="B5161" s="24" t="s">
        <v>44</v>
      </c>
      <c r="C5161" s="24" t="s">
        <v>31</v>
      </c>
      <c r="D5161" s="24">
        <v>0</v>
      </c>
      <c r="E5161" s="24" t="s">
        <v>801</v>
      </c>
      <c r="F5161" s="24" t="s">
        <v>1136</v>
      </c>
      <c r="G5161" s="24">
        <v>171704</v>
      </c>
    </row>
    <row r="5162" spans="1:7" x14ac:dyDescent="0.25">
      <c r="A5162" s="24" t="s">
        <v>600</v>
      </c>
      <c r="B5162" s="24" t="s">
        <v>45</v>
      </c>
      <c r="C5162" s="24" t="s">
        <v>31</v>
      </c>
      <c r="D5162" s="24">
        <v>0</v>
      </c>
      <c r="E5162" s="24" t="s">
        <v>801</v>
      </c>
      <c r="F5162" s="24" t="s">
        <v>1136</v>
      </c>
      <c r="G5162" s="24">
        <v>171704</v>
      </c>
    </row>
    <row r="5163" spans="1:7" x14ac:dyDescent="0.25">
      <c r="A5163" s="24" t="s">
        <v>600</v>
      </c>
      <c r="B5163" s="24" t="s">
        <v>46</v>
      </c>
      <c r="C5163" s="24" t="s">
        <v>36</v>
      </c>
      <c r="D5163" s="24">
        <v>0</v>
      </c>
      <c r="E5163" s="24" t="s">
        <v>801</v>
      </c>
      <c r="F5163" s="24" t="s">
        <v>1136</v>
      </c>
      <c r="G5163" s="24">
        <v>171704</v>
      </c>
    </row>
    <row r="5164" spans="1:7" x14ac:dyDescent="0.25">
      <c r="A5164" s="24" t="s">
        <v>600</v>
      </c>
      <c r="B5164" s="24" t="s">
        <v>47</v>
      </c>
      <c r="C5164" s="24" t="s">
        <v>48</v>
      </c>
      <c r="D5164" s="24">
        <v>1</v>
      </c>
      <c r="E5164" s="24" t="s">
        <v>801</v>
      </c>
      <c r="F5164" s="24" t="s">
        <v>1136</v>
      </c>
      <c r="G5164" s="24">
        <v>171704</v>
      </c>
    </row>
    <row r="5165" spans="1:7" x14ac:dyDescent="0.25">
      <c r="A5165" s="24" t="s">
        <v>600</v>
      </c>
      <c r="B5165" s="24" t="s">
        <v>50</v>
      </c>
      <c r="C5165" s="24" t="s">
        <v>31</v>
      </c>
      <c r="D5165" s="24">
        <v>67</v>
      </c>
      <c r="E5165" s="24" t="s">
        <v>801</v>
      </c>
      <c r="F5165" s="24" t="s">
        <v>1136</v>
      </c>
      <c r="G5165" s="24">
        <v>171704</v>
      </c>
    </row>
    <row r="5166" spans="1:7" x14ac:dyDescent="0.25">
      <c r="A5166" s="24" t="s">
        <v>600</v>
      </c>
      <c r="B5166" s="24" t="s">
        <v>51</v>
      </c>
      <c r="C5166" s="24" t="s">
        <v>31</v>
      </c>
      <c r="D5166" s="24">
        <v>11</v>
      </c>
      <c r="E5166" s="24" t="s">
        <v>801</v>
      </c>
      <c r="F5166" s="24" t="s">
        <v>1136</v>
      </c>
      <c r="G5166" s="24">
        <v>171704</v>
      </c>
    </row>
    <row r="5167" spans="1:7" x14ac:dyDescent="0.25">
      <c r="A5167" s="24" t="s">
        <v>600</v>
      </c>
      <c r="B5167" s="24" t="s">
        <v>52</v>
      </c>
      <c r="C5167" s="24" t="s">
        <v>31</v>
      </c>
      <c r="D5167" s="24">
        <v>5</v>
      </c>
      <c r="E5167" s="24" t="s">
        <v>801</v>
      </c>
      <c r="F5167" s="24" t="s">
        <v>1136</v>
      </c>
      <c r="G5167" s="24">
        <v>171704</v>
      </c>
    </row>
    <row r="5168" spans="1:7" x14ac:dyDescent="0.25">
      <c r="A5168" s="24" t="s">
        <v>600</v>
      </c>
      <c r="B5168" s="24" t="s">
        <v>53</v>
      </c>
      <c r="C5168" s="24" t="s">
        <v>31</v>
      </c>
      <c r="D5168" s="24">
        <v>5</v>
      </c>
      <c r="E5168" s="24" t="s">
        <v>801</v>
      </c>
      <c r="F5168" s="24" t="s">
        <v>1136</v>
      </c>
      <c r="G5168" s="24">
        <v>171704</v>
      </c>
    </row>
    <row r="5169" spans="1:7" x14ac:dyDescent="0.25">
      <c r="A5169" s="24" t="s">
        <v>600</v>
      </c>
      <c r="B5169" s="24" t="s">
        <v>54</v>
      </c>
      <c r="C5169" s="24" t="s">
        <v>31</v>
      </c>
      <c r="D5169" s="24">
        <v>0.1</v>
      </c>
      <c r="E5169" s="24" t="s">
        <v>801</v>
      </c>
      <c r="F5169" s="24" t="s">
        <v>1136</v>
      </c>
      <c r="G5169" s="24">
        <v>171704</v>
      </c>
    </row>
    <row r="5170" spans="1:7" x14ac:dyDescent="0.25">
      <c r="A5170" s="24" t="s">
        <v>600</v>
      </c>
      <c r="B5170" s="24" t="s">
        <v>55</v>
      </c>
      <c r="C5170" s="24" t="s">
        <v>31</v>
      </c>
      <c r="D5170" s="24">
        <v>0</v>
      </c>
      <c r="E5170" s="24" t="s">
        <v>801</v>
      </c>
      <c r="F5170" s="24" t="s">
        <v>1136</v>
      </c>
      <c r="G5170" s="24">
        <v>171704</v>
      </c>
    </row>
    <row r="5171" spans="1:7" x14ac:dyDescent="0.25">
      <c r="A5171" s="24" t="s">
        <v>600</v>
      </c>
      <c r="B5171" s="24" t="s">
        <v>56</v>
      </c>
      <c r="C5171" s="24" t="s">
        <v>31</v>
      </c>
      <c r="D5171" s="24">
        <v>0</v>
      </c>
      <c r="E5171" s="24" t="s">
        <v>801</v>
      </c>
      <c r="F5171" s="24" t="s">
        <v>1136</v>
      </c>
      <c r="G5171" s="24">
        <v>171704</v>
      </c>
    </row>
    <row r="5172" spans="1:7" x14ac:dyDescent="0.25">
      <c r="A5172" s="24" t="s">
        <v>600</v>
      </c>
      <c r="B5172" s="24" t="s">
        <v>57</v>
      </c>
      <c r="C5172" s="24" t="s">
        <v>36</v>
      </c>
      <c r="D5172" s="24">
        <v>0</v>
      </c>
      <c r="E5172" s="24" t="s">
        <v>801</v>
      </c>
      <c r="F5172" s="24" t="s">
        <v>1136</v>
      </c>
      <c r="G5172" s="24">
        <v>171704</v>
      </c>
    </row>
    <row r="5173" spans="1:7" x14ac:dyDescent="0.25">
      <c r="A5173" s="24" t="s">
        <v>600</v>
      </c>
      <c r="B5173" s="24" t="s">
        <v>58</v>
      </c>
      <c r="C5173" s="24" t="s">
        <v>5</v>
      </c>
      <c r="D5173" s="24">
        <v>0</v>
      </c>
      <c r="E5173" s="24" t="s">
        <v>795</v>
      </c>
      <c r="F5173" s="24"/>
      <c r="G5173" s="24"/>
    </row>
    <row r="5174" spans="1:7" x14ac:dyDescent="0.25">
      <c r="A5174" s="24" t="s">
        <v>600</v>
      </c>
      <c r="B5174" s="24" t="s">
        <v>18</v>
      </c>
      <c r="C5174" s="24" t="s">
        <v>5</v>
      </c>
      <c r="D5174" s="24">
        <v>97.5</v>
      </c>
      <c r="E5174" s="24" t="s">
        <v>803</v>
      </c>
      <c r="F5174" s="24"/>
      <c r="G5174" s="24"/>
    </row>
    <row r="5175" spans="1:7" x14ac:dyDescent="0.25">
      <c r="A5175" s="24" t="s">
        <v>601</v>
      </c>
      <c r="B5175" s="24" t="s">
        <v>26</v>
      </c>
      <c r="C5175" s="24" t="s">
        <v>5</v>
      </c>
      <c r="D5175" s="24">
        <v>0</v>
      </c>
      <c r="E5175" s="24" t="s">
        <v>799</v>
      </c>
      <c r="F5175" s="24" t="s">
        <v>1137</v>
      </c>
      <c r="G5175" s="24">
        <v>169117</v>
      </c>
    </row>
    <row r="5176" spans="1:7" x14ac:dyDescent="0.25">
      <c r="A5176" s="24" t="s">
        <v>601</v>
      </c>
      <c r="B5176" s="24" t="s">
        <v>27</v>
      </c>
      <c r="C5176" s="24" t="s">
        <v>5</v>
      </c>
      <c r="D5176" s="24">
        <v>0</v>
      </c>
      <c r="E5176" s="24" t="s">
        <v>799</v>
      </c>
      <c r="F5176" s="24" t="s">
        <v>1137</v>
      </c>
      <c r="G5176" s="24">
        <v>169117</v>
      </c>
    </row>
    <row r="5177" spans="1:7" x14ac:dyDescent="0.25">
      <c r="A5177" s="24" t="s">
        <v>601</v>
      </c>
      <c r="B5177" s="24" t="s">
        <v>28</v>
      </c>
      <c r="C5177" s="24" t="s">
        <v>5</v>
      </c>
      <c r="D5177" s="24">
        <v>0</v>
      </c>
      <c r="E5177" s="24" t="s">
        <v>799</v>
      </c>
      <c r="F5177" s="24" t="s">
        <v>1137</v>
      </c>
      <c r="G5177" s="24">
        <v>169117</v>
      </c>
    </row>
    <row r="5178" spans="1:7" x14ac:dyDescent="0.25">
      <c r="A5178" s="24" t="s">
        <v>601</v>
      </c>
      <c r="B5178" s="24" t="s">
        <v>29</v>
      </c>
      <c r="C5178" s="24" t="s">
        <v>5</v>
      </c>
      <c r="D5178" s="24">
        <v>0</v>
      </c>
      <c r="E5178" s="24" t="s">
        <v>799</v>
      </c>
      <c r="F5178" s="24" t="s">
        <v>1137</v>
      </c>
      <c r="G5178" s="24">
        <v>169117</v>
      </c>
    </row>
    <row r="5179" spans="1:7" x14ac:dyDescent="0.25">
      <c r="A5179" s="24" t="s">
        <v>601</v>
      </c>
      <c r="B5179" s="24" t="s">
        <v>30</v>
      </c>
      <c r="C5179" s="24" t="s">
        <v>31</v>
      </c>
      <c r="D5179" s="24">
        <v>0</v>
      </c>
      <c r="E5179" s="24" t="s">
        <v>801</v>
      </c>
      <c r="F5179" s="24" t="s">
        <v>1137</v>
      </c>
      <c r="G5179" s="24">
        <v>169117</v>
      </c>
    </row>
    <row r="5180" spans="1:7" x14ac:dyDescent="0.25">
      <c r="A5180" s="24" t="s">
        <v>601</v>
      </c>
      <c r="B5180" s="24" t="s">
        <v>32</v>
      </c>
      <c r="C5180" s="24" t="s">
        <v>33</v>
      </c>
      <c r="D5180" s="24">
        <v>8.9</v>
      </c>
      <c r="E5180" s="24" t="s">
        <v>796</v>
      </c>
      <c r="F5180" s="24" t="s">
        <v>1137</v>
      </c>
      <c r="G5180" s="24">
        <v>169117</v>
      </c>
    </row>
    <row r="5181" spans="1:7" x14ac:dyDescent="0.25">
      <c r="A5181" s="24" t="s">
        <v>601</v>
      </c>
      <c r="B5181" s="24" t="s">
        <v>34</v>
      </c>
      <c r="C5181" s="24" t="s">
        <v>31</v>
      </c>
      <c r="D5181" s="24">
        <v>0</v>
      </c>
      <c r="E5181" s="24" t="s">
        <v>796</v>
      </c>
      <c r="F5181" s="24" t="s">
        <v>1137</v>
      </c>
      <c r="G5181" s="24">
        <v>169117</v>
      </c>
    </row>
    <row r="5182" spans="1:7" x14ac:dyDescent="0.25">
      <c r="A5182" s="24" t="s">
        <v>601</v>
      </c>
      <c r="B5182" s="24" t="s">
        <v>35</v>
      </c>
      <c r="C5182" s="24" t="s">
        <v>36</v>
      </c>
      <c r="D5182" s="24">
        <v>0</v>
      </c>
      <c r="E5182" s="24" t="s">
        <v>796</v>
      </c>
      <c r="F5182" s="24" t="s">
        <v>1137</v>
      </c>
      <c r="G5182" s="24">
        <v>169117</v>
      </c>
    </row>
    <row r="5183" spans="1:7" x14ac:dyDescent="0.25">
      <c r="A5183" s="24" t="s">
        <v>601</v>
      </c>
      <c r="B5183" s="24" t="s">
        <v>37</v>
      </c>
      <c r="C5183" s="24" t="s">
        <v>38</v>
      </c>
      <c r="D5183" s="24">
        <v>0.2</v>
      </c>
      <c r="E5183" s="24" t="s">
        <v>796</v>
      </c>
      <c r="F5183" s="24" t="s">
        <v>1137</v>
      </c>
      <c r="G5183" s="24">
        <v>169117</v>
      </c>
    </row>
    <row r="5184" spans="1:7" x14ac:dyDescent="0.25">
      <c r="A5184" s="24" t="s">
        <v>601</v>
      </c>
      <c r="B5184" s="24" t="s">
        <v>39</v>
      </c>
      <c r="C5184" s="24" t="s">
        <v>36</v>
      </c>
      <c r="D5184" s="24">
        <v>0.7</v>
      </c>
      <c r="E5184" s="24" t="s">
        <v>796</v>
      </c>
      <c r="F5184" s="24" t="s">
        <v>1137</v>
      </c>
      <c r="G5184" s="24">
        <v>169117</v>
      </c>
    </row>
    <row r="5185" spans="1:7" x14ac:dyDescent="0.25">
      <c r="A5185" s="24" t="s">
        <v>601</v>
      </c>
      <c r="B5185" s="24" t="s">
        <v>40</v>
      </c>
      <c r="C5185" s="24" t="s">
        <v>31</v>
      </c>
      <c r="D5185" s="24">
        <v>0</v>
      </c>
      <c r="E5185" s="24" t="s">
        <v>796</v>
      </c>
      <c r="F5185" s="24" t="s">
        <v>1137</v>
      </c>
      <c r="G5185" s="24">
        <v>169117</v>
      </c>
    </row>
    <row r="5186" spans="1:7" x14ac:dyDescent="0.25">
      <c r="A5186" s="24" t="s">
        <v>601</v>
      </c>
      <c r="B5186" s="24" t="s">
        <v>41</v>
      </c>
      <c r="C5186" s="24" t="s">
        <v>31</v>
      </c>
      <c r="D5186" s="24">
        <v>0</v>
      </c>
      <c r="E5186" s="24" t="s">
        <v>796</v>
      </c>
      <c r="F5186" s="24" t="s">
        <v>1137</v>
      </c>
      <c r="G5186" s="24">
        <v>169117</v>
      </c>
    </row>
    <row r="5187" spans="1:7" x14ac:dyDescent="0.25">
      <c r="A5187" s="24" t="s">
        <v>601</v>
      </c>
      <c r="B5187" s="24" t="s">
        <v>42</v>
      </c>
      <c r="C5187" s="24" t="s">
        <v>43</v>
      </c>
      <c r="D5187" s="24">
        <v>0.1</v>
      </c>
      <c r="E5187" s="24" t="s">
        <v>796</v>
      </c>
      <c r="F5187" s="24" t="s">
        <v>1137</v>
      </c>
      <c r="G5187" s="24">
        <v>169117</v>
      </c>
    </row>
    <row r="5188" spans="1:7" x14ac:dyDescent="0.25">
      <c r="A5188" s="24" t="s">
        <v>601</v>
      </c>
      <c r="B5188" s="24" t="s">
        <v>44</v>
      </c>
      <c r="C5188" s="24" t="s">
        <v>31</v>
      </c>
      <c r="D5188" s="24">
        <v>0</v>
      </c>
      <c r="E5188" s="24" t="s">
        <v>796</v>
      </c>
      <c r="F5188" s="24" t="s">
        <v>1137</v>
      </c>
      <c r="G5188" s="24">
        <v>169117</v>
      </c>
    </row>
    <row r="5189" spans="1:7" x14ac:dyDescent="0.25">
      <c r="A5189" s="24" t="s">
        <v>601</v>
      </c>
      <c r="B5189" s="24" t="s">
        <v>45</v>
      </c>
      <c r="C5189" s="24" t="s">
        <v>31</v>
      </c>
      <c r="D5189" s="24">
        <v>0</v>
      </c>
      <c r="E5189" s="24" t="s">
        <v>796</v>
      </c>
      <c r="F5189" s="24" t="s">
        <v>1137</v>
      </c>
      <c r="G5189" s="24">
        <v>169117</v>
      </c>
    </row>
    <row r="5190" spans="1:7" x14ac:dyDescent="0.25">
      <c r="A5190" s="24" t="s">
        <v>601</v>
      </c>
      <c r="B5190" s="24" t="s">
        <v>46</v>
      </c>
      <c r="C5190" s="24" t="s">
        <v>36</v>
      </c>
      <c r="D5190" s="24">
        <v>0</v>
      </c>
      <c r="E5190" s="24" t="s">
        <v>796</v>
      </c>
      <c r="F5190" s="24" t="s">
        <v>1137</v>
      </c>
      <c r="G5190" s="24">
        <v>169117</v>
      </c>
    </row>
    <row r="5191" spans="1:7" x14ac:dyDescent="0.25">
      <c r="A5191" s="24" t="s">
        <v>601</v>
      </c>
      <c r="B5191" s="24" t="s">
        <v>47</v>
      </c>
      <c r="C5191" s="24" t="s">
        <v>48</v>
      </c>
      <c r="D5191" s="24">
        <v>0.6</v>
      </c>
      <c r="E5191" s="24" t="s">
        <v>796</v>
      </c>
      <c r="F5191" s="24" t="s">
        <v>1137</v>
      </c>
      <c r="G5191" s="24">
        <v>169117</v>
      </c>
    </row>
    <row r="5192" spans="1:7" x14ac:dyDescent="0.25">
      <c r="A5192" s="24" t="s">
        <v>601</v>
      </c>
      <c r="B5192" s="24" t="s">
        <v>50</v>
      </c>
      <c r="C5192" s="24" t="s">
        <v>31</v>
      </c>
      <c r="D5192" s="24">
        <v>16.8</v>
      </c>
      <c r="E5192" s="24" t="s">
        <v>796</v>
      </c>
      <c r="F5192" s="24" t="s">
        <v>1137</v>
      </c>
      <c r="G5192" s="24">
        <v>169117</v>
      </c>
    </row>
    <row r="5193" spans="1:7" x14ac:dyDescent="0.25">
      <c r="A5193" s="24" t="s">
        <v>601</v>
      </c>
      <c r="B5193" s="24" t="s">
        <v>51</v>
      </c>
      <c r="C5193" s="24" t="s">
        <v>31</v>
      </c>
      <c r="D5193" s="24">
        <v>3.4</v>
      </c>
      <c r="E5193" s="24" t="s">
        <v>796</v>
      </c>
      <c r="F5193" s="24" t="s">
        <v>1137</v>
      </c>
      <c r="G5193" s="24">
        <v>169117</v>
      </c>
    </row>
    <row r="5194" spans="1:7" x14ac:dyDescent="0.25">
      <c r="A5194" s="24" t="s">
        <v>601</v>
      </c>
      <c r="B5194" s="24" t="s">
        <v>52</v>
      </c>
      <c r="C5194" s="24" t="s">
        <v>31</v>
      </c>
      <c r="D5194" s="24">
        <v>1.7</v>
      </c>
      <c r="E5194" s="24" t="s">
        <v>796</v>
      </c>
      <c r="F5194" s="24" t="s">
        <v>1137</v>
      </c>
      <c r="G5194" s="24">
        <v>169117</v>
      </c>
    </row>
    <row r="5195" spans="1:7" x14ac:dyDescent="0.25">
      <c r="A5195" s="24" t="s">
        <v>601</v>
      </c>
      <c r="B5195" s="24" t="s">
        <v>53</v>
      </c>
      <c r="C5195" s="24" t="s">
        <v>31</v>
      </c>
      <c r="D5195" s="24">
        <v>2.2000000000000002</v>
      </c>
      <c r="E5195" s="24" t="s">
        <v>796</v>
      </c>
      <c r="F5195" s="24" t="s">
        <v>1137</v>
      </c>
      <c r="G5195" s="24">
        <v>169117</v>
      </c>
    </row>
    <row r="5196" spans="1:7" x14ac:dyDescent="0.25">
      <c r="A5196" s="24" t="s">
        <v>601</v>
      </c>
      <c r="B5196" s="24" t="s">
        <v>54</v>
      </c>
      <c r="C5196" s="24" t="s">
        <v>31</v>
      </c>
      <c r="D5196" s="24">
        <v>0</v>
      </c>
      <c r="E5196" s="24" t="s">
        <v>796</v>
      </c>
      <c r="F5196" s="24" t="s">
        <v>1137</v>
      </c>
      <c r="G5196" s="24">
        <v>169117</v>
      </c>
    </row>
    <row r="5197" spans="1:7" x14ac:dyDescent="0.25">
      <c r="A5197" s="24" t="s">
        <v>601</v>
      </c>
      <c r="B5197" s="24" t="s">
        <v>55</v>
      </c>
      <c r="C5197" s="24" t="s">
        <v>31</v>
      </c>
      <c r="D5197" s="24">
        <v>0</v>
      </c>
      <c r="E5197" s="24" t="s">
        <v>796</v>
      </c>
      <c r="F5197" s="24" t="s">
        <v>1137</v>
      </c>
      <c r="G5197" s="24">
        <v>169117</v>
      </c>
    </row>
    <row r="5198" spans="1:7" x14ac:dyDescent="0.25">
      <c r="A5198" s="24" t="s">
        <v>601</v>
      </c>
      <c r="B5198" s="24" t="s">
        <v>56</v>
      </c>
      <c r="C5198" s="24" t="s">
        <v>31</v>
      </c>
      <c r="D5198" s="24">
        <v>0</v>
      </c>
      <c r="E5198" s="24" t="s">
        <v>796</v>
      </c>
      <c r="F5198" s="24" t="s">
        <v>1137</v>
      </c>
      <c r="G5198" s="24">
        <v>169117</v>
      </c>
    </row>
    <row r="5199" spans="1:7" x14ac:dyDescent="0.25">
      <c r="A5199" s="24" t="s">
        <v>601</v>
      </c>
      <c r="B5199" s="24" t="s">
        <v>57</v>
      </c>
      <c r="C5199" s="24" t="s">
        <v>36</v>
      </c>
      <c r="D5199" s="24">
        <v>0.1</v>
      </c>
      <c r="E5199" s="24" t="s">
        <v>796</v>
      </c>
      <c r="F5199" s="24" t="s">
        <v>1137</v>
      </c>
      <c r="G5199" s="24">
        <v>169117</v>
      </c>
    </row>
    <row r="5200" spans="1:7" x14ac:dyDescent="0.25">
      <c r="A5200" s="24" t="s">
        <v>601</v>
      </c>
      <c r="B5200" s="24" t="s">
        <v>58</v>
      </c>
      <c r="C5200" s="24" t="s">
        <v>5</v>
      </c>
      <c r="D5200" s="24">
        <v>0</v>
      </c>
      <c r="E5200" s="24" t="s">
        <v>795</v>
      </c>
      <c r="F5200" s="24"/>
      <c r="G5200" s="24"/>
    </row>
    <row r="5201" spans="1:7" x14ac:dyDescent="0.25">
      <c r="A5201" s="24" t="s">
        <v>602</v>
      </c>
      <c r="B5201" s="24" t="s">
        <v>23</v>
      </c>
      <c r="C5201" s="24" t="s">
        <v>5</v>
      </c>
      <c r="D5201" s="24">
        <v>3.3</v>
      </c>
      <c r="E5201" s="24" t="s">
        <v>796</v>
      </c>
      <c r="F5201" s="24" t="s">
        <v>1137</v>
      </c>
      <c r="G5201" s="24">
        <v>169117</v>
      </c>
    </row>
    <row r="5202" spans="1:7" x14ac:dyDescent="0.25">
      <c r="A5202" s="24" t="s">
        <v>602</v>
      </c>
      <c r="B5202" s="24" t="s">
        <v>26</v>
      </c>
      <c r="C5202" s="24" t="s">
        <v>5</v>
      </c>
      <c r="D5202" s="24">
        <v>0</v>
      </c>
      <c r="E5202" s="24" t="s">
        <v>799</v>
      </c>
      <c r="F5202" s="24" t="s">
        <v>1137</v>
      </c>
      <c r="G5202" s="24">
        <v>169117</v>
      </c>
    </row>
    <row r="5203" spans="1:7" x14ac:dyDescent="0.25">
      <c r="A5203" s="24" t="s">
        <v>602</v>
      </c>
      <c r="B5203" s="24" t="s">
        <v>27</v>
      </c>
      <c r="C5203" s="24" t="s">
        <v>5</v>
      </c>
      <c r="D5203" s="24">
        <v>0</v>
      </c>
      <c r="E5203" s="24" t="s">
        <v>799</v>
      </c>
      <c r="F5203" s="24" t="s">
        <v>1137</v>
      </c>
      <c r="G5203" s="24">
        <v>169117</v>
      </c>
    </row>
    <row r="5204" spans="1:7" x14ac:dyDescent="0.25">
      <c r="A5204" s="24" t="s">
        <v>602</v>
      </c>
      <c r="B5204" s="24" t="s">
        <v>28</v>
      </c>
      <c r="C5204" s="24" t="s">
        <v>5</v>
      </c>
      <c r="D5204" s="24">
        <v>0</v>
      </c>
      <c r="E5204" s="24" t="s">
        <v>799</v>
      </c>
      <c r="F5204" s="24" t="s">
        <v>1137</v>
      </c>
      <c r="G5204" s="24">
        <v>169117</v>
      </c>
    </row>
    <row r="5205" spans="1:7" x14ac:dyDescent="0.25">
      <c r="A5205" s="24" t="s">
        <v>602</v>
      </c>
      <c r="B5205" s="24" t="s">
        <v>29</v>
      </c>
      <c r="C5205" s="24" t="s">
        <v>5</v>
      </c>
      <c r="D5205" s="24">
        <v>0</v>
      </c>
      <c r="E5205" s="24" t="s">
        <v>799</v>
      </c>
      <c r="F5205" s="24" t="s">
        <v>1137</v>
      </c>
      <c r="G5205" s="24">
        <v>169117</v>
      </c>
    </row>
    <row r="5206" spans="1:7" x14ac:dyDescent="0.25">
      <c r="A5206" s="24" t="s">
        <v>602</v>
      </c>
      <c r="B5206" s="24" t="s">
        <v>30</v>
      </c>
      <c r="C5206" s="24" t="s">
        <v>31</v>
      </c>
      <c r="D5206" s="24">
        <v>0</v>
      </c>
      <c r="E5206" s="24" t="s">
        <v>801</v>
      </c>
      <c r="F5206" s="24" t="s">
        <v>1137</v>
      </c>
      <c r="G5206" s="24">
        <v>169117</v>
      </c>
    </row>
    <row r="5207" spans="1:7" x14ac:dyDescent="0.25">
      <c r="A5207" s="24" t="s">
        <v>602</v>
      </c>
      <c r="B5207" s="24" t="s">
        <v>32</v>
      </c>
      <c r="C5207" s="24" t="s">
        <v>33</v>
      </c>
      <c r="D5207" s="24">
        <v>5.3</v>
      </c>
      <c r="E5207" s="24" t="s">
        <v>796</v>
      </c>
      <c r="F5207" s="24" t="s">
        <v>1137</v>
      </c>
      <c r="G5207" s="24">
        <v>169117</v>
      </c>
    </row>
    <row r="5208" spans="1:7" x14ac:dyDescent="0.25">
      <c r="A5208" s="24" t="s">
        <v>602</v>
      </c>
      <c r="B5208" s="24" t="s">
        <v>34</v>
      </c>
      <c r="C5208" s="24" t="s">
        <v>31</v>
      </c>
      <c r="D5208" s="24">
        <v>0</v>
      </c>
      <c r="E5208" s="24" t="s">
        <v>796</v>
      </c>
      <c r="F5208" s="24" t="s">
        <v>1137</v>
      </c>
      <c r="G5208" s="24">
        <v>169117</v>
      </c>
    </row>
    <row r="5209" spans="1:7" x14ac:dyDescent="0.25">
      <c r="A5209" s="24" t="s">
        <v>602</v>
      </c>
      <c r="B5209" s="24" t="s">
        <v>35</v>
      </c>
      <c r="C5209" s="24" t="s">
        <v>36</v>
      </c>
      <c r="D5209" s="24">
        <v>0</v>
      </c>
      <c r="E5209" s="24" t="s">
        <v>796</v>
      </c>
      <c r="F5209" s="24" t="s">
        <v>1137</v>
      </c>
      <c r="G5209" s="24">
        <v>169117</v>
      </c>
    </row>
    <row r="5210" spans="1:7" x14ac:dyDescent="0.25">
      <c r="A5210" s="24" t="s">
        <v>602</v>
      </c>
      <c r="B5210" s="24" t="s">
        <v>37</v>
      </c>
      <c r="C5210" s="24" t="s">
        <v>38</v>
      </c>
      <c r="D5210" s="24">
        <v>0.1</v>
      </c>
      <c r="E5210" s="24" t="s">
        <v>796</v>
      </c>
      <c r="F5210" s="24" t="s">
        <v>1137</v>
      </c>
      <c r="G5210" s="24">
        <v>169117</v>
      </c>
    </row>
    <row r="5211" spans="1:7" x14ac:dyDescent="0.25">
      <c r="A5211" s="24" t="s">
        <v>602</v>
      </c>
      <c r="B5211" s="24" t="s">
        <v>39</v>
      </c>
      <c r="C5211" s="24" t="s">
        <v>36</v>
      </c>
      <c r="D5211" s="24">
        <v>0.4</v>
      </c>
      <c r="E5211" s="24" t="s">
        <v>796</v>
      </c>
      <c r="F5211" s="24" t="s">
        <v>1137</v>
      </c>
      <c r="G5211" s="24">
        <v>169117</v>
      </c>
    </row>
    <row r="5212" spans="1:7" x14ac:dyDescent="0.25">
      <c r="A5212" s="24" t="s">
        <v>602</v>
      </c>
      <c r="B5212" s="24" t="s">
        <v>40</v>
      </c>
      <c r="C5212" s="24" t="s">
        <v>31</v>
      </c>
      <c r="D5212" s="24">
        <v>0</v>
      </c>
      <c r="E5212" s="24" t="s">
        <v>796</v>
      </c>
      <c r="F5212" s="24" t="s">
        <v>1137</v>
      </c>
      <c r="G5212" s="24">
        <v>169117</v>
      </c>
    </row>
    <row r="5213" spans="1:7" x14ac:dyDescent="0.25">
      <c r="A5213" s="24" t="s">
        <v>602</v>
      </c>
      <c r="B5213" s="24" t="s">
        <v>41</v>
      </c>
      <c r="C5213" s="24" t="s">
        <v>31</v>
      </c>
      <c r="D5213" s="24">
        <v>0</v>
      </c>
      <c r="E5213" s="24" t="s">
        <v>796</v>
      </c>
      <c r="F5213" s="24" t="s">
        <v>1137</v>
      </c>
      <c r="G5213" s="24">
        <v>169117</v>
      </c>
    </row>
    <row r="5214" spans="1:7" x14ac:dyDescent="0.25">
      <c r="A5214" s="24" t="s">
        <v>602</v>
      </c>
      <c r="B5214" s="24" t="s">
        <v>42</v>
      </c>
      <c r="C5214" s="24" t="s">
        <v>43</v>
      </c>
      <c r="D5214" s="24">
        <v>0</v>
      </c>
      <c r="E5214" s="24" t="s">
        <v>796</v>
      </c>
      <c r="F5214" s="24" t="s">
        <v>1137</v>
      </c>
      <c r="G5214" s="24">
        <v>169117</v>
      </c>
    </row>
    <row r="5215" spans="1:7" x14ac:dyDescent="0.25">
      <c r="A5215" s="24" t="s">
        <v>602</v>
      </c>
      <c r="B5215" s="24" t="s">
        <v>44</v>
      </c>
      <c r="C5215" s="24" t="s">
        <v>31</v>
      </c>
      <c r="D5215" s="24">
        <v>0</v>
      </c>
      <c r="E5215" s="24" t="s">
        <v>796</v>
      </c>
      <c r="F5215" s="24" t="s">
        <v>1137</v>
      </c>
      <c r="G5215" s="24">
        <v>169117</v>
      </c>
    </row>
    <row r="5216" spans="1:7" x14ac:dyDescent="0.25">
      <c r="A5216" s="24" t="s">
        <v>602</v>
      </c>
      <c r="B5216" s="24" t="s">
        <v>45</v>
      </c>
      <c r="C5216" s="24" t="s">
        <v>31</v>
      </c>
      <c r="D5216" s="24">
        <v>0</v>
      </c>
      <c r="E5216" s="24" t="s">
        <v>796</v>
      </c>
      <c r="F5216" s="24" t="s">
        <v>1137</v>
      </c>
      <c r="G5216" s="24">
        <v>169117</v>
      </c>
    </row>
    <row r="5217" spans="1:7" x14ac:dyDescent="0.25">
      <c r="A5217" s="24" t="s">
        <v>602</v>
      </c>
      <c r="B5217" s="24" t="s">
        <v>46</v>
      </c>
      <c r="C5217" s="24" t="s">
        <v>36</v>
      </c>
      <c r="D5217" s="24">
        <v>0</v>
      </c>
      <c r="E5217" s="24" t="s">
        <v>796</v>
      </c>
      <c r="F5217" s="24" t="s">
        <v>1137</v>
      </c>
      <c r="G5217" s="24">
        <v>169117</v>
      </c>
    </row>
    <row r="5218" spans="1:7" x14ac:dyDescent="0.25">
      <c r="A5218" s="24" t="s">
        <v>602</v>
      </c>
      <c r="B5218" s="24" t="s">
        <v>47</v>
      </c>
      <c r="C5218" s="24" t="s">
        <v>48</v>
      </c>
      <c r="D5218" s="24">
        <v>0.3</v>
      </c>
      <c r="E5218" s="24" t="s">
        <v>796</v>
      </c>
      <c r="F5218" s="24" t="s">
        <v>1137</v>
      </c>
      <c r="G5218" s="24">
        <v>169117</v>
      </c>
    </row>
    <row r="5219" spans="1:7" x14ac:dyDescent="0.25">
      <c r="A5219" s="24" t="s">
        <v>602</v>
      </c>
      <c r="B5219" s="24" t="s">
        <v>50</v>
      </c>
      <c r="C5219" s="24" t="s">
        <v>31</v>
      </c>
      <c r="D5219" s="24">
        <v>10</v>
      </c>
      <c r="E5219" s="24" t="s">
        <v>796</v>
      </c>
      <c r="F5219" s="24" t="s">
        <v>1137</v>
      </c>
      <c r="G5219" s="24">
        <v>169117</v>
      </c>
    </row>
    <row r="5220" spans="1:7" x14ac:dyDescent="0.25">
      <c r="A5220" s="24" t="s">
        <v>602</v>
      </c>
      <c r="B5220" s="24" t="s">
        <v>51</v>
      </c>
      <c r="C5220" s="24" t="s">
        <v>31</v>
      </c>
      <c r="D5220" s="24">
        <v>2</v>
      </c>
      <c r="E5220" s="24" t="s">
        <v>796</v>
      </c>
      <c r="F5220" s="24" t="s">
        <v>1137</v>
      </c>
      <c r="G5220" s="24">
        <v>169117</v>
      </c>
    </row>
    <row r="5221" spans="1:7" x14ac:dyDescent="0.25">
      <c r="A5221" s="24" t="s">
        <v>602</v>
      </c>
      <c r="B5221" s="24" t="s">
        <v>52</v>
      </c>
      <c r="C5221" s="24" t="s">
        <v>31</v>
      </c>
      <c r="D5221" s="24">
        <v>1</v>
      </c>
      <c r="E5221" s="24" t="s">
        <v>796</v>
      </c>
      <c r="F5221" s="24" t="s">
        <v>1137</v>
      </c>
      <c r="G5221" s="24">
        <v>169117</v>
      </c>
    </row>
    <row r="5222" spans="1:7" x14ac:dyDescent="0.25">
      <c r="A5222" s="24" t="s">
        <v>602</v>
      </c>
      <c r="B5222" s="24" t="s">
        <v>53</v>
      </c>
      <c r="C5222" s="24" t="s">
        <v>31</v>
      </c>
      <c r="D5222" s="24">
        <v>1.3</v>
      </c>
      <c r="E5222" s="24" t="s">
        <v>796</v>
      </c>
      <c r="F5222" s="24" t="s">
        <v>1137</v>
      </c>
      <c r="G5222" s="24">
        <v>169117</v>
      </c>
    </row>
    <row r="5223" spans="1:7" x14ac:dyDescent="0.25">
      <c r="A5223" s="24" t="s">
        <v>602</v>
      </c>
      <c r="B5223" s="24" t="s">
        <v>54</v>
      </c>
      <c r="C5223" s="24" t="s">
        <v>31</v>
      </c>
      <c r="D5223" s="24">
        <v>0</v>
      </c>
      <c r="E5223" s="24" t="s">
        <v>796</v>
      </c>
      <c r="F5223" s="24" t="s">
        <v>1137</v>
      </c>
      <c r="G5223" s="24">
        <v>169117</v>
      </c>
    </row>
    <row r="5224" spans="1:7" x14ac:dyDescent="0.25">
      <c r="A5224" s="24" t="s">
        <v>602</v>
      </c>
      <c r="B5224" s="24" t="s">
        <v>55</v>
      </c>
      <c r="C5224" s="24" t="s">
        <v>31</v>
      </c>
      <c r="D5224" s="24">
        <v>0</v>
      </c>
      <c r="E5224" s="24" t="s">
        <v>796</v>
      </c>
      <c r="F5224" s="24" t="s">
        <v>1137</v>
      </c>
      <c r="G5224" s="24">
        <v>169117</v>
      </c>
    </row>
    <row r="5225" spans="1:7" x14ac:dyDescent="0.25">
      <c r="A5225" s="24" t="s">
        <v>602</v>
      </c>
      <c r="B5225" s="24" t="s">
        <v>56</v>
      </c>
      <c r="C5225" s="24" t="s">
        <v>31</v>
      </c>
      <c r="D5225" s="24">
        <v>0</v>
      </c>
      <c r="E5225" s="24" t="s">
        <v>796</v>
      </c>
      <c r="F5225" s="24" t="s">
        <v>1137</v>
      </c>
      <c r="G5225" s="24">
        <v>169117</v>
      </c>
    </row>
    <row r="5226" spans="1:7" x14ac:dyDescent="0.25">
      <c r="A5226" s="24" t="s">
        <v>602</v>
      </c>
      <c r="B5226" s="24" t="s">
        <v>57</v>
      </c>
      <c r="C5226" s="24" t="s">
        <v>36</v>
      </c>
      <c r="D5226" s="24">
        <v>0.1</v>
      </c>
      <c r="E5226" s="24" t="s">
        <v>796</v>
      </c>
      <c r="F5226" s="24" t="s">
        <v>1137</v>
      </c>
      <c r="G5226" s="24">
        <v>169117</v>
      </c>
    </row>
    <row r="5227" spans="1:7" x14ac:dyDescent="0.25">
      <c r="A5227" s="24" t="s">
        <v>602</v>
      </c>
      <c r="B5227" s="24" t="s">
        <v>58</v>
      </c>
      <c r="C5227" s="24" t="s">
        <v>5</v>
      </c>
      <c r="D5227" s="24">
        <v>0</v>
      </c>
      <c r="E5227" s="24" t="s">
        <v>795</v>
      </c>
      <c r="F5227" s="24"/>
      <c r="G5227" s="24"/>
    </row>
    <row r="5228" spans="1:7" x14ac:dyDescent="0.25">
      <c r="A5228" s="24" t="s">
        <v>603</v>
      </c>
      <c r="B5228" s="24" t="s">
        <v>26</v>
      </c>
      <c r="C5228" s="24" t="s">
        <v>5</v>
      </c>
      <c r="D5228" s="24">
        <v>0</v>
      </c>
      <c r="E5228" s="24" t="s">
        <v>799</v>
      </c>
      <c r="F5228" s="24" t="s">
        <v>1138</v>
      </c>
      <c r="G5228" s="24">
        <v>173933</v>
      </c>
    </row>
    <row r="5229" spans="1:7" x14ac:dyDescent="0.25">
      <c r="A5229" s="24" t="s">
        <v>603</v>
      </c>
      <c r="B5229" s="24" t="s">
        <v>27</v>
      </c>
      <c r="C5229" s="24" t="s">
        <v>5</v>
      </c>
      <c r="D5229" s="24">
        <v>0</v>
      </c>
      <c r="E5229" s="24" t="s">
        <v>799</v>
      </c>
      <c r="F5229" s="24" t="s">
        <v>1138</v>
      </c>
      <c r="G5229" s="24">
        <v>173933</v>
      </c>
    </row>
    <row r="5230" spans="1:7" x14ac:dyDescent="0.25">
      <c r="A5230" s="24" t="s">
        <v>603</v>
      </c>
      <c r="B5230" s="24" t="s">
        <v>28</v>
      </c>
      <c r="C5230" s="24" t="s">
        <v>5</v>
      </c>
      <c r="D5230" s="24">
        <v>0</v>
      </c>
      <c r="E5230" s="24" t="s">
        <v>799</v>
      </c>
      <c r="F5230" s="24" t="s">
        <v>1138</v>
      </c>
      <c r="G5230" s="24">
        <v>173933</v>
      </c>
    </row>
    <row r="5231" spans="1:7" x14ac:dyDescent="0.25">
      <c r="A5231" s="24" t="s">
        <v>603</v>
      </c>
      <c r="B5231" s="24" t="s">
        <v>29</v>
      </c>
      <c r="C5231" s="24" t="s">
        <v>5</v>
      </c>
      <c r="D5231" s="24">
        <v>0</v>
      </c>
      <c r="E5231" s="24" t="s">
        <v>799</v>
      </c>
      <c r="F5231" s="24" t="s">
        <v>1138</v>
      </c>
      <c r="G5231" s="24">
        <v>173933</v>
      </c>
    </row>
    <row r="5232" spans="1:7" x14ac:dyDescent="0.25">
      <c r="A5232" s="24" t="s">
        <v>603</v>
      </c>
      <c r="B5232" s="24" t="s">
        <v>30</v>
      </c>
      <c r="C5232" s="24" t="s">
        <v>31</v>
      </c>
      <c r="D5232" s="24">
        <v>0</v>
      </c>
      <c r="E5232" s="24" t="s">
        <v>801</v>
      </c>
      <c r="F5232" s="24" t="s">
        <v>1138</v>
      </c>
      <c r="G5232" s="24">
        <v>173933</v>
      </c>
    </row>
    <row r="5233" spans="1:7" x14ac:dyDescent="0.25">
      <c r="A5233" s="24" t="s">
        <v>603</v>
      </c>
      <c r="B5233" s="24" t="s">
        <v>32</v>
      </c>
      <c r="C5233" s="24" t="s">
        <v>33</v>
      </c>
      <c r="D5233" s="24">
        <v>0</v>
      </c>
      <c r="E5233" s="24" t="s">
        <v>796</v>
      </c>
      <c r="F5233" s="24" t="s">
        <v>1138</v>
      </c>
      <c r="G5233" s="24">
        <v>173933</v>
      </c>
    </row>
    <row r="5234" spans="1:7" x14ac:dyDescent="0.25">
      <c r="A5234" s="24" t="s">
        <v>603</v>
      </c>
      <c r="B5234" s="24" t="s">
        <v>34</v>
      </c>
      <c r="C5234" s="24" t="s">
        <v>31</v>
      </c>
      <c r="D5234" s="24">
        <v>0.5</v>
      </c>
      <c r="E5234" s="24" t="s">
        <v>796</v>
      </c>
      <c r="F5234" s="24" t="s">
        <v>1138</v>
      </c>
      <c r="G5234" s="24">
        <v>173933</v>
      </c>
    </row>
    <row r="5235" spans="1:7" x14ac:dyDescent="0.25">
      <c r="A5235" s="24" t="s">
        <v>603</v>
      </c>
      <c r="B5235" s="24" t="s">
        <v>35</v>
      </c>
      <c r="C5235" s="24" t="s">
        <v>36</v>
      </c>
      <c r="D5235" s="24">
        <v>0</v>
      </c>
      <c r="E5235" s="24" t="s">
        <v>796</v>
      </c>
      <c r="F5235" s="24" t="s">
        <v>1138</v>
      </c>
      <c r="G5235" s="24">
        <v>173933</v>
      </c>
    </row>
    <row r="5236" spans="1:7" x14ac:dyDescent="0.25">
      <c r="A5236" s="24" t="s">
        <v>603</v>
      </c>
      <c r="B5236" s="24" t="s">
        <v>37</v>
      </c>
      <c r="C5236" s="24" t="s">
        <v>38</v>
      </c>
      <c r="D5236" s="24">
        <v>0</v>
      </c>
      <c r="E5236" s="24" t="s">
        <v>796</v>
      </c>
      <c r="F5236" s="24" t="s">
        <v>1138</v>
      </c>
      <c r="G5236" s="24">
        <v>173933</v>
      </c>
    </row>
    <row r="5237" spans="1:7" x14ac:dyDescent="0.25">
      <c r="A5237" s="24" t="s">
        <v>603</v>
      </c>
      <c r="B5237" s="24" t="s">
        <v>39</v>
      </c>
      <c r="C5237" s="24" t="s">
        <v>36</v>
      </c>
      <c r="D5237" s="24">
        <v>0</v>
      </c>
      <c r="E5237" s="24" t="s">
        <v>796</v>
      </c>
      <c r="F5237" s="24" t="s">
        <v>1138</v>
      </c>
      <c r="G5237" s="24">
        <v>173933</v>
      </c>
    </row>
    <row r="5238" spans="1:7" x14ac:dyDescent="0.25">
      <c r="A5238" s="24" t="s">
        <v>603</v>
      </c>
      <c r="B5238" s="24" t="s">
        <v>40</v>
      </c>
      <c r="C5238" s="24" t="s">
        <v>31</v>
      </c>
      <c r="D5238" s="24">
        <v>0</v>
      </c>
      <c r="E5238" s="24" t="s">
        <v>796</v>
      </c>
      <c r="F5238" s="24" t="s">
        <v>1138</v>
      </c>
      <c r="G5238" s="24">
        <v>173933</v>
      </c>
    </row>
    <row r="5239" spans="1:7" x14ac:dyDescent="0.25">
      <c r="A5239" s="24" t="s">
        <v>603</v>
      </c>
      <c r="B5239" s="24" t="s">
        <v>41</v>
      </c>
      <c r="C5239" s="24" t="s">
        <v>31</v>
      </c>
      <c r="D5239" s="24">
        <v>0</v>
      </c>
      <c r="E5239" s="24" t="s">
        <v>796</v>
      </c>
      <c r="F5239" s="24" t="s">
        <v>1138</v>
      </c>
      <c r="G5239" s="24">
        <v>173933</v>
      </c>
    </row>
    <row r="5240" spans="1:7" x14ac:dyDescent="0.25">
      <c r="A5240" s="24" t="s">
        <v>603</v>
      </c>
      <c r="B5240" s="24" t="s">
        <v>42</v>
      </c>
      <c r="C5240" s="24" t="s">
        <v>43</v>
      </c>
      <c r="D5240" s="24">
        <v>0</v>
      </c>
      <c r="E5240" s="24" t="s">
        <v>796</v>
      </c>
      <c r="F5240" s="24" t="s">
        <v>1138</v>
      </c>
      <c r="G5240" s="24">
        <v>173933</v>
      </c>
    </row>
    <row r="5241" spans="1:7" x14ac:dyDescent="0.25">
      <c r="A5241" s="24" t="s">
        <v>603</v>
      </c>
      <c r="B5241" s="24" t="s">
        <v>44</v>
      </c>
      <c r="C5241" s="24" t="s">
        <v>31</v>
      </c>
      <c r="D5241" s="24">
        <v>0</v>
      </c>
      <c r="E5241" s="24" t="s">
        <v>796</v>
      </c>
      <c r="F5241" s="24" t="s">
        <v>1138</v>
      </c>
      <c r="G5241" s="24">
        <v>173933</v>
      </c>
    </row>
    <row r="5242" spans="1:7" x14ac:dyDescent="0.25">
      <c r="A5242" s="24" t="s">
        <v>603</v>
      </c>
      <c r="B5242" s="24" t="s">
        <v>45</v>
      </c>
      <c r="C5242" s="24" t="s">
        <v>31</v>
      </c>
      <c r="D5242" s="24">
        <v>0</v>
      </c>
      <c r="E5242" s="24" t="s">
        <v>796</v>
      </c>
      <c r="F5242" s="24" t="s">
        <v>1138</v>
      </c>
      <c r="G5242" s="24">
        <v>173933</v>
      </c>
    </row>
    <row r="5243" spans="1:7" x14ac:dyDescent="0.25">
      <c r="A5243" s="24" t="s">
        <v>603</v>
      </c>
      <c r="B5243" s="24" t="s">
        <v>46</v>
      </c>
      <c r="C5243" s="24" t="s">
        <v>36</v>
      </c>
      <c r="D5243" s="24">
        <v>0</v>
      </c>
      <c r="E5243" s="24" t="s">
        <v>796</v>
      </c>
      <c r="F5243" s="24" t="s">
        <v>1138</v>
      </c>
      <c r="G5243" s="24">
        <v>173933</v>
      </c>
    </row>
    <row r="5244" spans="1:7" x14ac:dyDescent="0.25">
      <c r="A5244" s="24" t="s">
        <v>603</v>
      </c>
      <c r="B5244" s="24" t="s">
        <v>47</v>
      </c>
      <c r="C5244" s="24" t="s">
        <v>48</v>
      </c>
      <c r="D5244" s="24">
        <v>0</v>
      </c>
      <c r="E5244" s="24" t="s">
        <v>796</v>
      </c>
      <c r="F5244" s="24" t="s">
        <v>1138</v>
      </c>
      <c r="G5244" s="24">
        <v>173933</v>
      </c>
    </row>
    <row r="5245" spans="1:7" x14ac:dyDescent="0.25">
      <c r="A5245" s="24" t="s">
        <v>603</v>
      </c>
      <c r="B5245" s="24" t="s">
        <v>50</v>
      </c>
      <c r="C5245" s="24" t="s">
        <v>31</v>
      </c>
      <c r="D5245" s="24">
        <v>57.5</v>
      </c>
      <c r="E5245" s="24" t="s">
        <v>796</v>
      </c>
      <c r="F5245" s="24" t="s">
        <v>1138</v>
      </c>
      <c r="G5245" s="24">
        <v>173933</v>
      </c>
    </row>
    <row r="5246" spans="1:7" x14ac:dyDescent="0.25">
      <c r="A5246" s="24" t="s">
        <v>603</v>
      </c>
      <c r="B5246" s="24" t="s">
        <v>51</v>
      </c>
      <c r="C5246" s="24" t="s">
        <v>31</v>
      </c>
      <c r="D5246" s="24">
        <v>4.5999999999999996</v>
      </c>
      <c r="E5246" s="24" t="s">
        <v>796</v>
      </c>
      <c r="F5246" s="24" t="s">
        <v>1138</v>
      </c>
      <c r="G5246" s="24">
        <v>173933</v>
      </c>
    </row>
    <row r="5247" spans="1:7" x14ac:dyDescent="0.25">
      <c r="A5247" s="24" t="s">
        <v>603</v>
      </c>
      <c r="B5247" s="24" t="s">
        <v>52</v>
      </c>
      <c r="C5247" s="24" t="s">
        <v>31</v>
      </c>
      <c r="D5247" s="24">
        <v>4</v>
      </c>
      <c r="E5247" s="24" t="s">
        <v>796</v>
      </c>
      <c r="F5247" s="24" t="s">
        <v>1138</v>
      </c>
      <c r="G5247" s="24">
        <v>173933</v>
      </c>
    </row>
    <row r="5248" spans="1:7" x14ac:dyDescent="0.25">
      <c r="A5248" s="24" t="s">
        <v>603</v>
      </c>
      <c r="B5248" s="24" t="s">
        <v>53</v>
      </c>
      <c r="C5248" s="24" t="s">
        <v>31</v>
      </c>
      <c r="D5248" s="24">
        <v>2.8</v>
      </c>
      <c r="E5248" s="24" t="s">
        <v>796</v>
      </c>
      <c r="F5248" s="24" t="s">
        <v>1138</v>
      </c>
      <c r="G5248" s="24">
        <v>173933</v>
      </c>
    </row>
    <row r="5249" spans="1:7" x14ac:dyDescent="0.25">
      <c r="A5249" s="24" t="s">
        <v>603</v>
      </c>
      <c r="B5249" s="24" t="s">
        <v>54</v>
      </c>
      <c r="C5249" s="24" t="s">
        <v>31</v>
      </c>
      <c r="D5249" s="24">
        <v>0.1</v>
      </c>
      <c r="E5249" s="24" t="s">
        <v>796</v>
      </c>
      <c r="F5249" s="24" t="s">
        <v>1138</v>
      </c>
      <c r="G5249" s="24">
        <v>173933</v>
      </c>
    </row>
    <row r="5250" spans="1:7" x14ac:dyDescent="0.25">
      <c r="A5250" s="24" t="s">
        <v>603</v>
      </c>
      <c r="B5250" s="24" t="s">
        <v>55</v>
      </c>
      <c r="C5250" s="24" t="s">
        <v>31</v>
      </c>
      <c r="D5250" s="24">
        <v>0</v>
      </c>
      <c r="E5250" s="24" t="s">
        <v>796</v>
      </c>
      <c r="F5250" s="24" t="s">
        <v>1138</v>
      </c>
      <c r="G5250" s="24">
        <v>173933</v>
      </c>
    </row>
    <row r="5251" spans="1:7" x14ac:dyDescent="0.25">
      <c r="A5251" s="24" t="s">
        <v>603</v>
      </c>
      <c r="B5251" s="24" t="s">
        <v>56</v>
      </c>
      <c r="C5251" s="24" t="s">
        <v>31</v>
      </c>
      <c r="D5251" s="24">
        <v>0</v>
      </c>
      <c r="E5251" s="24" t="s">
        <v>796</v>
      </c>
      <c r="F5251" s="24" t="s">
        <v>1138</v>
      </c>
      <c r="G5251" s="24">
        <v>173933</v>
      </c>
    </row>
    <row r="5252" spans="1:7" x14ac:dyDescent="0.25">
      <c r="A5252" s="24" t="s">
        <v>603</v>
      </c>
      <c r="B5252" s="24" t="s">
        <v>57</v>
      </c>
      <c r="C5252" s="24" t="s">
        <v>36</v>
      </c>
      <c r="D5252" s="24">
        <v>0.1</v>
      </c>
      <c r="E5252" s="24" t="s">
        <v>796</v>
      </c>
      <c r="F5252" s="24" t="s">
        <v>1138</v>
      </c>
      <c r="G5252" s="24">
        <v>173933</v>
      </c>
    </row>
    <row r="5253" spans="1:7" x14ac:dyDescent="0.25">
      <c r="A5253" s="24" t="s">
        <v>603</v>
      </c>
      <c r="B5253" s="24" t="s">
        <v>58</v>
      </c>
      <c r="C5253" s="24" t="s">
        <v>5</v>
      </c>
      <c r="D5253" s="24">
        <v>0</v>
      </c>
      <c r="E5253" s="24" t="s">
        <v>795</v>
      </c>
      <c r="F5253" s="24"/>
      <c r="G5253" s="24"/>
    </row>
    <row r="5254" spans="1:7" x14ac:dyDescent="0.25">
      <c r="A5254" s="24" t="s">
        <v>604</v>
      </c>
      <c r="B5254" s="24" t="s">
        <v>26</v>
      </c>
      <c r="C5254" s="24" t="s">
        <v>5</v>
      </c>
      <c r="D5254" s="24">
        <v>0</v>
      </c>
      <c r="E5254" s="24" t="s">
        <v>994</v>
      </c>
      <c r="F5254" s="24"/>
      <c r="G5254" s="24"/>
    </row>
    <row r="5255" spans="1:7" x14ac:dyDescent="0.25">
      <c r="A5255" s="24" t="s">
        <v>604</v>
      </c>
      <c r="B5255" s="24" t="s">
        <v>27</v>
      </c>
      <c r="C5255" s="24" t="s">
        <v>5</v>
      </c>
      <c r="D5255" s="24">
        <v>0</v>
      </c>
      <c r="E5255" s="24" t="s">
        <v>994</v>
      </c>
      <c r="F5255" s="24"/>
      <c r="G5255" s="24"/>
    </row>
    <row r="5256" spans="1:7" x14ac:dyDescent="0.25">
      <c r="A5256" s="24" t="s">
        <v>604</v>
      </c>
      <c r="B5256" s="24" t="s">
        <v>28</v>
      </c>
      <c r="C5256" s="24" t="s">
        <v>5</v>
      </c>
      <c r="D5256" s="24">
        <v>0</v>
      </c>
      <c r="E5256" s="24" t="s">
        <v>994</v>
      </c>
      <c r="F5256" s="24"/>
      <c r="G5256" s="24"/>
    </row>
    <row r="5257" spans="1:7" x14ac:dyDescent="0.25">
      <c r="A5257" s="24" t="s">
        <v>604</v>
      </c>
      <c r="B5257" s="24" t="s">
        <v>29</v>
      </c>
      <c r="C5257" s="24" t="s">
        <v>5</v>
      </c>
      <c r="D5257" s="24">
        <v>0</v>
      </c>
      <c r="E5257" s="24" t="s">
        <v>994</v>
      </c>
      <c r="F5257" s="24"/>
      <c r="G5257" s="24"/>
    </row>
    <row r="5258" spans="1:7" x14ac:dyDescent="0.25">
      <c r="A5258" s="24" t="s">
        <v>604</v>
      </c>
      <c r="B5258" s="24" t="s">
        <v>30</v>
      </c>
      <c r="C5258" s="24" t="s">
        <v>31</v>
      </c>
      <c r="D5258" s="24">
        <v>0</v>
      </c>
      <c r="E5258" s="24" t="s">
        <v>801</v>
      </c>
      <c r="F5258" s="24" t="s">
        <v>1139</v>
      </c>
      <c r="G5258" s="24">
        <v>169044</v>
      </c>
    </row>
    <row r="5259" spans="1:7" x14ac:dyDescent="0.25">
      <c r="A5259" s="24" t="s">
        <v>604</v>
      </c>
      <c r="B5259" s="24" t="s">
        <v>32</v>
      </c>
      <c r="C5259" s="24" t="s">
        <v>33</v>
      </c>
      <c r="D5259" s="24">
        <v>1</v>
      </c>
      <c r="E5259" s="24" t="s">
        <v>796</v>
      </c>
      <c r="F5259" s="24" t="s">
        <v>1139</v>
      </c>
      <c r="G5259" s="24">
        <v>169044</v>
      </c>
    </row>
    <row r="5260" spans="1:7" x14ac:dyDescent="0.25">
      <c r="A5260" s="24" t="s">
        <v>604</v>
      </c>
      <c r="B5260" s="24" t="s">
        <v>34</v>
      </c>
      <c r="C5260" s="24" t="s">
        <v>31</v>
      </c>
      <c r="D5260" s="24">
        <v>7.3</v>
      </c>
      <c r="E5260" s="24" t="s">
        <v>796</v>
      </c>
      <c r="F5260" s="24" t="s">
        <v>1139</v>
      </c>
      <c r="G5260" s="24">
        <v>169044</v>
      </c>
    </row>
    <row r="5261" spans="1:7" x14ac:dyDescent="0.25">
      <c r="A5261" s="24" t="s">
        <v>604</v>
      </c>
      <c r="B5261" s="24" t="s">
        <v>37</v>
      </c>
      <c r="C5261" s="24" t="s">
        <v>38</v>
      </c>
      <c r="D5261" s="24">
        <v>0</v>
      </c>
      <c r="E5261" s="24" t="s">
        <v>796</v>
      </c>
      <c r="F5261" s="24" t="s">
        <v>1139</v>
      </c>
      <c r="G5261" s="24">
        <v>169044</v>
      </c>
    </row>
    <row r="5262" spans="1:7" x14ac:dyDescent="0.25">
      <c r="A5262" s="24" t="s">
        <v>604</v>
      </c>
      <c r="B5262" s="24" t="s">
        <v>39</v>
      </c>
      <c r="C5262" s="24" t="s">
        <v>36</v>
      </c>
      <c r="D5262" s="24">
        <v>0</v>
      </c>
      <c r="E5262" s="24" t="s">
        <v>796</v>
      </c>
      <c r="F5262" s="24" t="s">
        <v>1139</v>
      </c>
      <c r="G5262" s="24">
        <v>169044</v>
      </c>
    </row>
    <row r="5263" spans="1:7" x14ac:dyDescent="0.25">
      <c r="A5263" s="24" t="s">
        <v>604</v>
      </c>
      <c r="B5263" s="24" t="s">
        <v>40</v>
      </c>
      <c r="C5263" s="24" t="s">
        <v>31</v>
      </c>
      <c r="D5263" s="24">
        <v>0.2</v>
      </c>
      <c r="E5263" s="24" t="s">
        <v>796</v>
      </c>
      <c r="F5263" s="24" t="s">
        <v>1139</v>
      </c>
      <c r="G5263" s="24">
        <v>169044</v>
      </c>
    </row>
    <row r="5264" spans="1:7" x14ac:dyDescent="0.25">
      <c r="A5264" s="24" t="s">
        <v>604</v>
      </c>
      <c r="B5264" s="24" t="s">
        <v>41</v>
      </c>
      <c r="C5264" s="24" t="s">
        <v>31</v>
      </c>
      <c r="D5264" s="24">
        <v>0.2</v>
      </c>
      <c r="E5264" s="24" t="s">
        <v>796</v>
      </c>
      <c r="F5264" s="24" t="s">
        <v>1139</v>
      </c>
      <c r="G5264" s="24">
        <v>169044</v>
      </c>
    </row>
    <row r="5265" spans="1:7" x14ac:dyDescent="0.25">
      <c r="A5265" s="24" t="s">
        <v>604</v>
      </c>
      <c r="B5265" s="24" t="s">
        <v>42</v>
      </c>
      <c r="C5265" s="24" t="s">
        <v>43</v>
      </c>
      <c r="D5265" s="24">
        <v>2.4</v>
      </c>
      <c r="E5265" s="24" t="s">
        <v>796</v>
      </c>
      <c r="F5265" s="24" t="s">
        <v>1139</v>
      </c>
      <c r="G5265" s="24">
        <v>169044</v>
      </c>
    </row>
    <row r="5266" spans="1:7" x14ac:dyDescent="0.25">
      <c r="A5266" s="24" t="s">
        <v>604</v>
      </c>
      <c r="B5266" s="24" t="s">
        <v>44</v>
      </c>
      <c r="C5266" s="24" t="s">
        <v>31</v>
      </c>
      <c r="D5266" s="24">
        <v>0.2</v>
      </c>
      <c r="E5266" s="24" t="s">
        <v>796</v>
      </c>
      <c r="F5266" s="24" t="s">
        <v>1139</v>
      </c>
      <c r="G5266" s="24">
        <v>169044</v>
      </c>
    </row>
    <row r="5267" spans="1:7" x14ac:dyDescent="0.25">
      <c r="A5267" s="24" t="s">
        <v>604</v>
      </c>
      <c r="B5267" s="24" t="s">
        <v>45</v>
      </c>
      <c r="C5267" s="24" t="s">
        <v>31</v>
      </c>
      <c r="D5267" s="24">
        <v>0</v>
      </c>
      <c r="E5267" s="24" t="s">
        <v>796</v>
      </c>
      <c r="F5267" s="24" t="s">
        <v>1139</v>
      </c>
      <c r="G5267" s="24">
        <v>169044</v>
      </c>
    </row>
    <row r="5268" spans="1:7" x14ac:dyDescent="0.25">
      <c r="A5268" s="24" t="s">
        <v>604</v>
      </c>
      <c r="B5268" s="24" t="s">
        <v>46</v>
      </c>
      <c r="C5268" s="24" t="s">
        <v>36</v>
      </c>
      <c r="D5268" s="24">
        <v>0</v>
      </c>
      <c r="E5268" s="24" t="s">
        <v>796</v>
      </c>
      <c r="F5268" s="24" t="s">
        <v>1139</v>
      </c>
      <c r="G5268" s="24">
        <v>169044</v>
      </c>
    </row>
    <row r="5269" spans="1:7" x14ac:dyDescent="0.25">
      <c r="A5269" s="24" t="s">
        <v>604</v>
      </c>
      <c r="B5269" s="24" t="s">
        <v>47</v>
      </c>
      <c r="C5269" s="24" t="s">
        <v>48</v>
      </c>
      <c r="D5269" s="24">
        <v>1.9</v>
      </c>
      <c r="E5269" s="24" t="s">
        <v>796</v>
      </c>
      <c r="F5269" s="24" t="s">
        <v>1139</v>
      </c>
      <c r="G5269" s="24">
        <v>169044</v>
      </c>
    </row>
    <row r="5270" spans="1:7" x14ac:dyDescent="0.25">
      <c r="A5270" s="24" t="s">
        <v>604</v>
      </c>
      <c r="B5270" s="24" t="s">
        <v>50</v>
      </c>
      <c r="C5270" s="24" t="s">
        <v>31</v>
      </c>
      <c r="D5270" s="24">
        <v>20.399999999999999</v>
      </c>
      <c r="E5270" s="24" t="s">
        <v>796</v>
      </c>
      <c r="F5270" s="24" t="s">
        <v>1139</v>
      </c>
      <c r="G5270" s="24">
        <v>169044</v>
      </c>
    </row>
    <row r="5271" spans="1:7" x14ac:dyDescent="0.25">
      <c r="A5271" s="24" t="s">
        <v>604</v>
      </c>
      <c r="B5271" s="24" t="s">
        <v>51</v>
      </c>
      <c r="C5271" s="24" t="s">
        <v>31</v>
      </c>
      <c r="D5271" s="24">
        <v>1</v>
      </c>
      <c r="E5271" s="24" t="s">
        <v>796</v>
      </c>
      <c r="F5271" s="24" t="s">
        <v>1139</v>
      </c>
      <c r="G5271" s="24">
        <v>169044</v>
      </c>
    </row>
    <row r="5272" spans="1:7" x14ac:dyDescent="0.25">
      <c r="A5272" s="24" t="s">
        <v>604</v>
      </c>
      <c r="B5272" s="24" t="s">
        <v>52</v>
      </c>
      <c r="C5272" s="24" t="s">
        <v>31</v>
      </c>
      <c r="D5272" s="24">
        <v>1.9</v>
      </c>
      <c r="E5272" s="24" t="s">
        <v>796</v>
      </c>
      <c r="F5272" s="24" t="s">
        <v>1139</v>
      </c>
      <c r="G5272" s="24">
        <v>169044</v>
      </c>
    </row>
    <row r="5273" spans="1:7" x14ac:dyDescent="0.25">
      <c r="A5273" s="24" t="s">
        <v>604</v>
      </c>
      <c r="B5273" s="24" t="s">
        <v>53</v>
      </c>
      <c r="C5273" s="24" t="s">
        <v>31</v>
      </c>
      <c r="D5273" s="24">
        <v>1.5</v>
      </c>
      <c r="E5273" s="24" t="s">
        <v>796</v>
      </c>
      <c r="F5273" s="24" t="s">
        <v>1139</v>
      </c>
      <c r="G5273" s="24">
        <v>169044</v>
      </c>
    </row>
    <row r="5274" spans="1:7" x14ac:dyDescent="0.25">
      <c r="A5274" s="24" t="s">
        <v>604</v>
      </c>
      <c r="B5274" s="24" t="s">
        <v>54</v>
      </c>
      <c r="C5274" s="24" t="s">
        <v>31</v>
      </c>
      <c r="D5274" s="24">
        <v>0.1</v>
      </c>
      <c r="E5274" s="24" t="s">
        <v>796</v>
      </c>
      <c r="F5274" s="24" t="s">
        <v>1139</v>
      </c>
      <c r="G5274" s="24">
        <v>169044</v>
      </c>
    </row>
    <row r="5275" spans="1:7" x14ac:dyDescent="0.25">
      <c r="A5275" s="24" t="s">
        <v>604</v>
      </c>
      <c r="B5275" s="24" t="s">
        <v>55</v>
      </c>
      <c r="C5275" s="24" t="s">
        <v>31</v>
      </c>
      <c r="D5275" s="24">
        <v>0</v>
      </c>
      <c r="E5275" s="24" t="s">
        <v>796</v>
      </c>
      <c r="F5275" s="24" t="s">
        <v>1139</v>
      </c>
      <c r="G5275" s="24">
        <v>169044</v>
      </c>
    </row>
    <row r="5276" spans="1:7" x14ac:dyDescent="0.25">
      <c r="A5276" s="24" t="s">
        <v>604</v>
      </c>
      <c r="B5276" s="24" t="s">
        <v>56</v>
      </c>
      <c r="C5276" s="24" t="s">
        <v>31</v>
      </c>
      <c r="D5276" s="24">
        <v>0</v>
      </c>
      <c r="E5276" s="24" t="s">
        <v>796</v>
      </c>
      <c r="F5276" s="24" t="s">
        <v>1139</v>
      </c>
      <c r="G5276" s="24">
        <v>169044</v>
      </c>
    </row>
    <row r="5277" spans="1:7" x14ac:dyDescent="0.25">
      <c r="A5277" s="24" t="s">
        <v>604</v>
      </c>
      <c r="B5277" s="24" t="s">
        <v>57</v>
      </c>
      <c r="C5277" s="24" t="s">
        <v>36</v>
      </c>
      <c r="D5277" s="24">
        <v>0</v>
      </c>
      <c r="E5277" s="24" t="s">
        <v>796</v>
      </c>
      <c r="F5277" s="24" t="s">
        <v>1139</v>
      </c>
      <c r="G5277" s="24">
        <v>169044</v>
      </c>
    </row>
    <row r="5278" spans="1:7" x14ac:dyDescent="0.25">
      <c r="A5278" s="24" t="s">
        <v>604</v>
      </c>
      <c r="B5278" s="24" t="s">
        <v>58</v>
      </c>
      <c r="C5278" s="24" t="s">
        <v>5</v>
      </c>
      <c r="D5278" s="24">
        <v>0</v>
      </c>
      <c r="E5278" s="24" t="s">
        <v>795</v>
      </c>
      <c r="F5278" s="24"/>
      <c r="G5278" s="24"/>
    </row>
    <row r="5279" spans="1:7" x14ac:dyDescent="0.25">
      <c r="A5279" s="24" t="s">
        <v>605</v>
      </c>
      <c r="B5279" s="24" t="s">
        <v>26</v>
      </c>
      <c r="C5279" s="24" t="s">
        <v>5</v>
      </c>
      <c r="D5279" s="24">
        <v>0</v>
      </c>
      <c r="E5279" s="24" t="s">
        <v>994</v>
      </c>
      <c r="F5279" s="24"/>
      <c r="G5279" s="24"/>
    </row>
    <row r="5280" spans="1:7" x14ac:dyDescent="0.25">
      <c r="A5280" s="24" t="s">
        <v>605</v>
      </c>
      <c r="B5280" s="24" t="s">
        <v>27</v>
      </c>
      <c r="C5280" s="24" t="s">
        <v>5</v>
      </c>
      <c r="D5280" s="24">
        <v>0</v>
      </c>
      <c r="E5280" s="24" t="s">
        <v>994</v>
      </c>
      <c r="F5280" s="24"/>
      <c r="G5280" s="24"/>
    </row>
    <row r="5281" spans="1:7" x14ac:dyDescent="0.25">
      <c r="A5281" s="24" t="s">
        <v>605</v>
      </c>
      <c r="B5281" s="24" t="s">
        <v>28</v>
      </c>
      <c r="C5281" s="24" t="s">
        <v>5</v>
      </c>
      <c r="D5281" s="24">
        <v>0</v>
      </c>
      <c r="E5281" s="24" t="s">
        <v>994</v>
      </c>
      <c r="F5281" s="24"/>
      <c r="G5281" s="24"/>
    </row>
    <row r="5282" spans="1:7" x14ac:dyDescent="0.25">
      <c r="A5282" s="24" t="s">
        <v>605</v>
      </c>
      <c r="B5282" s="24" t="s">
        <v>29</v>
      </c>
      <c r="C5282" s="24" t="s">
        <v>5</v>
      </c>
      <c r="D5282" s="24">
        <v>0</v>
      </c>
      <c r="E5282" s="24" t="s">
        <v>994</v>
      </c>
      <c r="F5282" s="24"/>
      <c r="G5282" s="24"/>
    </row>
    <row r="5283" spans="1:7" x14ac:dyDescent="0.25">
      <c r="A5283" s="24" t="s">
        <v>605</v>
      </c>
      <c r="B5283" s="24" t="s">
        <v>30</v>
      </c>
      <c r="C5283" s="24" t="s">
        <v>31</v>
      </c>
      <c r="D5283" s="24">
        <v>0</v>
      </c>
      <c r="E5283" s="24" t="s">
        <v>801</v>
      </c>
      <c r="F5283" s="24" t="s">
        <v>1139</v>
      </c>
      <c r="G5283" s="24">
        <v>169044</v>
      </c>
    </row>
    <row r="5284" spans="1:7" x14ac:dyDescent="0.25">
      <c r="A5284" s="24" t="s">
        <v>605</v>
      </c>
      <c r="B5284" s="24" t="s">
        <v>32</v>
      </c>
      <c r="C5284" s="24" t="s">
        <v>33</v>
      </c>
      <c r="D5284" s="24">
        <v>0.7</v>
      </c>
      <c r="E5284" s="24" t="s">
        <v>796</v>
      </c>
      <c r="F5284" s="24" t="s">
        <v>1139</v>
      </c>
      <c r="G5284" s="24">
        <v>169044</v>
      </c>
    </row>
    <row r="5285" spans="1:7" x14ac:dyDescent="0.25">
      <c r="A5285" s="24" t="s">
        <v>605</v>
      </c>
      <c r="B5285" s="24" t="s">
        <v>34</v>
      </c>
      <c r="C5285" s="24" t="s">
        <v>31</v>
      </c>
      <c r="D5285" s="24">
        <v>5</v>
      </c>
      <c r="E5285" s="24" t="s">
        <v>796</v>
      </c>
      <c r="F5285" s="24" t="s">
        <v>1139</v>
      </c>
      <c r="G5285" s="24">
        <v>169044</v>
      </c>
    </row>
    <row r="5286" spans="1:7" x14ac:dyDescent="0.25">
      <c r="A5286" s="24" t="s">
        <v>605</v>
      </c>
      <c r="B5286" s="24" t="s">
        <v>37</v>
      </c>
      <c r="C5286" s="24" t="s">
        <v>38</v>
      </c>
      <c r="D5286" s="24">
        <v>0</v>
      </c>
      <c r="E5286" s="24" t="s">
        <v>796</v>
      </c>
      <c r="F5286" s="24" t="s">
        <v>1139</v>
      </c>
      <c r="G5286" s="24">
        <v>169044</v>
      </c>
    </row>
    <row r="5287" spans="1:7" x14ac:dyDescent="0.25">
      <c r="A5287" s="24" t="s">
        <v>605</v>
      </c>
      <c r="B5287" s="24" t="s">
        <v>39</v>
      </c>
      <c r="C5287" s="24" t="s">
        <v>36</v>
      </c>
      <c r="D5287" s="24">
        <v>0</v>
      </c>
      <c r="E5287" s="24" t="s">
        <v>796</v>
      </c>
      <c r="F5287" s="24" t="s">
        <v>1139</v>
      </c>
      <c r="G5287" s="24">
        <v>169044</v>
      </c>
    </row>
    <row r="5288" spans="1:7" x14ac:dyDescent="0.25">
      <c r="A5288" s="24" t="s">
        <v>605</v>
      </c>
      <c r="B5288" s="24" t="s">
        <v>40</v>
      </c>
      <c r="C5288" s="24" t="s">
        <v>31</v>
      </c>
      <c r="D5288" s="24">
        <v>0.1</v>
      </c>
      <c r="E5288" s="24" t="s">
        <v>796</v>
      </c>
      <c r="F5288" s="24" t="s">
        <v>1139</v>
      </c>
      <c r="G5288" s="24">
        <v>169044</v>
      </c>
    </row>
    <row r="5289" spans="1:7" x14ac:dyDescent="0.25">
      <c r="A5289" s="24" t="s">
        <v>605</v>
      </c>
      <c r="B5289" s="24" t="s">
        <v>41</v>
      </c>
      <c r="C5289" s="24" t="s">
        <v>31</v>
      </c>
      <c r="D5289" s="24">
        <v>0.1</v>
      </c>
      <c r="E5289" s="24" t="s">
        <v>796</v>
      </c>
      <c r="F5289" s="24" t="s">
        <v>1139</v>
      </c>
      <c r="G5289" s="24">
        <v>169044</v>
      </c>
    </row>
    <row r="5290" spans="1:7" x14ac:dyDescent="0.25">
      <c r="A5290" s="24" t="s">
        <v>605</v>
      </c>
      <c r="B5290" s="24" t="s">
        <v>42</v>
      </c>
      <c r="C5290" s="24" t="s">
        <v>43</v>
      </c>
      <c r="D5290" s="24">
        <v>1.7</v>
      </c>
      <c r="E5290" s="24" t="s">
        <v>796</v>
      </c>
      <c r="F5290" s="24" t="s">
        <v>1139</v>
      </c>
      <c r="G5290" s="24">
        <v>169044</v>
      </c>
    </row>
    <row r="5291" spans="1:7" x14ac:dyDescent="0.25">
      <c r="A5291" s="24" t="s">
        <v>605</v>
      </c>
      <c r="B5291" s="24" t="s">
        <v>44</v>
      </c>
      <c r="C5291" s="24" t="s">
        <v>31</v>
      </c>
      <c r="D5291" s="24">
        <v>0.2</v>
      </c>
      <c r="E5291" s="24" t="s">
        <v>796</v>
      </c>
      <c r="F5291" s="24" t="s">
        <v>1139</v>
      </c>
      <c r="G5291" s="24">
        <v>169044</v>
      </c>
    </row>
    <row r="5292" spans="1:7" x14ac:dyDescent="0.25">
      <c r="A5292" s="24" t="s">
        <v>605</v>
      </c>
      <c r="B5292" s="24" t="s">
        <v>45</v>
      </c>
      <c r="C5292" s="24" t="s">
        <v>31</v>
      </c>
      <c r="D5292" s="24">
        <v>0</v>
      </c>
      <c r="E5292" s="24" t="s">
        <v>796</v>
      </c>
      <c r="F5292" s="24" t="s">
        <v>1139</v>
      </c>
      <c r="G5292" s="24">
        <v>169044</v>
      </c>
    </row>
    <row r="5293" spans="1:7" x14ac:dyDescent="0.25">
      <c r="A5293" s="24" t="s">
        <v>605</v>
      </c>
      <c r="B5293" s="24" t="s">
        <v>46</v>
      </c>
      <c r="C5293" s="24" t="s">
        <v>36</v>
      </c>
      <c r="D5293" s="24">
        <v>0</v>
      </c>
      <c r="E5293" s="24" t="s">
        <v>796</v>
      </c>
      <c r="F5293" s="24" t="s">
        <v>1139</v>
      </c>
      <c r="G5293" s="24">
        <v>169044</v>
      </c>
    </row>
    <row r="5294" spans="1:7" x14ac:dyDescent="0.25">
      <c r="A5294" s="24" t="s">
        <v>605</v>
      </c>
      <c r="B5294" s="24" t="s">
        <v>47</v>
      </c>
      <c r="C5294" s="24" t="s">
        <v>48</v>
      </c>
      <c r="D5294" s="24">
        <v>1.3</v>
      </c>
      <c r="E5294" s="24" t="s">
        <v>796</v>
      </c>
      <c r="F5294" s="24" t="s">
        <v>1139</v>
      </c>
      <c r="G5294" s="24">
        <v>169044</v>
      </c>
    </row>
    <row r="5295" spans="1:7" x14ac:dyDescent="0.25">
      <c r="A5295" s="24" t="s">
        <v>605</v>
      </c>
      <c r="B5295" s="24" t="s">
        <v>50</v>
      </c>
      <c r="C5295" s="24" t="s">
        <v>31</v>
      </c>
      <c r="D5295" s="24">
        <v>14</v>
      </c>
      <c r="E5295" s="24" t="s">
        <v>796</v>
      </c>
      <c r="F5295" s="24" t="s">
        <v>1139</v>
      </c>
      <c r="G5295" s="24">
        <v>169044</v>
      </c>
    </row>
    <row r="5296" spans="1:7" x14ac:dyDescent="0.25">
      <c r="A5296" s="24" t="s">
        <v>605</v>
      </c>
      <c r="B5296" s="24" t="s">
        <v>51</v>
      </c>
      <c r="C5296" s="24" t="s">
        <v>31</v>
      </c>
      <c r="D5296" s="24">
        <v>0.7</v>
      </c>
      <c r="E5296" s="24" t="s">
        <v>796</v>
      </c>
      <c r="F5296" s="24" t="s">
        <v>1139</v>
      </c>
      <c r="G5296" s="24">
        <v>169044</v>
      </c>
    </row>
    <row r="5297" spans="1:7" x14ac:dyDescent="0.25">
      <c r="A5297" s="24" t="s">
        <v>605</v>
      </c>
      <c r="B5297" s="24" t="s">
        <v>52</v>
      </c>
      <c r="C5297" s="24" t="s">
        <v>31</v>
      </c>
      <c r="D5297" s="24">
        <v>1.3</v>
      </c>
      <c r="E5297" s="24" t="s">
        <v>796</v>
      </c>
      <c r="F5297" s="24" t="s">
        <v>1139</v>
      </c>
      <c r="G5297" s="24">
        <v>169044</v>
      </c>
    </row>
    <row r="5298" spans="1:7" x14ac:dyDescent="0.25">
      <c r="A5298" s="24" t="s">
        <v>605</v>
      </c>
      <c r="B5298" s="24" t="s">
        <v>53</v>
      </c>
      <c r="C5298" s="24" t="s">
        <v>31</v>
      </c>
      <c r="D5298" s="24">
        <v>1</v>
      </c>
      <c r="E5298" s="24" t="s">
        <v>796</v>
      </c>
      <c r="F5298" s="24" t="s">
        <v>1139</v>
      </c>
      <c r="G5298" s="24">
        <v>169044</v>
      </c>
    </row>
    <row r="5299" spans="1:7" x14ac:dyDescent="0.25">
      <c r="A5299" s="24" t="s">
        <v>605</v>
      </c>
      <c r="B5299" s="24" t="s">
        <v>54</v>
      </c>
      <c r="C5299" s="24" t="s">
        <v>31</v>
      </c>
      <c r="D5299" s="24">
        <v>0</v>
      </c>
      <c r="E5299" s="24" t="s">
        <v>796</v>
      </c>
      <c r="F5299" s="24" t="s">
        <v>1139</v>
      </c>
      <c r="G5299" s="24">
        <v>169044</v>
      </c>
    </row>
    <row r="5300" spans="1:7" x14ac:dyDescent="0.25">
      <c r="A5300" s="24" t="s">
        <v>605</v>
      </c>
      <c r="B5300" s="24" t="s">
        <v>55</v>
      </c>
      <c r="C5300" s="24" t="s">
        <v>31</v>
      </c>
      <c r="D5300" s="24">
        <v>0</v>
      </c>
      <c r="E5300" s="24" t="s">
        <v>796</v>
      </c>
      <c r="F5300" s="24" t="s">
        <v>1139</v>
      </c>
      <c r="G5300" s="24">
        <v>169044</v>
      </c>
    </row>
    <row r="5301" spans="1:7" x14ac:dyDescent="0.25">
      <c r="A5301" s="24" t="s">
        <v>605</v>
      </c>
      <c r="B5301" s="24" t="s">
        <v>56</v>
      </c>
      <c r="C5301" s="24" t="s">
        <v>31</v>
      </c>
      <c r="D5301" s="24">
        <v>0</v>
      </c>
      <c r="E5301" s="24" t="s">
        <v>796</v>
      </c>
      <c r="F5301" s="24" t="s">
        <v>1139</v>
      </c>
      <c r="G5301" s="24">
        <v>169044</v>
      </c>
    </row>
    <row r="5302" spans="1:7" x14ac:dyDescent="0.25">
      <c r="A5302" s="24" t="s">
        <v>605</v>
      </c>
      <c r="B5302" s="24" t="s">
        <v>57</v>
      </c>
      <c r="C5302" s="24" t="s">
        <v>36</v>
      </c>
      <c r="D5302" s="24">
        <v>0</v>
      </c>
      <c r="E5302" s="24" t="s">
        <v>796</v>
      </c>
      <c r="F5302" s="24" t="s">
        <v>1139</v>
      </c>
      <c r="G5302" s="24">
        <v>169044</v>
      </c>
    </row>
    <row r="5303" spans="1:7" x14ac:dyDescent="0.25">
      <c r="A5303" s="24" t="s">
        <v>605</v>
      </c>
      <c r="B5303" s="24" t="s">
        <v>58</v>
      </c>
      <c r="C5303" s="24" t="s">
        <v>5</v>
      </c>
      <c r="D5303" s="24">
        <v>0</v>
      </c>
      <c r="E5303" s="24" t="s">
        <v>795</v>
      </c>
      <c r="F5303" s="24"/>
      <c r="G5303" s="24"/>
    </row>
    <row r="5304" spans="1:7" x14ac:dyDescent="0.25">
      <c r="A5304" s="24" t="s">
        <v>606</v>
      </c>
      <c r="B5304" s="24" t="s">
        <v>26</v>
      </c>
      <c r="C5304" s="24" t="s">
        <v>5</v>
      </c>
      <c r="D5304" s="24">
        <v>0</v>
      </c>
      <c r="E5304" s="24" t="s">
        <v>994</v>
      </c>
      <c r="F5304" s="24"/>
      <c r="G5304" s="24"/>
    </row>
    <row r="5305" spans="1:7" x14ac:dyDescent="0.25">
      <c r="A5305" s="24" t="s">
        <v>606</v>
      </c>
      <c r="B5305" s="24" t="s">
        <v>27</v>
      </c>
      <c r="C5305" s="24" t="s">
        <v>5</v>
      </c>
      <c r="D5305" s="24">
        <v>0</v>
      </c>
      <c r="E5305" s="24" t="s">
        <v>994</v>
      </c>
      <c r="F5305" s="24"/>
      <c r="G5305" s="24"/>
    </row>
    <row r="5306" spans="1:7" x14ac:dyDescent="0.25">
      <c r="A5306" s="24" t="s">
        <v>606</v>
      </c>
      <c r="B5306" s="24" t="s">
        <v>28</v>
      </c>
      <c r="C5306" s="24" t="s">
        <v>5</v>
      </c>
      <c r="D5306" s="24">
        <v>0</v>
      </c>
      <c r="E5306" s="24" t="s">
        <v>994</v>
      </c>
      <c r="F5306" s="24"/>
      <c r="G5306" s="24"/>
    </row>
    <row r="5307" spans="1:7" x14ac:dyDescent="0.25">
      <c r="A5307" s="24" t="s">
        <v>606</v>
      </c>
      <c r="B5307" s="24" t="s">
        <v>29</v>
      </c>
      <c r="C5307" s="24" t="s">
        <v>5</v>
      </c>
      <c r="D5307" s="24">
        <v>0</v>
      </c>
      <c r="E5307" s="24" t="s">
        <v>994</v>
      </c>
      <c r="F5307" s="24"/>
      <c r="G5307" s="24"/>
    </row>
    <row r="5308" spans="1:7" x14ac:dyDescent="0.25">
      <c r="A5308" s="24" t="s">
        <v>606</v>
      </c>
      <c r="B5308" s="24" t="s">
        <v>30</v>
      </c>
      <c r="C5308" s="24" t="s">
        <v>31</v>
      </c>
      <c r="D5308" s="24">
        <v>0</v>
      </c>
      <c r="E5308" s="24" t="s">
        <v>801</v>
      </c>
      <c r="F5308" s="24" t="s">
        <v>1140</v>
      </c>
      <c r="G5308" s="24">
        <v>171916</v>
      </c>
    </row>
    <row r="5309" spans="1:7" x14ac:dyDescent="0.25">
      <c r="A5309" s="24" t="s">
        <v>606</v>
      </c>
      <c r="B5309" s="24" t="s">
        <v>32</v>
      </c>
      <c r="C5309" s="24" t="s">
        <v>33</v>
      </c>
      <c r="D5309" s="24">
        <v>0</v>
      </c>
      <c r="E5309" s="24" t="s">
        <v>796</v>
      </c>
      <c r="F5309" s="24" t="s">
        <v>1140</v>
      </c>
      <c r="G5309" s="24">
        <v>171916</v>
      </c>
    </row>
    <row r="5310" spans="1:7" x14ac:dyDescent="0.25">
      <c r="A5310" s="24" t="s">
        <v>606</v>
      </c>
      <c r="B5310" s="24" t="s">
        <v>34</v>
      </c>
      <c r="C5310" s="24" t="s">
        <v>31</v>
      </c>
      <c r="D5310" s="24">
        <v>10.5</v>
      </c>
      <c r="E5310" s="24" t="s">
        <v>796</v>
      </c>
      <c r="F5310" s="24" t="s">
        <v>1140</v>
      </c>
      <c r="G5310" s="24">
        <v>171916</v>
      </c>
    </row>
    <row r="5311" spans="1:7" x14ac:dyDescent="0.25">
      <c r="A5311" s="24" t="s">
        <v>606</v>
      </c>
      <c r="B5311" s="24" t="s">
        <v>35</v>
      </c>
      <c r="C5311" s="24" t="s">
        <v>36</v>
      </c>
      <c r="D5311" s="24">
        <v>0</v>
      </c>
      <c r="E5311" s="24" t="s">
        <v>796</v>
      </c>
      <c r="F5311" s="24" t="s">
        <v>1140</v>
      </c>
      <c r="G5311" s="24">
        <v>171916</v>
      </c>
    </row>
    <row r="5312" spans="1:7" x14ac:dyDescent="0.25">
      <c r="A5312" s="24" t="s">
        <v>606</v>
      </c>
      <c r="B5312" s="24" t="s">
        <v>37</v>
      </c>
      <c r="C5312" s="24" t="s">
        <v>38</v>
      </c>
      <c r="D5312" s="24">
        <v>0</v>
      </c>
      <c r="E5312" s="24" t="s">
        <v>796</v>
      </c>
      <c r="F5312" s="24" t="s">
        <v>1140</v>
      </c>
      <c r="G5312" s="24">
        <v>171916</v>
      </c>
    </row>
    <row r="5313" spans="1:7" x14ac:dyDescent="0.25">
      <c r="A5313" s="24" t="s">
        <v>606</v>
      </c>
      <c r="B5313" s="24" t="s">
        <v>39</v>
      </c>
      <c r="C5313" s="24" t="s">
        <v>36</v>
      </c>
      <c r="D5313" s="24">
        <v>0</v>
      </c>
      <c r="E5313" s="24" t="s">
        <v>796</v>
      </c>
      <c r="F5313" s="24" t="s">
        <v>1140</v>
      </c>
      <c r="G5313" s="24">
        <v>171916</v>
      </c>
    </row>
    <row r="5314" spans="1:7" x14ac:dyDescent="0.25">
      <c r="A5314" s="24" t="s">
        <v>606</v>
      </c>
      <c r="B5314" s="24" t="s">
        <v>40</v>
      </c>
      <c r="C5314" s="24" t="s">
        <v>31</v>
      </c>
      <c r="D5314" s="24">
        <v>0</v>
      </c>
      <c r="E5314" s="24" t="s">
        <v>796</v>
      </c>
      <c r="F5314" s="24" t="s">
        <v>1140</v>
      </c>
      <c r="G5314" s="24">
        <v>171916</v>
      </c>
    </row>
    <row r="5315" spans="1:7" x14ac:dyDescent="0.25">
      <c r="A5315" s="24" t="s">
        <v>606</v>
      </c>
      <c r="B5315" s="24" t="s">
        <v>41</v>
      </c>
      <c r="C5315" s="24" t="s">
        <v>31</v>
      </c>
      <c r="D5315" s="24">
        <v>0</v>
      </c>
      <c r="E5315" s="24" t="s">
        <v>796</v>
      </c>
      <c r="F5315" s="24" t="s">
        <v>1140</v>
      </c>
      <c r="G5315" s="24">
        <v>171916</v>
      </c>
    </row>
    <row r="5316" spans="1:7" x14ac:dyDescent="0.25">
      <c r="A5316" s="24" t="s">
        <v>606</v>
      </c>
      <c r="B5316" s="24" t="s">
        <v>42</v>
      </c>
      <c r="C5316" s="24" t="s">
        <v>43</v>
      </c>
      <c r="D5316" s="24">
        <v>0</v>
      </c>
      <c r="E5316" s="24" t="s">
        <v>796</v>
      </c>
      <c r="F5316" s="24" t="s">
        <v>1140</v>
      </c>
      <c r="G5316" s="24">
        <v>171916</v>
      </c>
    </row>
    <row r="5317" spans="1:7" x14ac:dyDescent="0.25">
      <c r="A5317" s="24" t="s">
        <v>606</v>
      </c>
      <c r="B5317" s="24" t="s">
        <v>44</v>
      </c>
      <c r="C5317" s="24" t="s">
        <v>31</v>
      </c>
      <c r="D5317" s="24">
        <v>0</v>
      </c>
      <c r="E5317" s="24" t="s">
        <v>796</v>
      </c>
      <c r="F5317" s="24" t="s">
        <v>1140</v>
      </c>
      <c r="G5317" s="24">
        <v>171916</v>
      </c>
    </row>
    <row r="5318" spans="1:7" x14ac:dyDescent="0.25">
      <c r="A5318" s="24" t="s">
        <v>606</v>
      </c>
      <c r="B5318" s="24" t="s">
        <v>45</v>
      </c>
      <c r="C5318" s="24" t="s">
        <v>31</v>
      </c>
      <c r="D5318" s="24">
        <v>0</v>
      </c>
      <c r="E5318" s="24" t="s">
        <v>796</v>
      </c>
      <c r="F5318" s="24" t="s">
        <v>1140</v>
      </c>
      <c r="G5318" s="24">
        <v>171916</v>
      </c>
    </row>
    <row r="5319" spans="1:7" x14ac:dyDescent="0.25">
      <c r="A5319" s="24" t="s">
        <v>606</v>
      </c>
      <c r="B5319" s="24" t="s">
        <v>46</v>
      </c>
      <c r="C5319" s="24" t="s">
        <v>36</v>
      </c>
      <c r="D5319" s="24">
        <v>0</v>
      </c>
      <c r="E5319" s="24" t="s">
        <v>796</v>
      </c>
      <c r="F5319" s="24" t="s">
        <v>1140</v>
      </c>
      <c r="G5319" s="24">
        <v>171916</v>
      </c>
    </row>
    <row r="5320" spans="1:7" x14ac:dyDescent="0.25">
      <c r="A5320" s="24" t="s">
        <v>606</v>
      </c>
      <c r="B5320" s="24" t="s">
        <v>47</v>
      </c>
      <c r="C5320" s="24" t="s">
        <v>48</v>
      </c>
      <c r="D5320" s="24">
        <v>0</v>
      </c>
      <c r="E5320" s="24" t="s">
        <v>796</v>
      </c>
      <c r="F5320" s="24" t="s">
        <v>1140</v>
      </c>
      <c r="G5320" s="24">
        <v>171916</v>
      </c>
    </row>
    <row r="5321" spans="1:7" x14ac:dyDescent="0.25">
      <c r="A5321" s="24" t="s">
        <v>606</v>
      </c>
      <c r="B5321" s="24" t="s">
        <v>50</v>
      </c>
      <c r="C5321" s="24" t="s">
        <v>31</v>
      </c>
      <c r="D5321" s="24">
        <v>4</v>
      </c>
      <c r="E5321" s="24" t="s">
        <v>796</v>
      </c>
      <c r="F5321" s="24" t="s">
        <v>1140</v>
      </c>
      <c r="G5321" s="24">
        <v>171916</v>
      </c>
    </row>
    <row r="5322" spans="1:7" x14ac:dyDescent="0.25">
      <c r="A5322" s="24" t="s">
        <v>606</v>
      </c>
      <c r="B5322" s="24" t="s">
        <v>51</v>
      </c>
      <c r="C5322" s="24" t="s">
        <v>31</v>
      </c>
      <c r="D5322" s="24">
        <v>17.3</v>
      </c>
      <c r="E5322" s="24" t="s">
        <v>796</v>
      </c>
      <c r="F5322" s="24" t="s">
        <v>1140</v>
      </c>
      <c r="G5322" s="24">
        <v>171916</v>
      </c>
    </row>
    <row r="5323" spans="1:7" x14ac:dyDescent="0.25">
      <c r="A5323" s="24" t="s">
        <v>606</v>
      </c>
      <c r="B5323" s="24" t="s">
        <v>52</v>
      </c>
      <c r="C5323" s="24" t="s">
        <v>31</v>
      </c>
      <c r="D5323" s="24">
        <v>0</v>
      </c>
      <c r="E5323" s="24" t="s">
        <v>796</v>
      </c>
      <c r="F5323" s="24" t="s">
        <v>1140</v>
      </c>
      <c r="G5323" s="24">
        <v>171916</v>
      </c>
    </row>
    <row r="5324" spans="1:7" x14ac:dyDescent="0.25">
      <c r="A5324" s="24" t="s">
        <v>606</v>
      </c>
      <c r="B5324" s="24" t="s">
        <v>53</v>
      </c>
      <c r="C5324" s="24" t="s">
        <v>31</v>
      </c>
      <c r="D5324" s="24">
        <v>0.3</v>
      </c>
      <c r="E5324" s="24" t="s">
        <v>796</v>
      </c>
      <c r="F5324" s="24" t="s">
        <v>1140</v>
      </c>
      <c r="G5324" s="24">
        <v>171916</v>
      </c>
    </row>
    <row r="5325" spans="1:7" x14ac:dyDescent="0.25">
      <c r="A5325" s="24" t="s">
        <v>606</v>
      </c>
      <c r="B5325" s="24" t="s">
        <v>54</v>
      </c>
      <c r="C5325" s="24" t="s">
        <v>31</v>
      </c>
      <c r="D5325" s="24">
        <v>0</v>
      </c>
      <c r="E5325" s="24" t="s">
        <v>796</v>
      </c>
      <c r="F5325" s="24" t="s">
        <v>1140</v>
      </c>
      <c r="G5325" s="24">
        <v>171916</v>
      </c>
    </row>
    <row r="5326" spans="1:7" x14ac:dyDescent="0.25">
      <c r="A5326" s="24" t="s">
        <v>606</v>
      </c>
      <c r="B5326" s="24" t="s">
        <v>55</v>
      </c>
      <c r="C5326" s="24" t="s">
        <v>31</v>
      </c>
      <c r="D5326" s="24">
        <v>0</v>
      </c>
      <c r="E5326" s="24" t="s">
        <v>796</v>
      </c>
      <c r="F5326" s="24" t="s">
        <v>1140</v>
      </c>
      <c r="G5326" s="24">
        <v>171916</v>
      </c>
    </row>
    <row r="5327" spans="1:7" x14ac:dyDescent="0.25">
      <c r="A5327" s="24" t="s">
        <v>606</v>
      </c>
      <c r="B5327" s="24" t="s">
        <v>56</v>
      </c>
      <c r="C5327" s="24" t="s">
        <v>31</v>
      </c>
      <c r="D5327" s="24">
        <v>0</v>
      </c>
      <c r="E5327" s="24" t="s">
        <v>796</v>
      </c>
      <c r="F5327" s="24" t="s">
        <v>1140</v>
      </c>
      <c r="G5327" s="24">
        <v>171916</v>
      </c>
    </row>
    <row r="5328" spans="1:7" x14ac:dyDescent="0.25">
      <c r="A5328" s="24" t="s">
        <v>606</v>
      </c>
      <c r="B5328" s="24" t="s">
        <v>57</v>
      </c>
      <c r="C5328" s="24" t="s">
        <v>36</v>
      </c>
      <c r="D5328" s="24">
        <v>0</v>
      </c>
      <c r="E5328" s="24" t="s">
        <v>796</v>
      </c>
      <c r="F5328" s="24" t="s">
        <v>1140</v>
      </c>
      <c r="G5328" s="24">
        <v>171916</v>
      </c>
    </row>
    <row r="5329" spans="1:7" x14ac:dyDescent="0.25">
      <c r="A5329" s="24" t="s">
        <v>606</v>
      </c>
      <c r="B5329" s="24" t="s">
        <v>58</v>
      </c>
      <c r="C5329" s="24" t="s">
        <v>5</v>
      </c>
      <c r="D5329" s="24">
        <v>0</v>
      </c>
      <c r="E5329" s="24" t="s">
        <v>795</v>
      </c>
      <c r="F5329" s="24"/>
      <c r="G5329" s="24"/>
    </row>
    <row r="5330" spans="1:7" x14ac:dyDescent="0.25">
      <c r="A5330" s="24" t="s">
        <v>608</v>
      </c>
      <c r="B5330" s="24" t="s">
        <v>20</v>
      </c>
      <c r="C5330" s="24" t="s">
        <v>5</v>
      </c>
      <c r="D5330" s="24">
        <v>0.9</v>
      </c>
      <c r="E5330" s="24" t="s">
        <v>796</v>
      </c>
      <c r="F5330" s="24" t="s">
        <v>1141</v>
      </c>
      <c r="G5330" s="24">
        <v>173235</v>
      </c>
    </row>
    <row r="5331" spans="1:7" x14ac:dyDescent="0.25">
      <c r="A5331" s="24" t="s">
        <v>608</v>
      </c>
      <c r="B5331" s="24" t="s">
        <v>24</v>
      </c>
      <c r="C5331" s="24" t="s">
        <v>5</v>
      </c>
      <c r="D5331" s="24">
        <v>0.4</v>
      </c>
      <c r="E5331" s="24" t="s">
        <v>801</v>
      </c>
      <c r="F5331" s="24" t="s">
        <v>1141</v>
      </c>
      <c r="G5331" s="24">
        <v>173235</v>
      </c>
    </row>
    <row r="5332" spans="1:7" x14ac:dyDescent="0.25">
      <c r="A5332" s="24" t="s">
        <v>608</v>
      </c>
      <c r="B5332" s="24" t="s">
        <v>26</v>
      </c>
      <c r="C5332" s="24" t="s">
        <v>5</v>
      </c>
      <c r="D5332" s="24">
        <v>0</v>
      </c>
      <c r="E5332" s="24" t="s">
        <v>994</v>
      </c>
      <c r="F5332" s="24"/>
      <c r="G5332" s="24"/>
    </row>
    <row r="5333" spans="1:7" x14ac:dyDescent="0.25">
      <c r="A5333" s="24" t="s">
        <v>608</v>
      </c>
      <c r="B5333" s="24" t="s">
        <v>27</v>
      </c>
      <c r="C5333" s="24" t="s">
        <v>5</v>
      </c>
      <c r="D5333" s="24">
        <v>0</v>
      </c>
      <c r="E5333" s="24" t="s">
        <v>994</v>
      </c>
      <c r="F5333" s="24"/>
      <c r="G5333" s="24"/>
    </row>
    <row r="5334" spans="1:7" x14ac:dyDescent="0.25">
      <c r="A5334" s="24" t="s">
        <v>608</v>
      </c>
      <c r="B5334" s="24" t="s">
        <v>28</v>
      </c>
      <c r="C5334" s="24" t="s">
        <v>5</v>
      </c>
      <c r="D5334" s="24">
        <v>0</v>
      </c>
      <c r="E5334" s="24" t="s">
        <v>994</v>
      </c>
      <c r="F5334" s="24"/>
      <c r="G5334" s="24"/>
    </row>
    <row r="5335" spans="1:7" x14ac:dyDescent="0.25">
      <c r="A5335" s="24" t="s">
        <v>608</v>
      </c>
      <c r="B5335" s="24" t="s">
        <v>29</v>
      </c>
      <c r="C5335" s="24" t="s">
        <v>5</v>
      </c>
      <c r="D5335" s="24">
        <v>0</v>
      </c>
      <c r="E5335" s="24" t="s">
        <v>994</v>
      </c>
      <c r="F5335" s="24"/>
      <c r="G5335" s="24"/>
    </row>
    <row r="5336" spans="1:7" x14ac:dyDescent="0.25">
      <c r="A5336" s="24" t="s">
        <v>608</v>
      </c>
      <c r="B5336" s="24" t="s">
        <v>30</v>
      </c>
      <c r="C5336" s="24" t="s">
        <v>31</v>
      </c>
      <c r="D5336" s="24">
        <v>0</v>
      </c>
      <c r="E5336" s="24" t="s">
        <v>801</v>
      </c>
      <c r="F5336" s="24" t="s">
        <v>1141</v>
      </c>
      <c r="G5336" s="24">
        <v>173235</v>
      </c>
    </row>
    <row r="5337" spans="1:7" x14ac:dyDescent="0.25">
      <c r="A5337" s="24" t="s">
        <v>608</v>
      </c>
      <c r="B5337" s="24" t="s">
        <v>32</v>
      </c>
      <c r="C5337" s="24" t="s">
        <v>33</v>
      </c>
      <c r="D5337" s="24">
        <v>599</v>
      </c>
      <c r="E5337" s="24" t="s">
        <v>801</v>
      </c>
      <c r="F5337" s="24" t="s">
        <v>1141</v>
      </c>
      <c r="G5337" s="24">
        <v>173235</v>
      </c>
    </row>
    <row r="5338" spans="1:7" x14ac:dyDescent="0.25">
      <c r="A5338" s="24" t="s">
        <v>608</v>
      </c>
      <c r="B5338" s="24" t="s">
        <v>35</v>
      </c>
      <c r="C5338" s="24" t="s">
        <v>36</v>
      </c>
      <c r="D5338" s="24">
        <v>0</v>
      </c>
      <c r="E5338" s="24" t="s">
        <v>801</v>
      </c>
      <c r="F5338" s="24" t="s">
        <v>1141</v>
      </c>
      <c r="G5338" s="24">
        <v>173235</v>
      </c>
    </row>
    <row r="5339" spans="1:7" x14ac:dyDescent="0.25">
      <c r="A5339" s="24" t="s">
        <v>608</v>
      </c>
      <c r="B5339" s="24" t="s">
        <v>37</v>
      </c>
      <c r="C5339" s="24" t="s">
        <v>38</v>
      </c>
      <c r="D5339" s="24">
        <v>0</v>
      </c>
      <c r="E5339" s="24" t="s">
        <v>801</v>
      </c>
      <c r="F5339" s="24" t="s">
        <v>1141</v>
      </c>
      <c r="G5339" s="24">
        <v>173235</v>
      </c>
    </row>
    <row r="5340" spans="1:7" x14ac:dyDescent="0.25">
      <c r="A5340" s="24" t="s">
        <v>608</v>
      </c>
      <c r="B5340" s="24" t="s">
        <v>39</v>
      </c>
      <c r="C5340" s="24" t="s">
        <v>36</v>
      </c>
      <c r="D5340" s="24">
        <v>0</v>
      </c>
      <c r="E5340" s="24" t="s">
        <v>801</v>
      </c>
      <c r="F5340" s="24" t="s">
        <v>1141</v>
      </c>
      <c r="G5340" s="24">
        <v>173235</v>
      </c>
    </row>
    <row r="5341" spans="1:7" x14ac:dyDescent="0.25">
      <c r="A5341" s="24" t="s">
        <v>608</v>
      </c>
      <c r="B5341" s="24" t="s">
        <v>40</v>
      </c>
      <c r="C5341" s="24" t="s">
        <v>31</v>
      </c>
      <c r="D5341" s="24">
        <v>0</v>
      </c>
      <c r="E5341" s="24" t="s">
        <v>801</v>
      </c>
      <c r="F5341" s="24" t="s">
        <v>1141</v>
      </c>
      <c r="G5341" s="24">
        <v>173235</v>
      </c>
    </row>
    <row r="5342" spans="1:7" x14ac:dyDescent="0.25">
      <c r="A5342" s="24" t="s">
        <v>608</v>
      </c>
      <c r="B5342" s="24" t="s">
        <v>41</v>
      </c>
      <c r="C5342" s="24" t="s">
        <v>31</v>
      </c>
      <c r="D5342" s="24">
        <v>0.7</v>
      </c>
      <c r="E5342" s="24" t="s">
        <v>801</v>
      </c>
      <c r="F5342" s="24" t="s">
        <v>1141</v>
      </c>
      <c r="G5342" s="24">
        <v>173235</v>
      </c>
    </row>
    <row r="5343" spans="1:7" x14ac:dyDescent="0.25">
      <c r="A5343" s="24" t="s">
        <v>608</v>
      </c>
      <c r="B5343" s="24" t="s">
        <v>42</v>
      </c>
      <c r="C5343" s="24" t="s">
        <v>43</v>
      </c>
      <c r="D5343" s="24">
        <v>8</v>
      </c>
      <c r="E5343" s="24" t="s">
        <v>801</v>
      </c>
      <c r="F5343" s="24" t="s">
        <v>1141</v>
      </c>
      <c r="G5343" s="24">
        <v>173235</v>
      </c>
    </row>
    <row r="5344" spans="1:7" x14ac:dyDescent="0.25">
      <c r="A5344" s="24" t="s">
        <v>608</v>
      </c>
      <c r="B5344" s="24" t="s">
        <v>44</v>
      </c>
      <c r="C5344" s="24" t="s">
        <v>31</v>
      </c>
      <c r="D5344" s="24">
        <v>0.8</v>
      </c>
      <c r="E5344" s="24" t="s">
        <v>801</v>
      </c>
      <c r="F5344" s="24" t="s">
        <v>1141</v>
      </c>
      <c r="G5344" s="24">
        <v>173235</v>
      </c>
    </row>
    <row r="5345" spans="1:7" x14ac:dyDescent="0.25">
      <c r="A5345" s="24" t="s">
        <v>608</v>
      </c>
      <c r="B5345" s="24" t="s">
        <v>45</v>
      </c>
      <c r="C5345" s="24" t="s">
        <v>31</v>
      </c>
      <c r="D5345" s="24">
        <v>0</v>
      </c>
      <c r="E5345" s="24" t="s">
        <v>801</v>
      </c>
      <c r="F5345" s="24" t="s">
        <v>1141</v>
      </c>
      <c r="G5345" s="24">
        <v>173235</v>
      </c>
    </row>
    <row r="5346" spans="1:7" x14ac:dyDescent="0.25">
      <c r="A5346" s="24" t="s">
        <v>608</v>
      </c>
      <c r="B5346" s="24" t="s">
        <v>46</v>
      </c>
      <c r="C5346" s="24" t="s">
        <v>36</v>
      </c>
      <c r="D5346" s="24">
        <v>0</v>
      </c>
      <c r="E5346" s="24" t="s">
        <v>801</v>
      </c>
      <c r="F5346" s="24" t="s">
        <v>1141</v>
      </c>
      <c r="G5346" s="24">
        <v>173235</v>
      </c>
    </row>
    <row r="5347" spans="1:7" x14ac:dyDescent="0.25">
      <c r="A5347" s="24" t="s">
        <v>608</v>
      </c>
      <c r="B5347" s="24" t="s">
        <v>47</v>
      </c>
      <c r="C5347" s="24" t="s">
        <v>48</v>
      </c>
      <c r="D5347" s="24">
        <v>0</v>
      </c>
      <c r="E5347" s="24" t="s">
        <v>801</v>
      </c>
      <c r="F5347" s="24" t="s">
        <v>1141</v>
      </c>
      <c r="G5347" s="24">
        <v>173235</v>
      </c>
    </row>
    <row r="5348" spans="1:7" x14ac:dyDescent="0.25">
      <c r="A5348" s="24" t="s">
        <v>608</v>
      </c>
      <c r="B5348" s="24" t="s">
        <v>50</v>
      </c>
      <c r="C5348" s="24" t="s">
        <v>31</v>
      </c>
      <c r="D5348" s="24">
        <v>190</v>
      </c>
      <c r="E5348" s="24" t="s">
        <v>801</v>
      </c>
      <c r="F5348" s="24" t="s">
        <v>1141</v>
      </c>
      <c r="G5348" s="24">
        <v>173235</v>
      </c>
    </row>
    <row r="5349" spans="1:7" x14ac:dyDescent="0.25">
      <c r="A5349" s="24" t="s">
        <v>608</v>
      </c>
      <c r="B5349" s="24" t="s">
        <v>51</v>
      </c>
      <c r="C5349" s="24" t="s">
        <v>31</v>
      </c>
      <c r="D5349" s="24">
        <v>385</v>
      </c>
      <c r="E5349" s="24" t="s">
        <v>801</v>
      </c>
      <c r="F5349" s="24" t="s">
        <v>1141</v>
      </c>
      <c r="G5349" s="24">
        <v>173235</v>
      </c>
    </row>
    <row r="5350" spans="1:7" x14ac:dyDescent="0.25">
      <c r="A5350" s="24" t="s">
        <v>608</v>
      </c>
      <c r="B5350" s="24" t="s">
        <v>52</v>
      </c>
      <c r="C5350" s="24" t="s">
        <v>31</v>
      </c>
      <c r="D5350" s="24">
        <v>151</v>
      </c>
      <c r="E5350" s="24" t="s">
        <v>801</v>
      </c>
      <c r="F5350" s="24" t="s">
        <v>1141</v>
      </c>
      <c r="G5350" s="24">
        <v>173235</v>
      </c>
    </row>
    <row r="5351" spans="1:7" x14ac:dyDescent="0.25">
      <c r="A5351" s="24" t="s">
        <v>608</v>
      </c>
      <c r="B5351" s="24" t="s">
        <v>53</v>
      </c>
      <c r="C5351" s="24" t="s">
        <v>31</v>
      </c>
      <c r="D5351" s="24">
        <v>0</v>
      </c>
      <c r="E5351" s="24" t="s">
        <v>801</v>
      </c>
      <c r="F5351" s="24" t="s">
        <v>1141</v>
      </c>
      <c r="G5351" s="24">
        <v>173235</v>
      </c>
    </row>
    <row r="5352" spans="1:7" x14ac:dyDescent="0.25">
      <c r="A5352" s="24" t="s">
        <v>608</v>
      </c>
      <c r="B5352" s="24" t="s">
        <v>54</v>
      </c>
      <c r="C5352" s="24" t="s">
        <v>31</v>
      </c>
      <c r="D5352" s="24">
        <v>0</v>
      </c>
      <c r="E5352" s="24" t="s">
        <v>801</v>
      </c>
      <c r="F5352" s="24" t="s">
        <v>1141</v>
      </c>
      <c r="G5352" s="24">
        <v>173235</v>
      </c>
    </row>
    <row r="5353" spans="1:7" x14ac:dyDescent="0.25">
      <c r="A5353" s="24" t="s">
        <v>608</v>
      </c>
      <c r="B5353" s="24" t="s">
        <v>55</v>
      </c>
      <c r="C5353" s="24" t="s">
        <v>31</v>
      </c>
      <c r="D5353" s="24">
        <v>0</v>
      </c>
      <c r="E5353" s="24" t="s">
        <v>801</v>
      </c>
      <c r="F5353" s="24" t="s">
        <v>1141</v>
      </c>
      <c r="G5353" s="24">
        <v>173235</v>
      </c>
    </row>
    <row r="5354" spans="1:7" x14ac:dyDescent="0.25">
      <c r="A5354" s="24" t="s">
        <v>608</v>
      </c>
      <c r="B5354" s="24" t="s">
        <v>56</v>
      </c>
      <c r="C5354" s="24" t="s">
        <v>31</v>
      </c>
      <c r="D5354" s="24">
        <v>0</v>
      </c>
      <c r="E5354" s="24" t="s">
        <v>801</v>
      </c>
      <c r="F5354" s="24" t="s">
        <v>1141</v>
      </c>
      <c r="G5354" s="24">
        <v>173235</v>
      </c>
    </row>
    <row r="5355" spans="1:7" x14ac:dyDescent="0.25">
      <c r="A5355" s="24" t="s">
        <v>608</v>
      </c>
      <c r="B5355" s="24" t="s">
        <v>57</v>
      </c>
      <c r="C5355" s="24" t="s">
        <v>36</v>
      </c>
      <c r="D5355" s="24">
        <v>0.5</v>
      </c>
      <c r="E5355" s="24" t="s">
        <v>801</v>
      </c>
      <c r="F5355" s="24" t="s">
        <v>1141</v>
      </c>
      <c r="G5355" s="24">
        <v>173235</v>
      </c>
    </row>
    <row r="5356" spans="1:7" x14ac:dyDescent="0.25">
      <c r="A5356" s="24" t="s">
        <v>608</v>
      </c>
      <c r="B5356" s="24" t="s">
        <v>58</v>
      </c>
      <c r="C5356" s="24" t="s">
        <v>5</v>
      </c>
      <c r="D5356" s="24">
        <v>0</v>
      </c>
      <c r="E5356" s="24" t="s">
        <v>795</v>
      </c>
      <c r="F5356" s="24"/>
      <c r="G5356" s="24"/>
    </row>
    <row r="5357" spans="1:7" x14ac:dyDescent="0.25">
      <c r="A5357" s="24" t="s">
        <v>608</v>
      </c>
      <c r="B5357" s="24" t="s">
        <v>18</v>
      </c>
      <c r="C5357" s="24" t="s">
        <v>5</v>
      </c>
      <c r="D5357" s="24">
        <v>17.7</v>
      </c>
      <c r="E5357" s="24" t="s">
        <v>803</v>
      </c>
      <c r="F5357" s="24"/>
      <c r="G5357" s="24"/>
    </row>
    <row r="5358" spans="1:7" x14ac:dyDescent="0.25">
      <c r="A5358" s="24" t="s">
        <v>609</v>
      </c>
      <c r="B5358" s="24" t="s">
        <v>29</v>
      </c>
      <c r="C5358" s="24" t="s">
        <v>5</v>
      </c>
      <c r="D5358" s="24">
        <v>0</v>
      </c>
      <c r="E5358" s="24" t="s">
        <v>940</v>
      </c>
      <c r="F5358" s="24"/>
      <c r="G5358" s="24"/>
    </row>
    <row r="5359" spans="1:7" x14ac:dyDescent="0.25">
      <c r="A5359" s="24" t="s">
        <v>609</v>
      </c>
      <c r="B5359" s="24" t="s">
        <v>58</v>
      </c>
      <c r="C5359" s="24" t="s">
        <v>5</v>
      </c>
      <c r="D5359" s="24">
        <v>0</v>
      </c>
      <c r="E5359" s="24" t="s">
        <v>795</v>
      </c>
      <c r="F5359" s="24"/>
      <c r="G5359" s="24"/>
    </row>
    <row r="5360" spans="1:7" x14ac:dyDescent="0.25">
      <c r="A5360" s="24" t="s">
        <v>610</v>
      </c>
      <c r="B5360" s="24" t="s">
        <v>29</v>
      </c>
      <c r="C5360" s="24" t="s">
        <v>5</v>
      </c>
      <c r="D5360" s="24">
        <v>0</v>
      </c>
      <c r="E5360" s="24" t="s">
        <v>940</v>
      </c>
      <c r="F5360" s="24"/>
      <c r="G5360" s="24"/>
    </row>
    <row r="5361" spans="1:7" x14ac:dyDescent="0.25">
      <c r="A5361" s="24" t="s">
        <v>610</v>
      </c>
      <c r="B5361" s="24" t="s">
        <v>58</v>
      </c>
      <c r="C5361" s="24" t="s">
        <v>5</v>
      </c>
      <c r="D5361" s="24">
        <v>0</v>
      </c>
      <c r="E5361" s="24" t="s">
        <v>795</v>
      </c>
      <c r="F5361" s="24"/>
      <c r="G5361" s="24"/>
    </row>
    <row r="5362" spans="1:7" x14ac:dyDescent="0.25">
      <c r="A5362" s="24" t="s">
        <v>611</v>
      </c>
      <c r="B5362" s="24" t="s">
        <v>29</v>
      </c>
      <c r="C5362" s="24" t="s">
        <v>5</v>
      </c>
      <c r="D5362" s="24">
        <v>0</v>
      </c>
      <c r="E5362" s="24" t="s">
        <v>940</v>
      </c>
      <c r="F5362" s="24"/>
      <c r="G5362" s="24"/>
    </row>
    <row r="5363" spans="1:7" x14ac:dyDescent="0.25">
      <c r="A5363" s="24" t="s">
        <v>611</v>
      </c>
      <c r="B5363" s="24" t="s">
        <v>58</v>
      </c>
      <c r="C5363" s="24" t="s">
        <v>5</v>
      </c>
      <c r="D5363" s="24">
        <v>0</v>
      </c>
      <c r="E5363" s="24" t="s">
        <v>795</v>
      </c>
      <c r="F5363" s="24"/>
      <c r="G5363" s="24"/>
    </row>
    <row r="5364" spans="1:7" x14ac:dyDescent="0.25">
      <c r="A5364" s="24" t="s">
        <v>613</v>
      </c>
      <c r="B5364" s="24" t="s">
        <v>29</v>
      </c>
      <c r="C5364" s="24" t="s">
        <v>5</v>
      </c>
      <c r="D5364" s="24">
        <v>0</v>
      </c>
      <c r="E5364" s="24" t="s">
        <v>994</v>
      </c>
      <c r="F5364" s="24"/>
      <c r="G5364" s="24"/>
    </row>
    <row r="5365" spans="1:7" x14ac:dyDescent="0.25">
      <c r="A5365" s="24" t="s">
        <v>613</v>
      </c>
      <c r="B5365" s="24" t="s">
        <v>58</v>
      </c>
      <c r="C5365" s="24" t="s">
        <v>5</v>
      </c>
      <c r="D5365" s="24">
        <v>0</v>
      </c>
      <c r="E5365" s="24" t="s">
        <v>795</v>
      </c>
      <c r="F5365" s="24"/>
      <c r="G5365" s="24"/>
    </row>
    <row r="5366" spans="1:7" x14ac:dyDescent="0.25">
      <c r="A5366" s="24" t="s">
        <v>614</v>
      </c>
      <c r="B5366" s="24" t="s">
        <v>24</v>
      </c>
      <c r="C5366" s="24" t="s">
        <v>5</v>
      </c>
      <c r="D5366" s="24">
        <v>0</v>
      </c>
      <c r="E5366" s="24" t="s">
        <v>796</v>
      </c>
      <c r="F5366" s="24" t="s">
        <v>1142</v>
      </c>
      <c r="G5366" s="24">
        <v>175099</v>
      </c>
    </row>
    <row r="5367" spans="1:7" x14ac:dyDescent="0.25">
      <c r="A5367" s="24" t="s">
        <v>614</v>
      </c>
      <c r="B5367" s="24" t="s">
        <v>26</v>
      </c>
      <c r="C5367" s="24" t="s">
        <v>5</v>
      </c>
      <c r="D5367" s="24">
        <v>0</v>
      </c>
      <c r="E5367" s="24" t="s">
        <v>799</v>
      </c>
      <c r="F5367" s="24" t="s">
        <v>1142</v>
      </c>
      <c r="G5367" s="24">
        <v>175099</v>
      </c>
    </row>
    <row r="5368" spans="1:7" x14ac:dyDescent="0.25">
      <c r="A5368" s="24" t="s">
        <v>614</v>
      </c>
      <c r="B5368" s="24" t="s">
        <v>27</v>
      </c>
      <c r="C5368" s="24" t="s">
        <v>5</v>
      </c>
      <c r="D5368" s="24">
        <v>0</v>
      </c>
      <c r="E5368" s="24" t="s">
        <v>799</v>
      </c>
      <c r="F5368" s="24" t="s">
        <v>1142</v>
      </c>
      <c r="G5368" s="24">
        <v>175099</v>
      </c>
    </row>
    <row r="5369" spans="1:7" x14ac:dyDescent="0.25">
      <c r="A5369" s="24" t="s">
        <v>614</v>
      </c>
      <c r="B5369" s="24" t="s">
        <v>28</v>
      </c>
      <c r="C5369" s="24" t="s">
        <v>5</v>
      </c>
      <c r="D5369" s="24">
        <v>0</v>
      </c>
      <c r="E5369" s="24" t="s">
        <v>799</v>
      </c>
      <c r="F5369" s="24" t="s">
        <v>1142</v>
      </c>
      <c r="G5369" s="24">
        <v>175099</v>
      </c>
    </row>
    <row r="5370" spans="1:7" x14ac:dyDescent="0.25">
      <c r="A5370" s="24" t="s">
        <v>614</v>
      </c>
      <c r="B5370" s="24" t="s">
        <v>29</v>
      </c>
      <c r="C5370" s="24" t="s">
        <v>5</v>
      </c>
      <c r="D5370" s="24">
        <v>0</v>
      </c>
      <c r="E5370" s="24" t="s">
        <v>799</v>
      </c>
      <c r="F5370" s="24" t="s">
        <v>1142</v>
      </c>
      <c r="G5370" s="24">
        <v>175099</v>
      </c>
    </row>
    <row r="5371" spans="1:7" x14ac:dyDescent="0.25">
      <c r="A5371" s="24" t="s">
        <v>614</v>
      </c>
      <c r="B5371" s="24" t="s">
        <v>30</v>
      </c>
      <c r="C5371" s="24" t="s">
        <v>31</v>
      </c>
      <c r="D5371" s="24">
        <v>0</v>
      </c>
      <c r="E5371" s="24" t="s">
        <v>801</v>
      </c>
      <c r="F5371" s="24" t="s">
        <v>1142</v>
      </c>
      <c r="G5371" s="24">
        <v>175099</v>
      </c>
    </row>
    <row r="5372" spans="1:7" x14ac:dyDescent="0.25">
      <c r="A5372" s="24" t="s">
        <v>614</v>
      </c>
      <c r="B5372" s="24" t="s">
        <v>32</v>
      </c>
      <c r="C5372" s="24" t="s">
        <v>33</v>
      </c>
      <c r="D5372" s="24">
        <v>0</v>
      </c>
      <c r="E5372" s="24" t="s">
        <v>796</v>
      </c>
      <c r="F5372" s="24" t="s">
        <v>1142</v>
      </c>
      <c r="G5372" s="24">
        <v>175099</v>
      </c>
    </row>
    <row r="5373" spans="1:7" x14ac:dyDescent="0.25">
      <c r="A5373" s="24" t="s">
        <v>614</v>
      </c>
      <c r="B5373" s="24" t="s">
        <v>34</v>
      </c>
      <c r="C5373" s="24" t="s">
        <v>31</v>
      </c>
      <c r="D5373" s="24">
        <v>0</v>
      </c>
      <c r="E5373" s="24" t="s">
        <v>796</v>
      </c>
      <c r="F5373" s="24" t="s">
        <v>1142</v>
      </c>
      <c r="G5373" s="24">
        <v>175099</v>
      </c>
    </row>
    <row r="5374" spans="1:7" x14ac:dyDescent="0.25">
      <c r="A5374" s="24" t="s">
        <v>614</v>
      </c>
      <c r="B5374" s="24" t="s">
        <v>35</v>
      </c>
      <c r="C5374" s="24" t="s">
        <v>36</v>
      </c>
      <c r="D5374" s="24">
        <v>0</v>
      </c>
      <c r="E5374" s="24" t="s">
        <v>796</v>
      </c>
      <c r="F5374" s="24" t="s">
        <v>1142</v>
      </c>
      <c r="G5374" s="24">
        <v>175099</v>
      </c>
    </row>
    <row r="5375" spans="1:7" x14ac:dyDescent="0.25">
      <c r="A5375" s="24" t="s">
        <v>614</v>
      </c>
      <c r="B5375" s="24" t="s">
        <v>37</v>
      </c>
      <c r="C5375" s="24" t="s">
        <v>38</v>
      </c>
      <c r="D5375" s="24">
        <v>0</v>
      </c>
      <c r="E5375" s="24" t="s">
        <v>796</v>
      </c>
      <c r="F5375" s="24" t="s">
        <v>1142</v>
      </c>
      <c r="G5375" s="24">
        <v>175099</v>
      </c>
    </row>
    <row r="5376" spans="1:7" x14ac:dyDescent="0.25">
      <c r="A5376" s="24" t="s">
        <v>614</v>
      </c>
      <c r="B5376" s="24" t="s">
        <v>39</v>
      </c>
      <c r="C5376" s="24" t="s">
        <v>36</v>
      </c>
      <c r="D5376" s="24">
        <v>0</v>
      </c>
      <c r="E5376" s="24" t="s">
        <v>796</v>
      </c>
      <c r="F5376" s="24" t="s">
        <v>1142</v>
      </c>
      <c r="G5376" s="24">
        <v>175099</v>
      </c>
    </row>
    <row r="5377" spans="1:7" x14ac:dyDescent="0.25">
      <c r="A5377" s="24" t="s">
        <v>614</v>
      </c>
      <c r="B5377" s="24" t="s">
        <v>40</v>
      </c>
      <c r="C5377" s="24" t="s">
        <v>31</v>
      </c>
      <c r="D5377" s="24">
        <v>0</v>
      </c>
      <c r="E5377" s="24" t="s">
        <v>796</v>
      </c>
      <c r="F5377" s="24" t="s">
        <v>1142</v>
      </c>
      <c r="G5377" s="24">
        <v>175099</v>
      </c>
    </row>
    <row r="5378" spans="1:7" x14ac:dyDescent="0.25">
      <c r="A5378" s="24" t="s">
        <v>614</v>
      </c>
      <c r="B5378" s="24" t="s">
        <v>41</v>
      </c>
      <c r="C5378" s="24" t="s">
        <v>31</v>
      </c>
      <c r="D5378" s="24">
        <v>0</v>
      </c>
      <c r="E5378" s="24" t="s">
        <v>796</v>
      </c>
      <c r="F5378" s="24" t="s">
        <v>1142</v>
      </c>
      <c r="G5378" s="24">
        <v>175099</v>
      </c>
    </row>
    <row r="5379" spans="1:7" x14ac:dyDescent="0.25">
      <c r="A5379" s="24" t="s">
        <v>614</v>
      </c>
      <c r="B5379" s="24" t="s">
        <v>42</v>
      </c>
      <c r="C5379" s="24" t="s">
        <v>43</v>
      </c>
      <c r="D5379" s="24">
        <v>0</v>
      </c>
      <c r="E5379" s="24" t="s">
        <v>796</v>
      </c>
      <c r="F5379" s="24" t="s">
        <v>1142</v>
      </c>
      <c r="G5379" s="24">
        <v>175099</v>
      </c>
    </row>
    <row r="5380" spans="1:7" x14ac:dyDescent="0.25">
      <c r="A5380" s="24" t="s">
        <v>614</v>
      </c>
      <c r="B5380" s="24" t="s">
        <v>44</v>
      </c>
      <c r="C5380" s="24" t="s">
        <v>31</v>
      </c>
      <c r="D5380" s="24">
        <v>0</v>
      </c>
      <c r="E5380" s="24" t="s">
        <v>796</v>
      </c>
      <c r="F5380" s="24" t="s">
        <v>1142</v>
      </c>
      <c r="G5380" s="24">
        <v>175099</v>
      </c>
    </row>
    <row r="5381" spans="1:7" x14ac:dyDescent="0.25">
      <c r="A5381" s="24" t="s">
        <v>614</v>
      </c>
      <c r="B5381" s="24" t="s">
        <v>45</v>
      </c>
      <c r="C5381" s="24" t="s">
        <v>31</v>
      </c>
      <c r="D5381" s="24">
        <v>0</v>
      </c>
      <c r="E5381" s="24" t="s">
        <v>796</v>
      </c>
      <c r="F5381" s="24" t="s">
        <v>1142</v>
      </c>
      <c r="G5381" s="24">
        <v>175099</v>
      </c>
    </row>
    <row r="5382" spans="1:7" x14ac:dyDescent="0.25">
      <c r="A5382" s="24" t="s">
        <v>614</v>
      </c>
      <c r="B5382" s="24" t="s">
        <v>46</v>
      </c>
      <c r="C5382" s="24" t="s">
        <v>36</v>
      </c>
      <c r="D5382" s="24">
        <v>0</v>
      </c>
      <c r="E5382" s="24" t="s">
        <v>796</v>
      </c>
      <c r="F5382" s="24" t="s">
        <v>1142</v>
      </c>
      <c r="G5382" s="24">
        <v>175099</v>
      </c>
    </row>
    <row r="5383" spans="1:7" x14ac:dyDescent="0.25">
      <c r="A5383" s="24" t="s">
        <v>614</v>
      </c>
      <c r="B5383" s="24" t="s">
        <v>47</v>
      </c>
      <c r="C5383" s="24" t="s">
        <v>48</v>
      </c>
      <c r="D5383" s="24">
        <v>0</v>
      </c>
      <c r="E5383" s="24" t="s">
        <v>796</v>
      </c>
      <c r="F5383" s="24" t="s">
        <v>1142</v>
      </c>
      <c r="G5383" s="24">
        <v>175099</v>
      </c>
    </row>
    <row r="5384" spans="1:7" x14ac:dyDescent="0.25">
      <c r="A5384" s="24" t="s">
        <v>614</v>
      </c>
      <c r="B5384" s="24" t="s">
        <v>49</v>
      </c>
      <c r="C5384" s="24" t="s">
        <v>31</v>
      </c>
      <c r="D5384" s="24">
        <v>7</v>
      </c>
      <c r="E5384" s="24" t="s">
        <v>796</v>
      </c>
      <c r="F5384" s="24" t="s">
        <v>1142</v>
      </c>
      <c r="G5384" s="24">
        <v>175099</v>
      </c>
    </row>
    <row r="5385" spans="1:7" x14ac:dyDescent="0.25">
      <c r="A5385" s="24" t="s">
        <v>614</v>
      </c>
      <c r="B5385" s="24" t="s">
        <v>50</v>
      </c>
      <c r="C5385" s="24" t="s">
        <v>31</v>
      </c>
      <c r="D5385" s="24">
        <v>7</v>
      </c>
      <c r="E5385" s="24" t="s">
        <v>796</v>
      </c>
      <c r="F5385" s="24" t="s">
        <v>1142</v>
      </c>
      <c r="G5385" s="24">
        <v>175099</v>
      </c>
    </row>
    <row r="5386" spans="1:7" x14ac:dyDescent="0.25">
      <c r="A5386" s="24" t="s">
        <v>614</v>
      </c>
      <c r="B5386" s="24" t="s">
        <v>51</v>
      </c>
      <c r="C5386" s="24" t="s">
        <v>31</v>
      </c>
      <c r="D5386" s="24">
        <v>2.6</v>
      </c>
      <c r="E5386" s="24" t="s">
        <v>796</v>
      </c>
      <c r="F5386" s="24" t="s">
        <v>1142</v>
      </c>
      <c r="G5386" s="24">
        <v>175099</v>
      </c>
    </row>
    <row r="5387" spans="1:7" x14ac:dyDescent="0.25">
      <c r="A5387" s="24" t="s">
        <v>614</v>
      </c>
      <c r="B5387" s="24" t="s">
        <v>52</v>
      </c>
      <c r="C5387" s="24" t="s">
        <v>31</v>
      </c>
      <c r="D5387" s="24">
        <v>7.8</v>
      </c>
      <c r="E5387" s="24" t="s">
        <v>796</v>
      </c>
      <c r="F5387" s="24" t="s">
        <v>1142</v>
      </c>
      <c r="G5387" s="24">
        <v>175099</v>
      </c>
    </row>
    <row r="5388" spans="1:7" x14ac:dyDescent="0.25">
      <c r="A5388" s="24" t="s">
        <v>614</v>
      </c>
      <c r="B5388" s="24" t="s">
        <v>53</v>
      </c>
      <c r="C5388" s="24" t="s">
        <v>31</v>
      </c>
      <c r="D5388" s="24">
        <v>0.9</v>
      </c>
      <c r="E5388" s="24" t="s">
        <v>796</v>
      </c>
      <c r="F5388" s="24" t="s">
        <v>1142</v>
      </c>
      <c r="G5388" s="24">
        <v>175099</v>
      </c>
    </row>
    <row r="5389" spans="1:7" x14ac:dyDescent="0.25">
      <c r="A5389" s="24" t="s">
        <v>614</v>
      </c>
      <c r="B5389" s="24" t="s">
        <v>54</v>
      </c>
      <c r="C5389" s="24" t="s">
        <v>31</v>
      </c>
      <c r="D5389" s="24">
        <v>0.1</v>
      </c>
      <c r="E5389" s="24" t="s">
        <v>796</v>
      </c>
      <c r="F5389" s="24" t="s">
        <v>1142</v>
      </c>
      <c r="G5389" s="24">
        <v>175099</v>
      </c>
    </row>
    <row r="5390" spans="1:7" x14ac:dyDescent="0.25">
      <c r="A5390" s="24" t="s">
        <v>614</v>
      </c>
      <c r="B5390" s="24" t="s">
        <v>55</v>
      </c>
      <c r="C5390" s="24" t="s">
        <v>31</v>
      </c>
      <c r="D5390" s="24">
        <v>0</v>
      </c>
      <c r="E5390" s="24" t="s">
        <v>796</v>
      </c>
      <c r="F5390" s="24" t="s">
        <v>1142</v>
      </c>
      <c r="G5390" s="24">
        <v>175099</v>
      </c>
    </row>
    <row r="5391" spans="1:7" x14ac:dyDescent="0.25">
      <c r="A5391" s="24" t="s">
        <v>614</v>
      </c>
      <c r="B5391" s="24" t="s">
        <v>56</v>
      </c>
      <c r="C5391" s="24" t="s">
        <v>31</v>
      </c>
      <c r="D5391" s="24">
        <v>0</v>
      </c>
      <c r="E5391" s="24" t="s">
        <v>796</v>
      </c>
      <c r="F5391" s="24" t="s">
        <v>1142</v>
      </c>
      <c r="G5391" s="24">
        <v>175099</v>
      </c>
    </row>
    <row r="5392" spans="1:7" x14ac:dyDescent="0.25">
      <c r="A5392" s="24" t="s">
        <v>614</v>
      </c>
      <c r="B5392" s="24" t="s">
        <v>57</v>
      </c>
      <c r="C5392" s="24" t="s">
        <v>36</v>
      </c>
      <c r="D5392" s="24">
        <v>0</v>
      </c>
      <c r="E5392" s="24" t="s">
        <v>796</v>
      </c>
      <c r="F5392" s="24" t="s">
        <v>1142</v>
      </c>
      <c r="G5392" s="24">
        <v>175099</v>
      </c>
    </row>
    <row r="5393" spans="1:7" x14ac:dyDescent="0.25">
      <c r="A5393" s="24" t="s">
        <v>614</v>
      </c>
      <c r="B5393" s="24" t="s">
        <v>58</v>
      </c>
      <c r="C5393" s="24" t="s">
        <v>5</v>
      </c>
      <c r="D5393" s="24">
        <v>0</v>
      </c>
      <c r="E5393" s="24" t="s">
        <v>795</v>
      </c>
      <c r="F5393" s="24"/>
      <c r="G5393" s="24"/>
    </row>
    <row r="5394" spans="1:7" x14ac:dyDescent="0.25">
      <c r="A5394" s="24" t="s">
        <v>615</v>
      </c>
      <c r="B5394" s="24" t="s">
        <v>29</v>
      </c>
      <c r="C5394" s="24" t="s">
        <v>5</v>
      </c>
      <c r="D5394" s="24">
        <v>0</v>
      </c>
      <c r="E5394" s="24" t="s">
        <v>799</v>
      </c>
      <c r="F5394" s="24" t="s">
        <v>1143</v>
      </c>
      <c r="G5394" s="24">
        <v>174852</v>
      </c>
    </row>
    <row r="5395" spans="1:7" x14ac:dyDescent="0.25">
      <c r="A5395" s="24" t="s">
        <v>615</v>
      </c>
      <c r="B5395" s="24" t="s">
        <v>58</v>
      </c>
      <c r="C5395" s="24" t="s">
        <v>5</v>
      </c>
      <c r="D5395" s="24">
        <v>0</v>
      </c>
      <c r="E5395" s="24" t="s">
        <v>795</v>
      </c>
      <c r="F5395" s="24"/>
      <c r="G5395" s="24"/>
    </row>
    <row r="5396" spans="1:7" x14ac:dyDescent="0.25">
      <c r="A5396" s="24" t="s">
        <v>616</v>
      </c>
      <c r="B5396" s="24" t="s">
        <v>29</v>
      </c>
      <c r="C5396" s="24" t="s">
        <v>5</v>
      </c>
      <c r="D5396" s="24">
        <v>0</v>
      </c>
      <c r="E5396" s="24" t="s">
        <v>994</v>
      </c>
      <c r="F5396" s="24"/>
      <c r="G5396" s="24"/>
    </row>
    <row r="5397" spans="1:7" x14ac:dyDescent="0.25">
      <c r="A5397" s="24" t="s">
        <v>616</v>
      </c>
      <c r="B5397" s="24" t="s">
        <v>58</v>
      </c>
      <c r="C5397" s="24" t="s">
        <v>5</v>
      </c>
      <c r="D5397" s="24">
        <v>0</v>
      </c>
      <c r="E5397" s="24" t="s">
        <v>795</v>
      </c>
      <c r="F5397" s="24"/>
      <c r="G5397" s="24"/>
    </row>
    <row r="5398" spans="1:7" x14ac:dyDescent="0.25">
      <c r="A5398" s="24" t="s">
        <v>617</v>
      </c>
      <c r="B5398" s="24" t="s">
        <v>29</v>
      </c>
      <c r="C5398" s="24" t="s">
        <v>5</v>
      </c>
      <c r="D5398" s="24">
        <v>0</v>
      </c>
      <c r="E5398" s="24" t="s">
        <v>994</v>
      </c>
      <c r="F5398" s="24"/>
      <c r="G5398" s="24"/>
    </row>
    <row r="5399" spans="1:7" x14ac:dyDescent="0.25">
      <c r="A5399" s="24" t="s">
        <v>617</v>
      </c>
      <c r="B5399" s="24" t="s">
        <v>58</v>
      </c>
      <c r="C5399" s="24" t="s">
        <v>5</v>
      </c>
      <c r="D5399" s="24">
        <v>0</v>
      </c>
      <c r="E5399" s="24" t="s">
        <v>795</v>
      </c>
      <c r="F5399" s="24"/>
      <c r="G5399" s="24"/>
    </row>
    <row r="5400" spans="1:7" x14ac:dyDescent="0.25">
      <c r="A5400" s="24" t="s">
        <v>618</v>
      </c>
      <c r="B5400" s="24" t="s">
        <v>29</v>
      </c>
      <c r="C5400" s="24" t="s">
        <v>5</v>
      </c>
      <c r="D5400" s="24">
        <v>0</v>
      </c>
      <c r="E5400" s="24" t="s">
        <v>994</v>
      </c>
      <c r="F5400" s="24"/>
      <c r="G5400" s="24"/>
    </row>
    <row r="5401" spans="1:7" x14ac:dyDescent="0.25">
      <c r="A5401" s="24" t="s">
        <v>618</v>
      </c>
      <c r="B5401" s="24" t="s">
        <v>58</v>
      </c>
      <c r="C5401" s="24" t="s">
        <v>5</v>
      </c>
      <c r="D5401" s="24">
        <v>0</v>
      </c>
      <c r="E5401" s="24" t="s">
        <v>795</v>
      </c>
      <c r="F5401" s="24"/>
      <c r="G5401" s="24"/>
    </row>
    <row r="5402" spans="1:7" x14ac:dyDescent="0.25">
      <c r="A5402" s="24" t="s">
        <v>619</v>
      </c>
      <c r="B5402" s="24" t="s">
        <v>29</v>
      </c>
      <c r="C5402" s="24" t="s">
        <v>5</v>
      </c>
      <c r="D5402" s="24">
        <v>0</v>
      </c>
      <c r="E5402" s="24" t="s">
        <v>994</v>
      </c>
      <c r="F5402" s="24"/>
      <c r="G5402" s="24"/>
    </row>
    <row r="5403" spans="1:7" x14ac:dyDescent="0.25">
      <c r="A5403" s="24" t="s">
        <v>619</v>
      </c>
      <c r="B5403" s="24" t="s">
        <v>58</v>
      </c>
      <c r="C5403" s="24" t="s">
        <v>5</v>
      </c>
      <c r="D5403" s="24">
        <v>0</v>
      </c>
      <c r="E5403" s="24" t="s">
        <v>795</v>
      </c>
      <c r="F5403" s="24"/>
      <c r="G5403" s="24"/>
    </row>
    <row r="5404" spans="1:7" x14ac:dyDescent="0.25">
      <c r="A5404" s="24" t="s">
        <v>620</v>
      </c>
      <c r="B5404" s="24" t="s">
        <v>26</v>
      </c>
      <c r="C5404" s="24" t="s">
        <v>5</v>
      </c>
      <c r="D5404" s="24">
        <v>0</v>
      </c>
      <c r="E5404" s="24" t="s">
        <v>994</v>
      </c>
      <c r="F5404" s="24"/>
      <c r="G5404" s="24"/>
    </row>
    <row r="5405" spans="1:7" x14ac:dyDescent="0.25">
      <c r="A5405" s="24" t="s">
        <v>620</v>
      </c>
      <c r="B5405" s="24" t="s">
        <v>27</v>
      </c>
      <c r="C5405" s="24" t="s">
        <v>5</v>
      </c>
      <c r="D5405" s="24">
        <v>0</v>
      </c>
      <c r="E5405" s="24" t="s">
        <v>994</v>
      </c>
      <c r="F5405" s="24"/>
      <c r="G5405" s="24"/>
    </row>
    <row r="5406" spans="1:7" x14ac:dyDescent="0.25">
      <c r="A5406" s="24" t="s">
        <v>620</v>
      </c>
      <c r="B5406" s="24" t="s">
        <v>28</v>
      </c>
      <c r="C5406" s="24" t="s">
        <v>5</v>
      </c>
      <c r="D5406" s="24">
        <v>0</v>
      </c>
      <c r="E5406" s="24" t="s">
        <v>994</v>
      </c>
      <c r="F5406" s="24"/>
      <c r="G5406" s="24"/>
    </row>
    <row r="5407" spans="1:7" x14ac:dyDescent="0.25">
      <c r="A5407" s="24" t="s">
        <v>620</v>
      </c>
      <c r="B5407" s="24" t="s">
        <v>29</v>
      </c>
      <c r="C5407" s="24" t="s">
        <v>5</v>
      </c>
      <c r="D5407" s="24">
        <v>0</v>
      </c>
      <c r="E5407" s="24" t="s">
        <v>994</v>
      </c>
      <c r="F5407" s="24"/>
      <c r="G5407" s="24"/>
    </row>
    <row r="5408" spans="1:7" x14ac:dyDescent="0.25">
      <c r="A5408" s="24" t="s">
        <v>620</v>
      </c>
      <c r="B5408" s="24" t="s">
        <v>30</v>
      </c>
      <c r="C5408" s="24" t="s">
        <v>31</v>
      </c>
      <c r="D5408" s="24">
        <v>0</v>
      </c>
      <c r="E5408" s="24" t="s">
        <v>801</v>
      </c>
      <c r="F5408" s="24" t="s">
        <v>1144</v>
      </c>
      <c r="G5408" s="24">
        <v>173207</v>
      </c>
    </row>
    <row r="5409" spans="1:7" x14ac:dyDescent="0.25">
      <c r="A5409" s="24" t="s">
        <v>620</v>
      </c>
      <c r="B5409" s="24" t="s">
        <v>32</v>
      </c>
      <c r="C5409" s="24" t="s">
        <v>33</v>
      </c>
      <c r="D5409" s="24">
        <v>0</v>
      </c>
      <c r="E5409" s="24" t="s">
        <v>801</v>
      </c>
      <c r="F5409" s="24" t="s">
        <v>1144</v>
      </c>
      <c r="G5409" s="24">
        <v>173207</v>
      </c>
    </row>
    <row r="5410" spans="1:7" x14ac:dyDescent="0.25">
      <c r="A5410" s="24" t="s">
        <v>620</v>
      </c>
      <c r="B5410" s="24" t="s">
        <v>34</v>
      </c>
      <c r="C5410" s="24" t="s">
        <v>31</v>
      </c>
      <c r="D5410" s="24">
        <v>0</v>
      </c>
      <c r="E5410" s="24" t="s">
        <v>801</v>
      </c>
      <c r="F5410" s="24" t="s">
        <v>1144</v>
      </c>
      <c r="G5410" s="24">
        <v>173207</v>
      </c>
    </row>
    <row r="5411" spans="1:7" x14ac:dyDescent="0.25">
      <c r="A5411" s="24" t="s">
        <v>620</v>
      </c>
      <c r="B5411" s="24" t="s">
        <v>35</v>
      </c>
      <c r="C5411" s="24" t="s">
        <v>36</v>
      </c>
      <c r="D5411" s="24">
        <v>0</v>
      </c>
      <c r="E5411" s="24" t="s">
        <v>801</v>
      </c>
      <c r="F5411" s="24" t="s">
        <v>1144</v>
      </c>
      <c r="G5411" s="24">
        <v>173207</v>
      </c>
    </row>
    <row r="5412" spans="1:7" x14ac:dyDescent="0.25">
      <c r="A5412" s="24" t="s">
        <v>620</v>
      </c>
      <c r="B5412" s="24" t="s">
        <v>37</v>
      </c>
      <c r="C5412" s="24" t="s">
        <v>38</v>
      </c>
      <c r="D5412" s="24">
        <v>0</v>
      </c>
      <c r="E5412" s="24" t="s">
        <v>801</v>
      </c>
      <c r="F5412" s="24" t="s">
        <v>1144</v>
      </c>
      <c r="G5412" s="24">
        <v>173207</v>
      </c>
    </row>
    <row r="5413" spans="1:7" x14ac:dyDescent="0.25">
      <c r="A5413" s="24" t="s">
        <v>620</v>
      </c>
      <c r="B5413" s="24" t="s">
        <v>39</v>
      </c>
      <c r="C5413" s="24" t="s">
        <v>36</v>
      </c>
      <c r="D5413" s="24">
        <v>0</v>
      </c>
      <c r="E5413" s="24" t="s">
        <v>801</v>
      </c>
      <c r="F5413" s="24" t="s">
        <v>1144</v>
      </c>
      <c r="G5413" s="24">
        <v>173207</v>
      </c>
    </row>
    <row r="5414" spans="1:7" x14ac:dyDescent="0.25">
      <c r="A5414" s="24" t="s">
        <v>620</v>
      </c>
      <c r="B5414" s="24" t="s">
        <v>40</v>
      </c>
      <c r="C5414" s="24" t="s">
        <v>31</v>
      </c>
      <c r="D5414" s="24">
        <v>0</v>
      </c>
      <c r="E5414" s="24" t="s">
        <v>801</v>
      </c>
      <c r="F5414" s="24" t="s">
        <v>1144</v>
      </c>
      <c r="G5414" s="24">
        <v>173207</v>
      </c>
    </row>
    <row r="5415" spans="1:7" x14ac:dyDescent="0.25">
      <c r="A5415" s="24" t="s">
        <v>620</v>
      </c>
      <c r="B5415" s="24" t="s">
        <v>41</v>
      </c>
      <c r="C5415" s="24" t="s">
        <v>31</v>
      </c>
      <c r="D5415" s="24">
        <v>0</v>
      </c>
      <c r="E5415" s="24" t="s">
        <v>801</v>
      </c>
      <c r="F5415" s="24" t="s">
        <v>1144</v>
      </c>
      <c r="G5415" s="24">
        <v>173207</v>
      </c>
    </row>
    <row r="5416" spans="1:7" x14ac:dyDescent="0.25">
      <c r="A5416" s="24" t="s">
        <v>620</v>
      </c>
      <c r="B5416" s="24" t="s">
        <v>42</v>
      </c>
      <c r="C5416" s="24" t="s">
        <v>43</v>
      </c>
      <c r="D5416" s="24">
        <v>0</v>
      </c>
      <c r="E5416" s="24" t="s">
        <v>801</v>
      </c>
      <c r="F5416" s="24" t="s">
        <v>1144</v>
      </c>
      <c r="G5416" s="24">
        <v>173207</v>
      </c>
    </row>
    <row r="5417" spans="1:7" x14ac:dyDescent="0.25">
      <c r="A5417" s="24" t="s">
        <v>620</v>
      </c>
      <c r="B5417" s="24" t="s">
        <v>44</v>
      </c>
      <c r="C5417" s="24" t="s">
        <v>31</v>
      </c>
      <c r="D5417" s="24">
        <v>0</v>
      </c>
      <c r="E5417" s="24" t="s">
        <v>801</v>
      </c>
      <c r="F5417" s="24" t="s">
        <v>1144</v>
      </c>
      <c r="G5417" s="24">
        <v>173207</v>
      </c>
    </row>
    <row r="5418" spans="1:7" x14ac:dyDescent="0.25">
      <c r="A5418" s="24" t="s">
        <v>620</v>
      </c>
      <c r="B5418" s="24" t="s">
        <v>45</v>
      </c>
      <c r="C5418" s="24" t="s">
        <v>31</v>
      </c>
      <c r="D5418" s="24">
        <v>0</v>
      </c>
      <c r="E5418" s="24" t="s">
        <v>801</v>
      </c>
      <c r="F5418" s="24" t="s">
        <v>1144</v>
      </c>
      <c r="G5418" s="24">
        <v>173207</v>
      </c>
    </row>
    <row r="5419" spans="1:7" x14ac:dyDescent="0.25">
      <c r="A5419" s="24" t="s">
        <v>620</v>
      </c>
      <c r="B5419" s="24" t="s">
        <v>46</v>
      </c>
      <c r="C5419" s="24" t="s">
        <v>36</v>
      </c>
      <c r="D5419" s="24">
        <v>0</v>
      </c>
      <c r="E5419" s="24" t="s">
        <v>801</v>
      </c>
      <c r="F5419" s="24" t="s">
        <v>1144</v>
      </c>
      <c r="G5419" s="24">
        <v>173207</v>
      </c>
    </row>
    <row r="5420" spans="1:7" x14ac:dyDescent="0.25">
      <c r="A5420" s="24" t="s">
        <v>620</v>
      </c>
      <c r="B5420" s="24" t="s">
        <v>47</v>
      </c>
      <c r="C5420" s="24" t="s">
        <v>48</v>
      </c>
      <c r="D5420" s="24">
        <v>0</v>
      </c>
      <c r="E5420" s="24" t="s">
        <v>801</v>
      </c>
      <c r="F5420" s="24" t="s">
        <v>1144</v>
      </c>
      <c r="G5420" s="24">
        <v>173207</v>
      </c>
    </row>
    <row r="5421" spans="1:7" x14ac:dyDescent="0.25">
      <c r="A5421" s="24" t="s">
        <v>620</v>
      </c>
      <c r="B5421" s="24" t="s">
        <v>50</v>
      </c>
      <c r="C5421" s="24" t="s">
        <v>31</v>
      </c>
      <c r="D5421" s="24">
        <v>2</v>
      </c>
      <c r="E5421" s="24" t="s">
        <v>801</v>
      </c>
      <c r="F5421" s="24" t="s">
        <v>1144</v>
      </c>
      <c r="G5421" s="24">
        <v>173207</v>
      </c>
    </row>
    <row r="5422" spans="1:7" x14ac:dyDescent="0.25">
      <c r="A5422" s="24" t="s">
        <v>620</v>
      </c>
      <c r="B5422" s="24" t="s">
        <v>51</v>
      </c>
      <c r="C5422" s="24" t="s">
        <v>31</v>
      </c>
      <c r="D5422" s="24">
        <v>4</v>
      </c>
      <c r="E5422" s="24" t="s">
        <v>801</v>
      </c>
      <c r="F5422" s="24" t="s">
        <v>1144</v>
      </c>
      <c r="G5422" s="24">
        <v>173207</v>
      </c>
    </row>
    <row r="5423" spans="1:7" x14ac:dyDescent="0.25">
      <c r="A5423" s="24" t="s">
        <v>620</v>
      </c>
      <c r="B5423" s="24" t="s">
        <v>52</v>
      </c>
      <c r="C5423" s="24" t="s">
        <v>31</v>
      </c>
      <c r="D5423" s="24">
        <v>0</v>
      </c>
      <c r="E5423" s="24" t="s">
        <v>801</v>
      </c>
      <c r="F5423" s="24" t="s">
        <v>1144</v>
      </c>
      <c r="G5423" s="24">
        <v>173207</v>
      </c>
    </row>
    <row r="5424" spans="1:7" x14ac:dyDescent="0.25">
      <c r="A5424" s="24" t="s">
        <v>620</v>
      </c>
      <c r="B5424" s="24" t="s">
        <v>53</v>
      </c>
      <c r="C5424" s="24" t="s">
        <v>31</v>
      </c>
      <c r="D5424" s="24">
        <v>1</v>
      </c>
      <c r="E5424" s="24" t="s">
        <v>801</v>
      </c>
      <c r="F5424" s="24" t="s">
        <v>1144</v>
      </c>
      <c r="G5424" s="24">
        <v>173207</v>
      </c>
    </row>
    <row r="5425" spans="1:7" x14ac:dyDescent="0.25">
      <c r="A5425" s="24" t="s">
        <v>620</v>
      </c>
      <c r="B5425" s="24" t="s">
        <v>54</v>
      </c>
      <c r="C5425" s="24" t="s">
        <v>31</v>
      </c>
      <c r="D5425" s="24">
        <v>0</v>
      </c>
      <c r="E5425" s="24" t="s">
        <v>801</v>
      </c>
      <c r="F5425" s="24" t="s">
        <v>1144</v>
      </c>
      <c r="G5425" s="24">
        <v>173207</v>
      </c>
    </row>
    <row r="5426" spans="1:7" x14ac:dyDescent="0.25">
      <c r="A5426" s="24" t="s">
        <v>620</v>
      </c>
      <c r="B5426" s="24" t="s">
        <v>55</v>
      </c>
      <c r="C5426" s="24" t="s">
        <v>31</v>
      </c>
      <c r="D5426" s="24">
        <v>0</v>
      </c>
      <c r="E5426" s="24" t="s">
        <v>801</v>
      </c>
      <c r="F5426" s="24" t="s">
        <v>1144</v>
      </c>
      <c r="G5426" s="24">
        <v>173207</v>
      </c>
    </row>
    <row r="5427" spans="1:7" x14ac:dyDescent="0.25">
      <c r="A5427" s="24" t="s">
        <v>620</v>
      </c>
      <c r="B5427" s="24" t="s">
        <v>56</v>
      </c>
      <c r="C5427" s="24" t="s">
        <v>31</v>
      </c>
      <c r="D5427" s="24">
        <v>0</v>
      </c>
      <c r="E5427" s="24" t="s">
        <v>801</v>
      </c>
      <c r="F5427" s="24" t="s">
        <v>1144</v>
      </c>
      <c r="G5427" s="24">
        <v>173207</v>
      </c>
    </row>
    <row r="5428" spans="1:7" x14ac:dyDescent="0.25">
      <c r="A5428" s="24" t="s">
        <v>620</v>
      </c>
      <c r="B5428" s="24" t="s">
        <v>57</v>
      </c>
      <c r="C5428" s="24" t="s">
        <v>36</v>
      </c>
      <c r="D5428" s="24">
        <v>0</v>
      </c>
      <c r="E5428" s="24" t="s">
        <v>801</v>
      </c>
      <c r="F5428" s="24" t="s">
        <v>1144</v>
      </c>
      <c r="G5428" s="24">
        <v>173207</v>
      </c>
    </row>
    <row r="5429" spans="1:7" x14ac:dyDescent="0.25">
      <c r="A5429" s="24" t="s">
        <v>620</v>
      </c>
      <c r="B5429" s="24" t="s">
        <v>58</v>
      </c>
      <c r="C5429" s="24" t="s">
        <v>5</v>
      </c>
      <c r="D5429" s="24">
        <v>0</v>
      </c>
      <c r="E5429" s="24" t="s">
        <v>795</v>
      </c>
      <c r="F5429" s="24"/>
      <c r="G5429" s="24"/>
    </row>
    <row r="5430" spans="1:7" x14ac:dyDescent="0.25">
      <c r="A5430" s="24" t="s">
        <v>621</v>
      </c>
      <c r="B5430" s="24" t="s">
        <v>29</v>
      </c>
      <c r="C5430" s="24" t="s">
        <v>5</v>
      </c>
      <c r="D5430" s="24">
        <v>0</v>
      </c>
      <c r="E5430" s="24" t="s">
        <v>940</v>
      </c>
      <c r="F5430" s="24"/>
      <c r="G5430" s="24"/>
    </row>
    <row r="5431" spans="1:7" x14ac:dyDescent="0.25">
      <c r="A5431" s="24" t="s">
        <v>621</v>
      </c>
      <c r="B5431" s="24" t="s">
        <v>58</v>
      </c>
      <c r="C5431" s="24" t="s">
        <v>5</v>
      </c>
      <c r="D5431" s="24">
        <v>0</v>
      </c>
      <c r="E5431" s="24" t="s">
        <v>795</v>
      </c>
      <c r="F5431" s="24"/>
      <c r="G5431" s="24"/>
    </row>
    <row r="5432" spans="1:7" x14ac:dyDescent="0.25">
      <c r="A5432" s="24" t="s">
        <v>622</v>
      </c>
      <c r="B5432" s="24" t="s">
        <v>20</v>
      </c>
      <c r="C5432" s="24" t="s">
        <v>5</v>
      </c>
      <c r="D5432" s="24">
        <v>0.1</v>
      </c>
      <c r="E5432" s="24" t="s">
        <v>796</v>
      </c>
      <c r="F5432" s="24" t="s">
        <v>1145</v>
      </c>
      <c r="G5432" s="24">
        <v>173660</v>
      </c>
    </row>
    <row r="5433" spans="1:7" x14ac:dyDescent="0.25">
      <c r="A5433" s="24" t="s">
        <v>622</v>
      </c>
      <c r="B5433" s="24" t="s">
        <v>24</v>
      </c>
      <c r="C5433" s="24" t="s">
        <v>5</v>
      </c>
      <c r="D5433" s="24">
        <v>0</v>
      </c>
      <c r="E5433" s="24" t="s">
        <v>801</v>
      </c>
      <c r="F5433" s="24" t="s">
        <v>1145</v>
      </c>
      <c r="G5433" s="24">
        <v>173660</v>
      </c>
    </row>
    <row r="5434" spans="1:7" x14ac:dyDescent="0.25">
      <c r="A5434" s="24" t="s">
        <v>622</v>
      </c>
      <c r="B5434" s="24" t="s">
        <v>32</v>
      </c>
      <c r="C5434" s="24" t="s">
        <v>33</v>
      </c>
      <c r="D5434" s="24">
        <v>0</v>
      </c>
      <c r="E5434" s="24" t="s">
        <v>801</v>
      </c>
      <c r="F5434" s="24" t="s">
        <v>1145</v>
      </c>
      <c r="G5434" s="24">
        <v>173660</v>
      </c>
    </row>
    <row r="5435" spans="1:7" x14ac:dyDescent="0.25">
      <c r="A5435" s="24" t="s">
        <v>622</v>
      </c>
      <c r="B5435" s="24" t="s">
        <v>34</v>
      </c>
      <c r="C5435" s="24" t="s">
        <v>31</v>
      </c>
      <c r="D5435" s="24">
        <v>0.4</v>
      </c>
      <c r="E5435" s="24" t="s">
        <v>801</v>
      </c>
      <c r="F5435" s="24" t="s">
        <v>1145</v>
      </c>
      <c r="G5435" s="24">
        <v>173660</v>
      </c>
    </row>
    <row r="5436" spans="1:7" x14ac:dyDescent="0.25">
      <c r="A5436" s="24" t="s">
        <v>622</v>
      </c>
      <c r="B5436" s="24" t="s">
        <v>35</v>
      </c>
      <c r="C5436" s="24" t="s">
        <v>36</v>
      </c>
      <c r="D5436" s="24">
        <v>0</v>
      </c>
      <c r="E5436" s="24" t="s">
        <v>801</v>
      </c>
      <c r="F5436" s="24" t="s">
        <v>1145</v>
      </c>
      <c r="G5436" s="24">
        <v>173660</v>
      </c>
    </row>
    <row r="5437" spans="1:7" x14ac:dyDescent="0.25">
      <c r="A5437" s="24" t="s">
        <v>622</v>
      </c>
      <c r="B5437" s="24" t="s">
        <v>37</v>
      </c>
      <c r="C5437" s="24" t="s">
        <v>38</v>
      </c>
      <c r="D5437" s="24">
        <v>0</v>
      </c>
      <c r="E5437" s="24" t="s">
        <v>801</v>
      </c>
      <c r="F5437" s="24" t="s">
        <v>1145</v>
      </c>
      <c r="G5437" s="24">
        <v>173660</v>
      </c>
    </row>
    <row r="5438" spans="1:7" x14ac:dyDescent="0.25">
      <c r="A5438" s="24" t="s">
        <v>622</v>
      </c>
      <c r="B5438" s="24" t="s">
        <v>39</v>
      </c>
      <c r="C5438" s="24" t="s">
        <v>36</v>
      </c>
      <c r="D5438" s="24">
        <v>0.2</v>
      </c>
      <c r="E5438" s="24" t="s">
        <v>801</v>
      </c>
      <c r="F5438" s="24" t="s">
        <v>1145</v>
      </c>
      <c r="G5438" s="24">
        <v>173660</v>
      </c>
    </row>
    <row r="5439" spans="1:7" x14ac:dyDescent="0.25">
      <c r="A5439" s="24" t="s">
        <v>622</v>
      </c>
      <c r="B5439" s="24" t="s">
        <v>40</v>
      </c>
      <c r="C5439" s="24" t="s">
        <v>31</v>
      </c>
      <c r="D5439" s="24">
        <v>0</v>
      </c>
      <c r="E5439" s="24" t="s">
        <v>801</v>
      </c>
      <c r="F5439" s="24" t="s">
        <v>1145</v>
      </c>
      <c r="G5439" s="24">
        <v>173660</v>
      </c>
    </row>
    <row r="5440" spans="1:7" x14ac:dyDescent="0.25">
      <c r="A5440" s="24" t="s">
        <v>622</v>
      </c>
      <c r="B5440" s="24" t="s">
        <v>41</v>
      </c>
      <c r="C5440" s="24" t="s">
        <v>31</v>
      </c>
      <c r="D5440" s="24">
        <v>0</v>
      </c>
      <c r="E5440" s="24" t="s">
        <v>801</v>
      </c>
      <c r="F5440" s="24" t="s">
        <v>1145</v>
      </c>
      <c r="G5440" s="24">
        <v>173660</v>
      </c>
    </row>
    <row r="5441" spans="1:7" x14ac:dyDescent="0.25">
      <c r="A5441" s="24" t="s">
        <v>622</v>
      </c>
      <c r="B5441" s="24" t="s">
        <v>42</v>
      </c>
      <c r="C5441" s="24" t="s">
        <v>43</v>
      </c>
      <c r="D5441" s="24">
        <v>0.2</v>
      </c>
      <c r="E5441" s="24" t="s">
        <v>801</v>
      </c>
      <c r="F5441" s="24" t="s">
        <v>1145</v>
      </c>
      <c r="G5441" s="24">
        <v>173660</v>
      </c>
    </row>
    <row r="5442" spans="1:7" x14ac:dyDescent="0.25">
      <c r="A5442" s="24" t="s">
        <v>622</v>
      </c>
      <c r="B5442" s="24" t="s">
        <v>44</v>
      </c>
      <c r="C5442" s="24" t="s">
        <v>31</v>
      </c>
      <c r="D5442" s="24">
        <v>0</v>
      </c>
      <c r="E5442" s="24" t="s">
        <v>801</v>
      </c>
      <c r="F5442" s="24" t="s">
        <v>1145</v>
      </c>
      <c r="G5442" s="24">
        <v>173660</v>
      </c>
    </row>
    <row r="5443" spans="1:7" x14ac:dyDescent="0.25">
      <c r="A5443" s="24" t="s">
        <v>622</v>
      </c>
      <c r="B5443" s="24" t="s">
        <v>45</v>
      </c>
      <c r="C5443" s="24" t="s">
        <v>31</v>
      </c>
      <c r="D5443" s="24">
        <v>0.1</v>
      </c>
      <c r="E5443" s="24" t="s">
        <v>801</v>
      </c>
      <c r="F5443" s="24" t="s">
        <v>1145</v>
      </c>
      <c r="G5443" s="24">
        <v>173660</v>
      </c>
    </row>
    <row r="5444" spans="1:7" x14ac:dyDescent="0.25">
      <c r="A5444" s="24" t="s">
        <v>622</v>
      </c>
      <c r="B5444" s="24" t="s">
        <v>46</v>
      </c>
      <c r="C5444" s="24" t="s">
        <v>36</v>
      </c>
      <c r="D5444" s="24">
        <v>0</v>
      </c>
      <c r="E5444" s="24" t="s">
        <v>801</v>
      </c>
      <c r="F5444" s="24" t="s">
        <v>1145</v>
      </c>
      <c r="G5444" s="24">
        <v>173660</v>
      </c>
    </row>
    <row r="5445" spans="1:7" x14ac:dyDescent="0.25">
      <c r="A5445" s="24" t="s">
        <v>622</v>
      </c>
      <c r="B5445" s="24" t="s">
        <v>47</v>
      </c>
      <c r="C5445" s="24" t="s">
        <v>48</v>
      </c>
      <c r="D5445" s="24">
        <v>0</v>
      </c>
      <c r="E5445" s="24" t="s">
        <v>801</v>
      </c>
      <c r="F5445" s="24" t="s">
        <v>1145</v>
      </c>
      <c r="G5445" s="24">
        <v>173660</v>
      </c>
    </row>
    <row r="5446" spans="1:7" x14ac:dyDescent="0.25">
      <c r="A5446" s="24" t="s">
        <v>622</v>
      </c>
      <c r="B5446" s="24" t="s">
        <v>51</v>
      </c>
      <c r="C5446" s="24" t="s">
        <v>31</v>
      </c>
      <c r="D5446" s="24">
        <v>1</v>
      </c>
      <c r="E5446" s="24" t="s">
        <v>801</v>
      </c>
      <c r="F5446" s="24" t="s">
        <v>1145</v>
      </c>
      <c r="G5446" s="24">
        <v>173660</v>
      </c>
    </row>
    <row r="5447" spans="1:7" x14ac:dyDescent="0.25">
      <c r="A5447" s="24" t="s">
        <v>622</v>
      </c>
      <c r="B5447" s="24" t="s">
        <v>52</v>
      </c>
      <c r="C5447" s="24" t="s">
        <v>31</v>
      </c>
      <c r="D5447" s="24">
        <v>10</v>
      </c>
      <c r="E5447" s="24" t="s">
        <v>801</v>
      </c>
      <c r="F5447" s="24" t="s">
        <v>1145</v>
      </c>
      <c r="G5447" s="24">
        <v>173660</v>
      </c>
    </row>
    <row r="5448" spans="1:7" x14ac:dyDescent="0.25">
      <c r="A5448" s="24" t="s">
        <v>622</v>
      </c>
      <c r="B5448" s="24" t="s">
        <v>53</v>
      </c>
      <c r="C5448" s="24" t="s">
        <v>31</v>
      </c>
      <c r="D5448" s="24">
        <v>0</v>
      </c>
      <c r="E5448" s="24" t="s">
        <v>801</v>
      </c>
      <c r="F5448" s="24" t="s">
        <v>1145</v>
      </c>
      <c r="G5448" s="24">
        <v>173660</v>
      </c>
    </row>
    <row r="5449" spans="1:7" x14ac:dyDescent="0.25">
      <c r="A5449" s="24" t="s">
        <v>622</v>
      </c>
      <c r="B5449" s="24" t="s">
        <v>54</v>
      </c>
      <c r="C5449" s="24" t="s">
        <v>31</v>
      </c>
      <c r="D5449" s="24">
        <v>0.1</v>
      </c>
      <c r="E5449" s="24" t="s">
        <v>801</v>
      </c>
      <c r="F5449" s="24" t="s">
        <v>1145</v>
      </c>
      <c r="G5449" s="24">
        <v>173660</v>
      </c>
    </row>
    <row r="5450" spans="1:7" x14ac:dyDescent="0.25">
      <c r="A5450" s="24" t="s">
        <v>622</v>
      </c>
      <c r="B5450" s="24" t="s">
        <v>55</v>
      </c>
      <c r="C5450" s="24" t="s">
        <v>31</v>
      </c>
      <c r="D5450" s="24">
        <v>0</v>
      </c>
      <c r="E5450" s="24" t="s">
        <v>801</v>
      </c>
      <c r="F5450" s="24" t="s">
        <v>1145</v>
      </c>
      <c r="G5450" s="24">
        <v>173660</v>
      </c>
    </row>
    <row r="5451" spans="1:7" x14ac:dyDescent="0.25">
      <c r="A5451" s="24" t="s">
        <v>622</v>
      </c>
      <c r="B5451" s="24" t="s">
        <v>56</v>
      </c>
      <c r="C5451" s="24" t="s">
        <v>31</v>
      </c>
      <c r="D5451" s="24">
        <v>0</v>
      </c>
      <c r="E5451" s="24" t="s">
        <v>801</v>
      </c>
      <c r="F5451" s="24" t="s">
        <v>1145</v>
      </c>
      <c r="G5451" s="24">
        <v>173660</v>
      </c>
    </row>
    <row r="5452" spans="1:7" x14ac:dyDescent="0.25">
      <c r="A5452" s="24" t="s">
        <v>622</v>
      </c>
      <c r="B5452" s="24" t="s">
        <v>57</v>
      </c>
      <c r="C5452" s="24" t="s">
        <v>36</v>
      </c>
      <c r="D5452" s="24">
        <v>0</v>
      </c>
      <c r="E5452" s="24" t="s">
        <v>801</v>
      </c>
      <c r="F5452" s="24" t="s">
        <v>1145</v>
      </c>
      <c r="G5452" s="24">
        <v>173660</v>
      </c>
    </row>
    <row r="5453" spans="1:7" x14ac:dyDescent="0.25">
      <c r="A5453" s="24" t="s">
        <v>622</v>
      </c>
      <c r="B5453" s="24" t="s">
        <v>58</v>
      </c>
      <c r="C5453" s="24" t="s">
        <v>5</v>
      </c>
      <c r="D5453" s="24">
        <v>0</v>
      </c>
      <c r="E5453" s="24" t="s">
        <v>795</v>
      </c>
      <c r="F5453" s="24"/>
      <c r="G5453" s="24"/>
    </row>
    <row r="5454" spans="1:7" x14ac:dyDescent="0.25">
      <c r="A5454" s="24" t="s">
        <v>622</v>
      </c>
      <c r="B5454" s="24" t="s">
        <v>18</v>
      </c>
      <c r="C5454" s="24" t="s">
        <v>5</v>
      </c>
      <c r="D5454" s="24">
        <v>93.9</v>
      </c>
      <c r="E5454" s="24" t="s">
        <v>803</v>
      </c>
      <c r="F5454" s="24"/>
      <c r="G5454" s="24"/>
    </row>
    <row r="5455" spans="1:7" x14ac:dyDescent="0.25">
      <c r="A5455" s="24" t="s">
        <v>624</v>
      </c>
      <c r="B5455" s="24" t="s">
        <v>29</v>
      </c>
      <c r="C5455" s="24" t="s">
        <v>5</v>
      </c>
      <c r="D5455" s="24">
        <v>0</v>
      </c>
      <c r="E5455" s="24" t="s">
        <v>994</v>
      </c>
      <c r="F5455" s="24"/>
      <c r="G5455" s="24"/>
    </row>
    <row r="5456" spans="1:7" x14ac:dyDescent="0.25">
      <c r="A5456" s="24" t="s">
        <v>625</v>
      </c>
      <c r="B5456" s="24" t="s">
        <v>20</v>
      </c>
      <c r="C5456" s="24" t="s">
        <v>5</v>
      </c>
      <c r="D5456" s="24">
        <v>0.2</v>
      </c>
      <c r="E5456" s="24" t="s">
        <v>796</v>
      </c>
      <c r="F5456" s="24" t="s">
        <v>1146</v>
      </c>
      <c r="G5456" s="24">
        <v>174837</v>
      </c>
    </row>
    <row r="5457" spans="1:7" x14ac:dyDescent="0.25">
      <c r="A5457" s="24" t="s">
        <v>625</v>
      </c>
      <c r="B5457" s="24" t="s">
        <v>22</v>
      </c>
      <c r="C5457" s="24" t="s">
        <v>5</v>
      </c>
      <c r="D5457" s="24">
        <v>2.6</v>
      </c>
      <c r="E5457" s="24" t="s">
        <v>801</v>
      </c>
      <c r="F5457" s="24" t="s">
        <v>1146</v>
      </c>
      <c r="G5457" s="24">
        <v>174837</v>
      </c>
    </row>
    <row r="5458" spans="1:7" x14ac:dyDescent="0.25">
      <c r="A5458" s="24" t="s">
        <v>625</v>
      </c>
      <c r="B5458" s="24" t="s">
        <v>23</v>
      </c>
      <c r="C5458" s="24" t="s">
        <v>5</v>
      </c>
      <c r="D5458" s="24">
        <v>1</v>
      </c>
      <c r="E5458" s="24" t="s">
        <v>801</v>
      </c>
      <c r="F5458" s="24" t="s">
        <v>1146</v>
      </c>
      <c r="G5458" s="24">
        <v>174837</v>
      </c>
    </row>
    <row r="5459" spans="1:7" x14ac:dyDescent="0.25">
      <c r="A5459" s="24" t="s">
        <v>625</v>
      </c>
      <c r="B5459" s="24" t="s">
        <v>24</v>
      </c>
      <c r="C5459" s="24" t="s">
        <v>5</v>
      </c>
      <c r="D5459" s="24">
        <v>0</v>
      </c>
      <c r="E5459" s="24" t="s">
        <v>801</v>
      </c>
      <c r="F5459" s="24" t="s">
        <v>1146</v>
      </c>
      <c r="G5459" s="24">
        <v>174837</v>
      </c>
    </row>
    <row r="5460" spans="1:7" x14ac:dyDescent="0.25">
      <c r="A5460" s="24" t="s">
        <v>625</v>
      </c>
      <c r="B5460" s="24" t="s">
        <v>25</v>
      </c>
      <c r="C5460" s="24" t="s">
        <v>5</v>
      </c>
      <c r="D5460" s="24">
        <v>0</v>
      </c>
      <c r="E5460" s="24" t="s">
        <v>801</v>
      </c>
      <c r="F5460" s="24" t="s">
        <v>1146</v>
      </c>
      <c r="G5460" s="24">
        <v>174837</v>
      </c>
    </row>
    <row r="5461" spans="1:7" x14ac:dyDescent="0.25">
      <c r="A5461" s="24" t="s">
        <v>625</v>
      </c>
      <c r="B5461" s="24" t="s">
        <v>26</v>
      </c>
      <c r="C5461" s="24" t="s">
        <v>5</v>
      </c>
      <c r="D5461" s="24">
        <v>0</v>
      </c>
      <c r="E5461" s="24" t="s">
        <v>994</v>
      </c>
      <c r="F5461" s="24"/>
      <c r="G5461" s="24"/>
    </row>
    <row r="5462" spans="1:7" x14ac:dyDescent="0.25">
      <c r="A5462" s="24" t="s">
        <v>625</v>
      </c>
      <c r="B5462" s="24" t="s">
        <v>27</v>
      </c>
      <c r="C5462" s="24" t="s">
        <v>5</v>
      </c>
      <c r="D5462" s="24">
        <v>0</v>
      </c>
      <c r="E5462" s="24" t="s">
        <v>994</v>
      </c>
      <c r="F5462" s="24"/>
      <c r="G5462" s="24"/>
    </row>
    <row r="5463" spans="1:7" x14ac:dyDescent="0.25">
      <c r="A5463" s="24" t="s">
        <v>625</v>
      </c>
      <c r="B5463" s="24" t="s">
        <v>28</v>
      </c>
      <c r="C5463" s="24" t="s">
        <v>5</v>
      </c>
      <c r="D5463" s="24">
        <v>0</v>
      </c>
      <c r="E5463" s="24" t="s">
        <v>994</v>
      </c>
      <c r="F5463" s="24"/>
      <c r="G5463" s="24"/>
    </row>
    <row r="5464" spans="1:7" x14ac:dyDescent="0.25">
      <c r="A5464" s="24" t="s">
        <v>625</v>
      </c>
      <c r="B5464" s="24" t="s">
        <v>29</v>
      </c>
      <c r="C5464" s="24" t="s">
        <v>5</v>
      </c>
      <c r="D5464" s="24">
        <v>0</v>
      </c>
      <c r="E5464" s="24" t="s">
        <v>994</v>
      </c>
      <c r="F5464" s="24"/>
      <c r="G5464" s="24"/>
    </row>
    <row r="5465" spans="1:7" x14ac:dyDescent="0.25">
      <c r="A5465" s="24" t="s">
        <v>625</v>
      </c>
      <c r="B5465" s="24" t="s">
        <v>30</v>
      </c>
      <c r="C5465" s="24" t="s">
        <v>31</v>
      </c>
      <c r="D5465" s="24">
        <v>0</v>
      </c>
      <c r="E5465" s="24" t="s">
        <v>801</v>
      </c>
      <c r="F5465" s="24" t="s">
        <v>1146</v>
      </c>
      <c r="G5465" s="24">
        <v>174837</v>
      </c>
    </row>
    <row r="5466" spans="1:7" x14ac:dyDescent="0.25">
      <c r="A5466" s="24" t="s">
        <v>625</v>
      </c>
      <c r="B5466" s="24" t="s">
        <v>32</v>
      </c>
      <c r="C5466" s="24" t="s">
        <v>33</v>
      </c>
      <c r="D5466" s="24">
        <v>0</v>
      </c>
      <c r="E5466" s="24" t="s">
        <v>801</v>
      </c>
      <c r="F5466" s="24" t="s">
        <v>1146</v>
      </c>
      <c r="G5466" s="24">
        <v>174837</v>
      </c>
    </row>
    <row r="5467" spans="1:7" x14ac:dyDescent="0.25">
      <c r="A5467" s="24" t="s">
        <v>625</v>
      </c>
      <c r="B5467" s="24" t="s">
        <v>34</v>
      </c>
      <c r="C5467" s="24" t="s">
        <v>31</v>
      </c>
      <c r="D5467" s="24">
        <v>0</v>
      </c>
      <c r="E5467" s="24" t="s">
        <v>801</v>
      </c>
      <c r="F5467" s="24" t="s">
        <v>1146</v>
      </c>
      <c r="G5467" s="24">
        <v>174837</v>
      </c>
    </row>
    <row r="5468" spans="1:7" x14ac:dyDescent="0.25">
      <c r="A5468" s="24" t="s">
        <v>625</v>
      </c>
      <c r="B5468" s="24" t="s">
        <v>35</v>
      </c>
      <c r="C5468" s="24" t="s">
        <v>36</v>
      </c>
      <c r="D5468" s="24">
        <v>0</v>
      </c>
      <c r="E5468" s="24" t="s">
        <v>801</v>
      </c>
      <c r="F5468" s="24" t="s">
        <v>1146</v>
      </c>
      <c r="G5468" s="24">
        <v>174837</v>
      </c>
    </row>
    <row r="5469" spans="1:7" x14ac:dyDescent="0.25">
      <c r="A5469" s="24" t="s">
        <v>625</v>
      </c>
      <c r="B5469" s="24" t="s">
        <v>37</v>
      </c>
      <c r="C5469" s="24" t="s">
        <v>38</v>
      </c>
      <c r="D5469" s="24">
        <v>0</v>
      </c>
      <c r="E5469" s="24" t="s">
        <v>801</v>
      </c>
      <c r="F5469" s="24" t="s">
        <v>1146</v>
      </c>
      <c r="G5469" s="24">
        <v>174837</v>
      </c>
    </row>
    <row r="5470" spans="1:7" x14ac:dyDescent="0.25">
      <c r="A5470" s="24" t="s">
        <v>625</v>
      </c>
      <c r="B5470" s="24" t="s">
        <v>39</v>
      </c>
      <c r="C5470" s="24" t="s">
        <v>36</v>
      </c>
      <c r="D5470" s="24">
        <v>0.4</v>
      </c>
      <c r="E5470" s="24" t="s">
        <v>801</v>
      </c>
      <c r="F5470" s="24" t="s">
        <v>1146</v>
      </c>
      <c r="G5470" s="24">
        <v>174837</v>
      </c>
    </row>
    <row r="5471" spans="1:7" x14ac:dyDescent="0.25">
      <c r="A5471" s="24" t="s">
        <v>625</v>
      </c>
      <c r="B5471" s="24" t="s">
        <v>40</v>
      </c>
      <c r="C5471" s="24" t="s">
        <v>31</v>
      </c>
      <c r="D5471" s="24">
        <v>0</v>
      </c>
      <c r="E5471" s="24" t="s">
        <v>801</v>
      </c>
      <c r="F5471" s="24" t="s">
        <v>1146</v>
      </c>
      <c r="G5471" s="24">
        <v>174837</v>
      </c>
    </row>
    <row r="5472" spans="1:7" x14ac:dyDescent="0.25">
      <c r="A5472" s="24" t="s">
        <v>625</v>
      </c>
      <c r="B5472" s="24" t="s">
        <v>41</v>
      </c>
      <c r="C5472" s="24" t="s">
        <v>31</v>
      </c>
      <c r="D5472" s="24">
        <v>0</v>
      </c>
      <c r="E5472" s="24" t="s">
        <v>801</v>
      </c>
      <c r="F5472" s="24" t="s">
        <v>1146</v>
      </c>
      <c r="G5472" s="24">
        <v>174837</v>
      </c>
    </row>
    <row r="5473" spans="1:7" x14ac:dyDescent="0.25">
      <c r="A5473" s="24" t="s">
        <v>625</v>
      </c>
      <c r="B5473" s="24" t="s">
        <v>42</v>
      </c>
      <c r="C5473" s="24" t="s">
        <v>43</v>
      </c>
      <c r="D5473" s="24">
        <v>0.1</v>
      </c>
      <c r="E5473" s="24" t="s">
        <v>801</v>
      </c>
      <c r="F5473" s="24" t="s">
        <v>1146</v>
      </c>
      <c r="G5473" s="24">
        <v>174837</v>
      </c>
    </row>
    <row r="5474" spans="1:7" x14ac:dyDescent="0.25">
      <c r="A5474" s="24" t="s">
        <v>625</v>
      </c>
      <c r="B5474" s="24" t="s">
        <v>44</v>
      </c>
      <c r="C5474" s="24" t="s">
        <v>31</v>
      </c>
      <c r="D5474" s="24">
        <v>0.1</v>
      </c>
      <c r="E5474" s="24" t="s">
        <v>801</v>
      </c>
      <c r="F5474" s="24" t="s">
        <v>1146</v>
      </c>
      <c r="G5474" s="24">
        <v>174837</v>
      </c>
    </row>
    <row r="5475" spans="1:7" x14ac:dyDescent="0.25">
      <c r="A5475" s="24" t="s">
        <v>625</v>
      </c>
      <c r="B5475" s="24" t="s">
        <v>45</v>
      </c>
      <c r="C5475" s="24" t="s">
        <v>31</v>
      </c>
      <c r="D5475" s="24">
        <v>0</v>
      </c>
      <c r="E5475" s="24" t="s">
        <v>801</v>
      </c>
      <c r="F5475" s="24" t="s">
        <v>1146</v>
      </c>
      <c r="G5475" s="24">
        <v>174837</v>
      </c>
    </row>
    <row r="5476" spans="1:7" x14ac:dyDescent="0.25">
      <c r="A5476" s="24" t="s">
        <v>625</v>
      </c>
      <c r="B5476" s="24" t="s">
        <v>46</v>
      </c>
      <c r="C5476" s="24" t="s">
        <v>36</v>
      </c>
      <c r="D5476" s="24">
        <v>0</v>
      </c>
      <c r="E5476" s="24" t="s">
        <v>801</v>
      </c>
      <c r="F5476" s="24" t="s">
        <v>1146</v>
      </c>
      <c r="G5476" s="24">
        <v>174837</v>
      </c>
    </row>
    <row r="5477" spans="1:7" x14ac:dyDescent="0.25">
      <c r="A5477" s="24" t="s">
        <v>625</v>
      </c>
      <c r="B5477" s="24" t="s">
        <v>50</v>
      </c>
      <c r="C5477" s="24" t="s">
        <v>31</v>
      </c>
      <c r="D5477" s="24">
        <v>71</v>
      </c>
      <c r="E5477" s="24" t="s">
        <v>801</v>
      </c>
      <c r="F5477" s="24" t="s">
        <v>1146</v>
      </c>
      <c r="G5477" s="24">
        <v>174837</v>
      </c>
    </row>
    <row r="5478" spans="1:7" x14ac:dyDescent="0.25">
      <c r="A5478" s="24" t="s">
        <v>625</v>
      </c>
      <c r="B5478" s="24" t="s">
        <v>52</v>
      </c>
      <c r="C5478" s="24" t="s">
        <v>31</v>
      </c>
      <c r="D5478" s="24">
        <v>18</v>
      </c>
      <c r="E5478" s="24" t="s">
        <v>801</v>
      </c>
      <c r="F5478" s="24" t="s">
        <v>1146</v>
      </c>
      <c r="G5478" s="24">
        <v>174837</v>
      </c>
    </row>
    <row r="5479" spans="1:7" x14ac:dyDescent="0.25">
      <c r="A5479" s="24" t="s">
        <v>625</v>
      </c>
      <c r="B5479" s="24" t="s">
        <v>56</v>
      </c>
      <c r="C5479" s="24" t="s">
        <v>31</v>
      </c>
      <c r="D5479" s="24">
        <v>0</v>
      </c>
      <c r="E5479" s="24" t="s">
        <v>801</v>
      </c>
      <c r="F5479" s="24" t="s">
        <v>1146</v>
      </c>
      <c r="G5479" s="24">
        <v>174837</v>
      </c>
    </row>
    <row r="5480" spans="1:7" x14ac:dyDescent="0.25">
      <c r="A5480" s="24" t="s">
        <v>625</v>
      </c>
      <c r="B5480" s="24" t="s">
        <v>57</v>
      </c>
      <c r="C5480" s="24" t="s">
        <v>36</v>
      </c>
      <c r="D5480" s="24">
        <v>0.1</v>
      </c>
      <c r="E5480" s="24" t="s">
        <v>801</v>
      </c>
      <c r="F5480" s="24" t="s">
        <v>1146</v>
      </c>
      <c r="G5480" s="24">
        <v>174837</v>
      </c>
    </row>
    <row r="5481" spans="1:7" x14ac:dyDescent="0.25">
      <c r="A5481" s="24" t="s">
        <v>625</v>
      </c>
      <c r="B5481" s="24" t="s">
        <v>18</v>
      </c>
      <c r="C5481" s="24" t="s">
        <v>5</v>
      </c>
      <c r="D5481" s="24">
        <v>90</v>
      </c>
      <c r="E5481" s="24" t="s">
        <v>803</v>
      </c>
      <c r="F5481" s="24"/>
      <c r="G5481" s="24"/>
    </row>
    <row r="5482" spans="1:7" x14ac:dyDescent="0.25">
      <c r="A5482" s="24" t="s">
        <v>626</v>
      </c>
      <c r="B5482" s="24" t="s">
        <v>29</v>
      </c>
      <c r="C5482" s="24" t="s">
        <v>5</v>
      </c>
      <c r="D5482" s="24">
        <v>0</v>
      </c>
      <c r="E5482" s="24" t="s">
        <v>799</v>
      </c>
      <c r="F5482" s="24" t="s">
        <v>1147</v>
      </c>
      <c r="G5482" s="24">
        <v>175097</v>
      </c>
    </row>
    <row r="5483" spans="1:7" x14ac:dyDescent="0.25">
      <c r="A5483" s="24" t="s">
        <v>627</v>
      </c>
      <c r="B5483" s="24" t="s">
        <v>29</v>
      </c>
      <c r="C5483" s="24" t="s">
        <v>5</v>
      </c>
      <c r="D5483" s="24">
        <v>0</v>
      </c>
      <c r="E5483" s="24" t="s">
        <v>799</v>
      </c>
      <c r="F5483" s="24" t="s">
        <v>1148</v>
      </c>
      <c r="G5483" s="24">
        <v>173168</v>
      </c>
    </row>
    <row r="5484" spans="1:7" x14ac:dyDescent="0.25">
      <c r="A5484" s="24" t="s">
        <v>629</v>
      </c>
      <c r="B5484" s="24" t="s">
        <v>20</v>
      </c>
      <c r="C5484" s="24" t="s">
        <v>5</v>
      </c>
      <c r="D5484" s="24">
        <v>0</v>
      </c>
      <c r="E5484" s="24" t="s">
        <v>796</v>
      </c>
      <c r="F5484" s="24" t="s">
        <v>1149</v>
      </c>
      <c r="G5484" s="24">
        <v>174815</v>
      </c>
    </row>
    <row r="5485" spans="1:7" x14ac:dyDescent="0.25">
      <c r="A5485" s="24" t="s">
        <v>629</v>
      </c>
      <c r="B5485" s="24" t="s">
        <v>22</v>
      </c>
      <c r="C5485" s="24" t="s">
        <v>5</v>
      </c>
      <c r="D5485" s="24">
        <v>0</v>
      </c>
      <c r="E5485" s="24" t="s">
        <v>801</v>
      </c>
      <c r="F5485" s="24" t="s">
        <v>1149</v>
      </c>
      <c r="G5485" s="24">
        <v>174815</v>
      </c>
    </row>
    <row r="5486" spans="1:7" x14ac:dyDescent="0.25">
      <c r="A5486" s="24" t="s">
        <v>629</v>
      </c>
      <c r="B5486" s="24" t="s">
        <v>23</v>
      </c>
      <c r="C5486" s="24" t="s">
        <v>5</v>
      </c>
      <c r="D5486" s="24">
        <v>0</v>
      </c>
      <c r="E5486" s="24" t="s">
        <v>801</v>
      </c>
      <c r="F5486" s="24" t="s">
        <v>1149</v>
      </c>
      <c r="G5486" s="24">
        <v>174815</v>
      </c>
    </row>
    <row r="5487" spans="1:7" x14ac:dyDescent="0.25">
      <c r="A5487" s="24" t="s">
        <v>629</v>
      </c>
      <c r="B5487" s="24" t="s">
        <v>27</v>
      </c>
      <c r="C5487" s="24" t="s">
        <v>5</v>
      </c>
      <c r="D5487" s="24">
        <v>0</v>
      </c>
      <c r="E5487" s="24" t="s">
        <v>994</v>
      </c>
      <c r="F5487" s="24"/>
      <c r="G5487" s="24"/>
    </row>
    <row r="5488" spans="1:7" x14ac:dyDescent="0.25">
      <c r="A5488" s="24" t="s">
        <v>629</v>
      </c>
      <c r="B5488" s="24" t="s">
        <v>28</v>
      </c>
      <c r="C5488" s="24" t="s">
        <v>5</v>
      </c>
      <c r="D5488" s="24">
        <v>0</v>
      </c>
      <c r="E5488" s="24" t="s">
        <v>994</v>
      </c>
      <c r="F5488" s="24"/>
      <c r="G5488" s="24"/>
    </row>
    <row r="5489" spans="1:7" x14ac:dyDescent="0.25">
      <c r="A5489" s="24" t="s">
        <v>629</v>
      </c>
      <c r="B5489" s="24" t="s">
        <v>29</v>
      </c>
      <c r="C5489" s="24" t="s">
        <v>5</v>
      </c>
      <c r="D5489" s="24">
        <v>0</v>
      </c>
      <c r="E5489" s="24" t="s">
        <v>994</v>
      </c>
      <c r="F5489" s="24"/>
      <c r="G5489" s="24"/>
    </row>
    <row r="5490" spans="1:7" x14ac:dyDescent="0.25">
      <c r="A5490" s="24" t="s">
        <v>629</v>
      </c>
      <c r="B5490" s="24" t="s">
        <v>30</v>
      </c>
      <c r="C5490" s="24" t="s">
        <v>31</v>
      </c>
      <c r="D5490" s="24">
        <v>0</v>
      </c>
      <c r="E5490" s="24" t="s">
        <v>801</v>
      </c>
      <c r="F5490" s="24" t="s">
        <v>1149</v>
      </c>
      <c r="G5490" s="24">
        <v>174815</v>
      </c>
    </row>
    <row r="5491" spans="1:7" x14ac:dyDescent="0.25">
      <c r="A5491" s="24" t="s">
        <v>629</v>
      </c>
      <c r="B5491" s="24" t="s">
        <v>32</v>
      </c>
      <c r="C5491" s="24" t="s">
        <v>33</v>
      </c>
      <c r="D5491" s="24">
        <v>0</v>
      </c>
      <c r="E5491" s="24" t="s">
        <v>801</v>
      </c>
      <c r="F5491" s="24" t="s">
        <v>1149</v>
      </c>
      <c r="G5491" s="24">
        <v>174815</v>
      </c>
    </row>
    <row r="5492" spans="1:7" x14ac:dyDescent="0.25">
      <c r="A5492" s="24" t="s">
        <v>629</v>
      </c>
      <c r="B5492" s="24" t="s">
        <v>34</v>
      </c>
      <c r="C5492" s="24" t="s">
        <v>31</v>
      </c>
      <c r="D5492" s="24">
        <v>0</v>
      </c>
      <c r="E5492" s="24" t="s">
        <v>801</v>
      </c>
      <c r="F5492" s="24" t="s">
        <v>1149</v>
      </c>
      <c r="G5492" s="24">
        <v>174815</v>
      </c>
    </row>
    <row r="5493" spans="1:7" x14ac:dyDescent="0.25">
      <c r="A5493" s="24" t="s">
        <v>629</v>
      </c>
      <c r="B5493" s="24" t="s">
        <v>35</v>
      </c>
      <c r="C5493" s="24" t="s">
        <v>36</v>
      </c>
      <c r="D5493" s="24">
        <v>0</v>
      </c>
      <c r="E5493" s="24" t="s">
        <v>801</v>
      </c>
      <c r="F5493" s="24" t="s">
        <v>1149</v>
      </c>
      <c r="G5493" s="24">
        <v>174815</v>
      </c>
    </row>
    <row r="5494" spans="1:7" x14ac:dyDescent="0.25">
      <c r="A5494" s="24" t="s">
        <v>629</v>
      </c>
      <c r="B5494" s="24" t="s">
        <v>37</v>
      </c>
      <c r="C5494" s="24" t="s">
        <v>38</v>
      </c>
      <c r="D5494" s="24">
        <v>0</v>
      </c>
      <c r="E5494" s="24" t="s">
        <v>801</v>
      </c>
      <c r="F5494" s="24" t="s">
        <v>1149</v>
      </c>
      <c r="G5494" s="24">
        <v>174815</v>
      </c>
    </row>
    <row r="5495" spans="1:7" x14ac:dyDescent="0.25">
      <c r="A5495" s="24" t="s">
        <v>629</v>
      </c>
      <c r="B5495" s="24" t="s">
        <v>39</v>
      </c>
      <c r="C5495" s="24" t="s">
        <v>36</v>
      </c>
      <c r="D5495" s="24">
        <v>0</v>
      </c>
      <c r="E5495" s="24" t="s">
        <v>801</v>
      </c>
      <c r="F5495" s="24" t="s">
        <v>1149</v>
      </c>
      <c r="G5495" s="24">
        <v>174815</v>
      </c>
    </row>
    <row r="5496" spans="1:7" x14ac:dyDescent="0.25">
      <c r="A5496" s="24" t="s">
        <v>629</v>
      </c>
      <c r="B5496" s="24" t="s">
        <v>40</v>
      </c>
      <c r="C5496" s="24" t="s">
        <v>31</v>
      </c>
      <c r="D5496" s="24">
        <v>0</v>
      </c>
      <c r="E5496" s="24" t="s">
        <v>801</v>
      </c>
      <c r="F5496" s="24" t="s">
        <v>1149</v>
      </c>
      <c r="G5496" s="24">
        <v>174815</v>
      </c>
    </row>
    <row r="5497" spans="1:7" x14ac:dyDescent="0.25">
      <c r="A5497" s="24" t="s">
        <v>629</v>
      </c>
      <c r="B5497" s="24" t="s">
        <v>41</v>
      </c>
      <c r="C5497" s="24" t="s">
        <v>31</v>
      </c>
      <c r="D5497" s="24">
        <v>0</v>
      </c>
      <c r="E5497" s="24" t="s">
        <v>801</v>
      </c>
      <c r="F5497" s="24" t="s">
        <v>1149</v>
      </c>
      <c r="G5497" s="24">
        <v>174815</v>
      </c>
    </row>
    <row r="5498" spans="1:7" x14ac:dyDescent="0.25">
      <c r="A5498" s="24" t="s">
        <v>629</v>
      </c>
      <c r="B5498" s="24" t="s">
        <v>42</v>
      </c>
      <c r="C5498" s="24" t="s">
        <v>43</v>
      </c>
      <c r="D5498" s="24">
        <v>0</v>
      </c>
      <c r="E5498" s="24" t="s">
        <v>801</v>
      </c>
      <c r="F5498" s="24" t="s">
        <v>1149</v>
      </c>
      <c r="G5498" s="24">
        <v>174815</v>
      </c>
    </row>
    <row r="5499" spans="1:7" x14ac:dyDescent="0.25">
      <c r="A5499" s="24" t="s">
        <v>629</v>
      </c>
      <c r="B5499" s="24" t="s">
        <v>44</v>
      </c>
      <c r="C5499" s="24" t="s">
        <v>31</v>
      </c>
      <c r="D5499" s="24">
        <v>0</v>
      </c>
      <c r="E5499" s="24" t="s">
        <v>801</v>
      </c>
      <c r="F5499" s="24" t="s">
        <v>1149</v>
      </c>
      <c r="G5499" s="24">
        <v>174815</v>
      </c>
    </row>
    <row r="5500" spans="1:7" x14ac:dyDescent="0.25">
      <c r="A5500" s="24" t="s">
        <v>629</v>
      </c>
      <c r="B5500" s="24" t="s">
        <v>45</v>
      </c>
      <c r="C5500" s="24" t="s">
        <v>31</v>
      </c>
      <c r="D5500" s="24">
        <v>0</v>
      </c>
      <c r="E5500" s="24" t="s">
        <v>801</v>
      </c>
      <c r="F5500" s="24" t="s">
        <v>1149</v>
      </c>
      <c r="G5500" s="24">
        <v>174815</v>
      </c>
    </row>
    <row r="5501" spans="1:7" x14ac:dyDescent="0.25">
      <c r="A5501" s="24" t="s">
        <v>629</v>
      </c>
      <c r="B5501" s="24" t="s">
        <v>46</v>
      </c>
      <c r="C5501" s="24" t="s">
        <v>36</v>
      </c>
      <c r="D5501" s="24">
        <v>0</v>
      </c>
      <c r="E5501" s="24" t="s">
        <v>801</v>
      </c>
      <c r="F5501" s="24" t="s">
        <v>1149</v>
      </c>
      <c r="G5501" s="24">
        <v>174815</v>
      </c>
    </row>
    <row r="5502" spans="1:7" x14ac:dyDescent="0.25">
      <c r="A5502" s="24" t="s">
        <v>629</v>
      </c>
      <c r="B5502" s="24" t="s">
        <v>47</v>
      </c>
      <c r="C5502" s="24" t="s">
        <v>48</v>
      </c>
      <c r="D5502" s="24">
        <v>0</v>
      </c>
      <c r="E5502" s="24" t="s">
        <v>801</v>
      </c>
      <c r="F5502" s="24" t="s">
        <v>1149</v>
      </c>
      <c r="G5502" s="24">
        <v>174815</v>
      </c>
    </row>
    <row r="5503" spans="1:7" x14ac:dyDescent="0.25">
      <c r="A5503" s="24" t="s">
        <v>629</v>
      </c>
      <c r="B5503" s="24" t="s">
        <v>49</v>
      </c>
      <c r="C5503" s="24" t="s">
        <v>31</v>
      </c>
      <c r="D5503" s="24">
        <v>1</v>
      </c>
      <c r="E5503" s="24" t="s">
        <v>801</v>
      </c>
      <c r="F5503" s="24" t="s">
        <v>1149</v>
      </c>
      <c r="G5503" s="24">
        <v>174815</v>
      </c>
    </row>
    <row r="5504" spans="1:7" x14ac:dyDescent="0.25">
      <c r="A5504" s="24" t="s">
        <v>629</v>
      </c>
      <c r="B5504" s="24" t="s">
        <v>50</v>
      </c>
      <c r="C5504" s="24" t="s">
        <v>31</v>
      </c>
      <c r="D5504" s="24">
        <v>2</v>
      </c>
      <c r="E5504" s="24" t="s">
        <v>801</v>
      </c>
      <c r="F5504" s="24" t="s">
        <v>1149</v>
      </c>
      <c r="G5504" s="24">
        <v>174815</v>
      </c>
    </row>
    <row r="5505" spans="1:7" x14ac:dyDescent="0.25">
      <c r="A5505" s="24" t="s">
        <v>629</v>
      </c>
      <c r="B5505" s="24" t="s">
        <v>51</v>
      </c>
      <c r="C5505" s="24" t="s">
        <v>31</v>
      </c>
      <c r="D5505" s="24">
        <v>0</v>
      </c>
      <c r="E5505" s="24" t="s">
        <v>801</v>
      </c>
      <c r="F5505" s="24" t="s">
        <v>1149</v>
      </c>
      <c r="G5505" s="24">
        <v>174815</v>
      </c>
    </row>
    <row r="5506" spans="1:7" x14ac:dyDescent="0.25">
      <c r="A5506" s="24" t="s">
        <v>629</v>
      </c>
      <c r="B5506" s="24" t="s">
        <v>52</v>
      </c>
      <c r="C5506" s="24" t="s">
        <v>31</v>
      </c>
      <c r="D5506" s="24">
        <v>4</v>
      </c>
      <c r="E5506" s="24" t="s">
        <v>801</v>
      </c>
      <c r="F5506" s="24" t="s">
        <v>1149</v>
      </c>
      <c r="G5506" s="24">
        <v>174815</v>
      </c>
    </row>
    <row r="5507" spans="1:7" x14ac:dyDescent="0.25">
      <c r="A5507" s="24" t="s">
        <v>629</v>
      </c>
      <c r="B5507" s="24" t="s">
        <v>53</v>
      </c>
      <c r="C5507" s="24" t="s">
        <v>31</v>
      </c>
      <c r="D5507" s="24">
        <v>0</v>
      </c>
      <c r="E5507" s="24" t="s">
        <v>801</v>
      </c>
      <c r="F5507" s="24" t="s">
        <v>1149</v>
      </c>
      <c r="G5507" s="24">
        <v>174815</v>
      </c>
    </row>
    <row r="5508" spans="1:7" x14ac:dyDescent="0.25">
      <c r="A5508" s="24" t="s">
        <v>629</v>
      </c>
      <c r="B5508" s="24" t="s">
        <v>54</v>
      </c>
      <c r="C5508" s="24" t="s">
        <v>31</v>
      </c>
      <c r="D5508" s="24">
        <v>0</v>
      </c>
      <c r="E5508" s="24" t="s">
        <v>801</v>
      </c>
      <c r="F5508" s="24" t="s">
        <v>1149</v>
      </c>
      <c r="G5508" s="24">
        <v>174815</v>
      </c>
    </row>
    <row r="5509" spans="1:7" x14ac:dyDescent="0.25">
      <c r="A5509" s="24" t="s">
        <v>629</v>
      </c>
      <c r="B5509" s="24" t="s">
        <v>55</v>
      </c>
      <c r="C5509" s="24" t="s">
        <v>31</v>
      </c>
      <c r="D5509" s="24">
        <v>0</v>
      </c>
      <c r="E5509" s="24" t="s">
        <v>801</v>
      </c>
      <c r="F5509" s="24" t="s">
        <v>1149</v>
      </c>
      <c r="G5509" s="24">
        <v>174815</v>
      </c>
    </row>
    <row r="5510" spans="1:7" x14ac:dyDescent="0.25">
      <c r="A5510" s="24" t="s">
        <v>629</v>
      </c>
      <c r="B5510" s="24" t="s">
        <v>56</v>
      </c>
      <c r="C5510" s="24" t="s">
        <v>31</v>
      </c>
      <c r="D5510" s="24">
        <v>0</v>
      </c>
      <c r="E5510" s="24" t="s">
        <v>801</v>
      </c>
      <c r="F5510" s="24" t="s">
        <v>1149</v>
      </c>
      <c r="G5510" s="24">
        <v>174815</v>
      </c>
    </row>
    <row r="5511" spans="1:7" x14ac:dyDescent="0.25">
      <c r="A5511" s="24" t="s">
        <v>629</v>
      </c>
      <c r="B5511" s="24" t="s">
        <v>57</v>
      </c>
      <c r="C5511" s="24" t="s">
        <v>36</v>
      </c>
      <c r="D5511" s="24">
        <v>0</v>
      </c>
      <c r="E5511" s="24" t="s">
        <v>801</v>
      </c>
      <c r="F5511" s="24" t="s">
        <v>1149</v>
      </c>
      <c r="G5511" s="24">
        <v>174815</v>
      </c>
    </row>
    <row r="5512" spans="1:7" x14ac:dyDescent="0.25">
      <c r="A5512" s="24" t="s">
        <v>629</v>
      </c>
      <c r="B5512" s="24" t="s">
        <v>18</v>
      </c>
      <c r="C5512" s="24" t="s">
        <v>5</v>
      </c>
      <c r="D5512" s="24">
        <v>72</v>
      </c>
      <c r="E5512" s="24" t="s">
        <v>803</v>
      </c>
      <c r="F5512" s="24"/>
      <c r="G5512" s="24"/>
    </row>
    <row r="5513" spans="1:7" x14ac:dyDescent="0.25">
      <c r="A5513" s="24" t="s">
        <v>631</v>
      </c>
      <c r="B5513" s="24" t="s">
        <v>29</v>
      </c>
      <c r="C5513" s="24" t="s">
        <v>5</v>
      </c>
      <c r="D5513" s="24">
        <v>0</v>
      </c>
      <c r="E5513" s="24" t="s">
        <v>994</v>
      </c>
      <c r="F5513" s="24"/>
      <c r="G5513" s="24"/>
    </row>
    <row r="5514" spans="1:7" x14ac:dyDescent="0.25">
      <c r="A5514" s="24" t="s">
        <v>632</v>
      </c>
      <c r="B5514" s="24" t="s">
        <v>29</v>
      </c>
      <c r="C5514" s="24" t="s">
        <v>5</v>
      </c>
      <c r="D5514" s="24">
        <v>0</v>
      </c>
      <c r="E5514" s="24" t="s">
        <v>994</v>
      </c>
      <c r="F5514" s="24"/>
      <c r="G5514" s="24"/>
    </row>
    <row r="5515" spans="1:7" x14ac:dyDescent="0.25">
      <c r="A5515" s="24" t="s">
        <v>633</v>
      </c>
      <c r="B5515" s="24" t="s">
        <v>29</v>
      </c>
      <c r="C5515" s="24" t="s">
        <v>5</v>
      </c>
      <c r="D5515" s="24">
        <v>0</v>
      </c>
      <c r="E5515" s="24" t="s">
        <v>994</v>
      </c>
      <c r="F5515" s="24"/>
      <c r="G5515" s="24"/>
    </row>
    <row r="5516" spans="1:7" x14ac:dyDescent="0.25">
      <c r="A5516" s="24" t="s">
        <v>634</v>
      </c>
      <c r="B5516" s="24" t="s">
        <v>29</v>
      </c>
      <c r="C5516" s="24" t="s">
        <v>5</v>
      </c>
      <c r="D5516" s="24">
        <v>0</v>
      </c>
      <c r="E5516" s="24" t="s">
        <v>994</v>
      </c>
      <c r="F5516" s="24"/>
      <c r="G5516" s="24"/>
    </row>
    <row r="5517" spans="1:7" x14ac:dyDescent="0.25">
      <c r="A5517" s="24" t="s">
        <v>635</v>
      </c>
      <c r="B5517" s="24" t="s">
        <v>29</v>
      </c>
      <c r="C5517" s="24" t="s">
        <v>5</v>
      </c>
      <c r="D5517" s="24">
        <v>0</v>
      </c>
      <c r="E5517" s="24" t="s">
        <v>994</v>
      </c>
      <c r="F5517" s="24"/>
      <c r="G5517" s="24"/>
    </row>
    <row r="5518" spans="1:7" x14ac:dyDescent="0.25">
      <c r="A5518" s="24" t="s">
        <v>636</v>
      </c>
      <c r="B5518" s="24" t="s">
        <v>23</v>
      </c>
      <c r="C5518" s="24" t="s">
        <v>5</v>
      </c>
      <c r="D5518" s="24">
        <v>0.2</v>
      </c>
      <c r="E5518" s="24" t="s">
        <v>796</v>
      </c>
      <c r="F5518" s="24" t="s">
        <v>1150</v>
      </c>
      <c r="G5518" s="24">
        <v>173190</v>
      </c>
    </row>
    <row r="5519" spans="1:7" x14ac:dyDescent="0.25">
      <c r="A5519" s="24" t="s">
        <v>636</v>
      </c>
      <c r="B5519" s="24" t="s">
        <v>24</v>
      </c>
      <c r="C5519" s="24" t="s">
        <v>5</v>
      </c>
      <c r="D5519" s="24">
        <v>0</v>
      </c>
      <c r="E5519" s="24" t="s">
        <v>796</v>
      </c>
      <c r="F5519" s="24" t="s">
        <v>1150</v>
      </c>
      <c r="G5519" s="24">
        <v>173190</v>
      </c>
    </row>
    <row r="5520" spans="1:7" x14ac:dyDescent="0.25">
      <c r="A5520" s="24" t="s">
        <v>636</v>
      </c>
      <c r="B5520" s="24" t="s">
        <v>26</v>
      </c>
      <c r="C5520" s="24" t="s">
        <v>5</v>
      </c>
      <c r="D5520" s="24">
        <v>0</v>
      </c>
      <c r="E5520" s="24" t="s">
        <v>994</v>
      </c>
      <c r="F5520" s="24"/>
      <c r="G5520" s="24"/>
    </row>
    <row r="5521" spans="1:7" x14ac:dyDescent="0.25">
      <c r="A5521" s="24" t="s">
        <v>636</v>
      </c>
      <c r="B5521" s="24" t="s">
        <v>27</v>
      </c>
      <c r="C5521" s="24" t="s">
        <v>5</v>
      </c>
      <c r="D5521" s="24">
        <v>0</v>
      </c>
      <c r="E5521" s="24" t="s">
        <v>994</v>
      </c>
      <c r="F5521" s="24"/>
      <c r="G5521" s="24"/>
    </row>
    <row r="5522" spans="1:7" x14ac:dyDescent="0.25">
      <c r="A5522" s="24" t="s">
        <v>636</v>
      </c>
      <c r="B5522" s="24" t="s">
        <v>28</v>
      </c>
      <c r="C5522" s="24" t="s">
        <v>5</v>
      </c>
      <c r="D5522" s="24">
        <v>0</v>
      </c>
      <c r="E5522" s="24" t="s">
        <v>994</v>
      </c>
      <c r="F5522" s="24"/>
      <c r="G5522" s="24"/>
    </row>
    <row r="5523" spans="1:7" x14ac:dyDescent="0.25">
      <c r="A5523" s="24" t="s">
        <v>636</v>
      </c>
      <c r="B5523" s="24" t="s">
        <v>29</v>
      </c>
      <c r="C5523" s="24" t="s">
        <v>5</v>
      </c>
      <c r="D5523" s="24">
        <v>0</v>
      </c>
      <c r="E5523" s="24" t="s">
        <v>994</v>
      </c>
      <c r="F5523" s="24"/>
      <c r="G5523" s="24"/>
    </row>
    <row r="5524" spans="1:7" x14ac:dyDescent="0.25">
      <c r="A5524" s="24" t="s">
        <v>636</v>
      </c>
      <c r="B5524" s="24" t="s">
        <v>30</v>
      </c>
      <c r="C5524" s="24" t="s">
        <v>31</v>
      </c>
      <c r="D5524" s="24">
        <v>0</v>
      </c>
      <c r="E5524" s="24" t="s">
        <v>801</v>
      </c>
      <c r="F5524" s="24" t="s">
        <v>1150</v>
      </c>
      <c r="G5524" s="24">
        <v>173190</v>
      </c>
    </row>
    <row r="5525" spans="1:7" x14ac:dyDescent="0.25">
      <c r="A5525" s="24" t="s">
        <v>636</v>
      </c>
      <c r="B5525" s="24" t="s">
        <v>32</v>
      </c>
      <c r="C5525" s="24" t="s">
        <v>33</v>
      </c>
      <c r="D5525" s="24">
        <v>0</v>
      </c>
      <c r="E5525" s="24" t="s">
        <v>796</v>
      </c>
      <c r="F5525" s="24" t="s">
        <v>1150</v>
      </c>
      <c r="G5525" s="24">
        <v>173190</v>
      </c>
    </row>
    <row r="5526" spans="1:7" x14ac:dyDescent="0.25">
      <c r="A5526" s="24" t="s">
        <v>636</v>
      </c>
      <c r="B5526" s="24" t="s">
        <v>34</v>
      </c>
      <c r="C5526" s="24" t="s">
        <v>31</v>
      </c>
      <c r="D5526" s="24">
        <v>0</v>
      </c>
      <c r="E5526" s="24" t="s">
        <v>796</v>
      </c>
      <c r="F5526" s="24" t="s">
        <v>1150</v>
      </c>
      <c r="G5526" s="24">
        <v>173190</v>
      </c>
    </row>
    <row r="5527" spans="1:7" x14ac:dyDescent="0.25">
      <c r="A5527" s="24" t="s">
        <v>636</v>
      </c>
      <c r="B5527" s="24" t="s">
        <v>35</v>
      </c>
      <c r="C5527" s="24" t="s">
        <v>36</v>
      </c>
      <c r="D5527" s="24">
        <v>0</v>
      </c>
      <c r="E5527" s="24" t="s">
        <v>796</v>
      </c>
      <c r="F5527" s="24" t="s">
        <v>1150</v>
      </c>
      <c r="G5527" s="24">
        <v>173190</v>
      </c>
    </row>
    <row r="5528" spans="1:7" x14ac:dyDescent="0.25">
      <c r="A5528" s="24" t="s">
        <v>636</v>
      </c>
      <c r="B5528" s="24" t="s">
        <v>37</v>
      </c>
      <c r="C5528" s="24" t="s">
        <v>38</v>
      </c>
      <c r="D5528" s="24">
        <v>0</v>
      </c>
      <c r="E5528" s="24" t="s">
        <v>796</v>
      </c>
      <c r="F5528" s="24" t="s">
        <v>1150</v>
      </c>
      <c r="G5528" s="24">
        <v>173190</v>
      </c>
    </row>
    <row r="5529" spans="1:7" x14ac:dyDescent="0.25">
      <c r="A5529" s="24" t="s">
        <v>636</v>
      </c>
      <c r="B5529" s="24" t="s">
        <v>39</v>
      </c>
      <c r="C5529" s="24" t="s">
        <v>36</v>
      </c>
      <c r="D5529" s="24">
        <v>0.1</v>
      </c>
      <c r="E5529" s="24" t="s">
        <v>796</v>
      </c>
      <c r="F5529" s="24" t="s">
        <v>1150</v>
      </c>
      <c r="G5529" s="24">
        <v>173190</v>
      </c>
    </row>
    <row r="5530" spans="1:7" x14ac:dyDescent="0.25">
      <c r="A5530" s="24" t="s">
        <v>636</v>
      </c>
      <c r="B5530" s="24" t="s">
        <v>40</v>
      </c>
      <c r="C5530" s="24" t="s">
        <v>31</v>
      </c>
      <c r="D5530" s="24">
        <v>0</v>
      </c>
      <c r="E5530" s="24" t="s">
        <v>796</v>
      </c>
      <c r="F5530" s="24" t="s">
        <v>1150</v>
      </c>
      <c r="G5530" s="24">
        <v>173190</v>
      </c>
    </row>
    <row r="5531" spans="1:7" x14ac:dyDescent="0.25">
      <c r="A5531" s="24" t="s">
        <v>636</v>
      </c>
      <c r="B5531" s="24" t="s">
        <v>41</v>
      </c>
      <c r="C5531" s="24" t="s">
        <v>31</v>
      </c>
      <c r="D5531" s="24">
        <v>0</v>
      </c>
      <c r="E5531" s="24" t="s">
        <v>796</v>
      </c>
      <c r="F5531" s="24" t="s">
        <v>1150</v>
      </c>
      <c r="G5531" s="24">
        <v>173190</v>
      </c>
    </row>
    <row r="5532" spans="1:7" x14ac:dyDescent="0.25">
      <c r="A5532" s="24" t="s">
        <v>636</v>
      </c>
      <c r="B5532" s="24" t="s">
        <v>42</v>
      </c>
      <c r="C5532" s="24" t="s">
        <v>43</v>
      </c>
      <c r="D5532" s="24">
        <v>0.1</v>
      </c>
      <c r="E5532" s="24" t="s">
        <v>796</v>
      </c>
      <c r="F5532" s="24" t="s">
        <v>1150</v>
      </c>
      <c r="G5532" s="24">
        <v>173190</v>
      </c>
    </row>
    <row r="5533" spans="1:7" x14ac:dyDescent="0.25">
      <c r="A5533" s="24" t="s">
        <v>636</v>
      </c>
      <c r="B5533" s="24" t="s">
        <v>44</v>
      </c>
      <c r="C5533" s="24" t="s">
        <v>31</v>
      </c>
      <c r="D5533" s="24">
        <v>0</v>
      </c>
      <c r="E5533" s="24" t="s">
        <v>796</v>
      </c>
      <c r="F5533" s="24" t="s">
        <v>1150</v>
      </c>
      <c r="G5533" s="24">
        <v>173190</v>
      </c>
    </row>
    <row r="5534" spans="1:7" x14ac:dyDescent="0.25">
      <c r="A5534" s="24" t="s">
        <v>636</v>
      </c>
      <c r="B5534" s="24" t="s">
        <v>45</v>
      </c>
      <c r="C5534" s="24" t="s">
        <v>31</v>
      </c>
      <c r="D5534" s="24">
        <v>0</v>
      </c>
      <c r="E5534" s="24" t="s">
        <v>796</v>
      </c>
      <c r="F5534" s="24" t="s">
        <v>1150</v>
      </c>
      <c r="G5534" s="24">
        <v>173190</v>
      </c>
    </row>
    <row r="5535" spans="1:7" x14ac:dyDescent="0.25">
      <c r="A5535" s="24" t="s">
        <v>636</v>
      </c>
      <c r="B5535" s="24" t="s">
        <v>46</v>
      </c>
      <c r="C5535" s="24" t="s">
        <v>36</v>
      </c>
      <c r="D5535" s="24">
        <v>0</v>
      </c>
      <c r="E5535" s="24" t="s">
        <v>796</v>
      </c>
      <c r="F5535" s="24" t="s">
        <v>1150</v>
      </c>
      <c r="G5535" s="24">
        <v>173190</v>
      </c>
    </row>
    <row r="5536" spans="1:7" x14ac:dyDescent="0.25">
      <c r="A5536" s="24" t="s">
        <v>636</v>
      </c>
      <c r="B5536" s="24" t="s">
        <v>47</v>
      </c>
      <c r="C5536" s="24" t="s">
        <v>48</v>
      </c>
      <c r="D5536" s="24">
        <v>0.3</v>
      </c>
      <c r="E5536" s="24" t="s">
        <v>796</v>
      </c>
      <c r="F5536" s="24" t="s">
        <v>1150</v>
      </c>
      <c r="G5536" s="24">
        <v>173190</v>
      </c>
    </row>
    <row r="5537" spans="1:7" x14ac:dyDescent="0.25">
      <c r="A5537" s="24" t="s">
        <v>636</v>
      </c>
      <c r="B5537" s="24" t="s">
        <v>49</v>
      </c>
      <c r="C5537" s="24" t="s">
        <v>31</v>
      </c>
      <c r="D5537" s="24">
        <v>1.3</v>
      </c>
      <c r="E5537" s="24" t="s">
        <v>796</v>
      </c>
      <c r="F5537" s="24" t="s">
        <v>1150</v>
      </c>
      <c r="G5537" s="24">
        <v>173190</v>
      </c>
    </row>
    <row r="5538" spans="1:7" x14ac:dyDescent="0.25">
      <c r="A5538" s="24" t="s">
        <v>636</v>
      </c>
      <c r="B5538" s="24" t="s">
        <v>50</v>
      </c>
      <c r="C5538" s="24" t="s">
        <v>31</v>
      </c>
      <c r="D5538" s="24">
        <v>42.3</v>
      </c>
      <c r="E5538" s="24" t="s">
        <v>796</v>
      </c>
      <c r="F5538" s="24" t="s">
        <v>1150</v>
      </c>
      <c r="G5538" s="24">
        <v>173190</v>
      </c>
    </row>
    <row r="5539" spans="1:7" x14ac:dyDescent="0.25">
      <c r="A5539" s="24" t="s">
        <v>636</v>
      </c>
      <c r="B5539" s="24" t="s">
        <v>51</v>
      </c>
      <c r="C5539" s="24" t="s">
        <v>31</v>
      </c>
      <c r="D5539" s="24">
        <v>2.7</v>
      </c>
      <c r="E5539" s="24" t="s">
        <v>796</v>
      </c>
      <c r="F5539" s="24" t="s">
        <v>1150</v>
      </c>
      <c r="G5539" s="24">
        <v>173190</v>
      </c>
    </row>
    <row r="5540" spans="1:7" x14ac:dyDescent="0.25">
      <c r="A5540" s="24" t="s">
        <v>636</v>
      </c>
      <c r="B5540" s="24" t="s">
        <v>52</v>
      </c>
      <c r="C5540" s="24" t="s">
        <v>31</v>
      </c>
      <c r="D5540" s="24">
        <v>7.7</v>
      </c>
      <c r="E5540" s="24" t="s">
        <v>796</v>
      </c>
      <c r="F5540" s="24" t="s">
        <v>1150</v>
      </c>
      <c r="G5540" s="24">
        <v>173190</v>
      </c>
    </row>
    <row r="5541" spans="1:7" x14ac:dyDescent="0.25">
      <c r="A5541" s="24" t="s">
        <v>636</v>
      </c>
      <c r="B5541" s="24" t="s">
        <v>53</v>
      </c>
      <c r="C5541" s="24" t="s">
        <v>31</v>
      </c>
      <c r="D5541" s="24">
        <v>4</v>
      </c>
      <c r="E5541" s="24" t="s">
        <v>796</v>
      </c>
      <c r="F5541" s="24" t="s">
        <v>1150</v>
      </c>
      <c r="G5541" s="24">
        <v>173190</v>
      </c>
    </row>
    <row r="5542" spans="1:7" x14ac:dyDescent="0.25">
      <c r="A5542" s="24" t="s">
        <v>636</v>
      </c>
      <c r="B5542" s="24" t="s">
        <v>54</v>
      </c>
      <c r="C5542" s="24" t="s">
        <v>31</v>
      </c>
      <c r="D5542" s="24">
        <v>0.2</v>
      </c>
      <c r="E5542" s="24" t="s">
        <v>796</v>
      </c>
      <c r="F5542" s="24" t="s">
        <v>1150</v>
      </c>
      <c r="G5542" s="24">
        <v>173190</v>
      </c>
    </row>
    <row r="5543" spans="1:7" x14ac:dyDescent="0.25">
      <c r="A5543" s="24" t="s">
        <v>636</v>
      </c>
      <c r="B5543" s="24" t="s">
        <v>55</v>
      </c>
      <c r="C5543" s="24" t="s">
        <v>31</v>
      </c>
      <c r="D5543" s="24">
        <v>0</v>
      </c>
      <c r="E5543" s="24" t="s">
        <v>796</v>
      </c>
      <c r="F5543" s="24" t="s">
        <v>1150</v>
      </c>
      <c r="G5543" s="24">
        <v>173190</v>
      </c>
    </row>
    <row r="5544" spans="1:7" x14ac:dyDescent="0.25">
      <c r="A5544" s="24" t="s">
        <v>636</v>
      </c>
      <c r="B5544" s="24" t="s">
        <v>56</v>
      </c>
      <c r="C5544" s="24" t="s">
        <v>31</v>
      </c>
      <c r="D5544" s="24">
        <v>0</v>
      </c>
      <c r="E5544" s="24" t="s">
        <v>796</v>
      </c>
      <c r="F5544" s="24" t="s">
        <v>1150</v>
      </c>
      <c r="G5544" s="24">
        <v>173190</v>
      </c>
    </row>
    <row r="5545" spans="1:7" x14ac:dyDescent="0.25">
      <c r="A5545" s="24" t="s">
        <v>636</v>
      </c>
      <c r="B5545" s="24" t="s">
        <v>57</v>
      </c>
      <c r="C5545" s="24" t="s">
        <v>36</v>
      </c>
      <c r="D5545" s="24">
        <v>0.1</v>
      </c>
      <c r="E5545" s="24" t="s">
        <v>796</v>
      </c>
      <c r="F5545" s="24" t="s">
        <v>1150</v>
      </c>
      <c r="G5545" s="24">
        <v>173190</v>
      </c>
    </row>
    <row r="5546" spans="1:7" x14ac:dyDescent="0.25">
      <c r="A5546" s="24" t="s">
        <v>638</v>
      </c>
      <c r="B5546" s="24" t="s">
        <v>32</v>
      </c>
      <c r="C5546" s="24" t="s">
        <v>33</v>
      </c>
      <c r="D5546" s="24">
        <v>0</v>
      </c>
      <c r="E5546" s="24" t="s">
        <v>796</v>
      </c>
      <c r="F5546" s="24" t="s">
        <v>1151</v>
      </c>
      <c r="G5546" s="24">
        <v>169677</v>
      </c>
    </row>
    <row r="5547" spans="1:7" x14ac:dyDescent="0.25">
      <c r="A5547" s="24" t="s">
        <v>638</v>
      </c>
      <c r="B5547" s="24" t="s">
        <v>34</v>
      </c>
      <c r="C5547" s="24" t="s">
        <v>31</v>
      </c>
      <c r="D5547" s="24">
        <v>21.7</v>
      </c>
      <c r="E5547" s="24" t="s">
        <v>796</v>
      </c>
      <c r="F5547" s="24" t="s">
        <v>1151</v>
      </c>
      <c r="G5547" s="24">
        <v>169677</v>
      </c>
    </row>
    <row r="5548" spans="1:7" x14ac:dyDescent="0.25">
      <c r="A5548" s="24" t="s">
        <v>638</v>
      </c>
      <c r="B5548" s="24" t="s">
        <v>35</v>
      </c>
      <c r="C5548" s="24" t="s">
        <v>36</v>
      </c>
      <c r="D5548" s="24">
        <v>0</v>
      </c>
      <c r="E5548" s="24" t="s">
        <v>796</v>
      </c>
      <c r="F5548" s="24" t="s">
        <v>1151</v>
      </c>
      <c r="G5548" s="24">
        <v>169677</v>
      </c>
    </row>
    <row r="5549" spans="1:7" x14ac:dyDescent="0.25">
      <c r="A5549" s="24" t="s">
        <v>638</v>
      </c>
      <c r="B5549" s="24" t="s">
        <v>37</v>
      </c>
      <c r="C5549" s="24" t="s">
        <v>38</v>
      </c>
      <c r="D5549" s="24">
        <v>10.5</v>
      </c>
      <c r="E5549" s="24" t="s">
        <v>796</v>
      </c>
      <c r="F5549" s="24" t="s">
        <v>1151</v>
      </c>
      <c r="G5549" s="24">
        <v>169677</v>
      </c>
    </row>
    <row r="5550" spans="1:7" x14ac:dyDescent="0.25">
      <c r="A5550" s="24" t="s">
        <v>638</v>
      </c>
      <c r="B5550" s="24" t="s">
        <v>39</v>
      </c>
      <c r="C5550" s="24" t="s">
        <v>36</v>
      </c>
      <c r="D5550" s="24">
        <v>22.2</v>
      </c>
      <c r="E5550" s="24" t="s">
        <v>796</v>
      </c>
      <c r="F5550" s="24" t="s">
        <v>1151</v>
      </c>
      <c r="G5550" s="24">
        <v>169677</v>
      </c>
    </row>
    <row r="5551" spans="1:7" x14ac:dyDescent="0.25">
      <c r="A5551" s="24" t="s">
        <v>638</v>
      </c>
      <c r="B5551" s="24" t="s">
        <v>40</v>
      </c>
      <c r="C5551" s="24" t="s">
        <v>31</v>
      </c>
      <c r="D5551" s="24">
        <v>0.2</v>
      </c>
      <c r="E5551" s="24" t="s">
        <v>796</v>
      </c>
      <c r="F5551" s="24" t="s">
        <v>1151</v>
      </c>
      <c r="G5551" s="24">
        <v>169677</v>
      </c>
    </row>
    <row r="5552" spans="1:7" x14ac:dyDescent="0.25">
      <c r="A5552" s="24" t="s">
        <v>638</v>
      </c>
      <c r="B5552" s="24" t="s">
        <v>41</v>
      </c>
      <c r="C5552" s="24" t="s">
        <v>31</v>
      </c>
      <c r="D5552" s="24">
        <v>0.1</v>
      </c>
      <c r="E5552" s="24" t="s">
        <v>796</v>
      </c>
      <c r="F5552" s="24" t="s">
        <v>1151</v>
      </c>
      <c r="G5552" s="24">
        <v>169677</v>
      </c>
    </row>
    <row r="5553" spans="1:7" x14ac:dyDescent="0.25">
      <c r="A5553" s="24" t="s">
        <v>638</v>
      </c>
      <c r="B5553" s="24" t="s">
        <v>42</v>
      </c>
      <c r="C5553" s="24" t="s">
        <v>43</v>
      </c>
      <c r="D5553" s="24">
        <v>4.8</v>
      </c>
      <c r="E5553" s="24" t="s">
        <v>796</v>
      </c>
      <c r="F5553" s="24" t="s">
        <v>1151</v>
      </c>
      <c r="G5553" s="24">
        <v>169677</v>
      </c>
    </row>
    <row r="5554" spans="1:7" x14ac:dyDescent="0.25">
      <c r="A5554" s="24" t="s">
        <v>638</v>
      </c>
      <c r="B5554" s="24" t="s">
        <v>44</v>
      </c>
      <c r="C5554" s="24" t="s">
        <v>31</v>
      </c>
      <c r="D5554" s="24">
        <v>0.5</v>
      </c>
      <c r="E5554" s="24" t="s">
        <v>796</v>
      </c>
      <c r="F5554" s="24" t="s">
        <v>1151</v>
      </c>
      <c r="G5554" s="24">
        <v>169677</v>
      </c>
    </row>
    <row r="5555" spans="1:7" x14ac:dyDescent="0.25">
      <c r="A5555" s="24" t="s">
        <v>638</v>
      </c>
      <c r="B5555" s="24" t="s">
        <v>45</v>
      </c>
      <c r="C5555" s="24" t="s">
        <v>31</v>
      </c>
      <c r="D5555" s="24">
        <v>1</v>
      </c>
      <c r="E5555" s="24" t="s">
        <v>796</v>
      </c>
      <c r="F5555" s="24" t="s">
        <v>1151</v>
      </c>
      <c r="G5555" s="24">
        <v>169677</v>
      </c>
    </row>
    <row r="5556" spans="1:7" x14ac:dyDescent="0.25">
      <c r="A5556" s="24" t="s">
        <v>638</v>
      </c>
      <c r="B5556" s="24" t="s">
        <v>46</v>
      </c>
      <c r="C5556" s="24" t="s">
        <v>36</v>
      </c>
      <c r="D5556" s="24">
        <v>0</v>
      </c>
      <c r="E5556" s="24" t="s">
        <v>796</v>
      </c>
      <c r="F5556" s="24" t="s">
        <v>1151</v>
      </c>
      <c r="G5556" s="24">
        <v>169677</v>
      </c>
    </row>
    <row r="5557" spans="1:7" x14ac:dyDescent="0.25">
      <c r="A5557" s="24" t="s">
        <v>638</v>
      </c>
      <c r="B5557" s="24" t="s">
        <v>47</v>
      </c>
      <c r="C5557" s="24" t="s">
        <v>48</v>
      </c>
      <c r="D5557" s="24">
        <v>29.2</v>
      </c>
      <c r="E5557" s="24" t="s">
        <v>796</v>
      </c>
      <c r="F5557" s="24" t="s">
        <v>1151</v>
      </c>
      <c r="G5557" s="24">
        <v>169677</v>
      </c>
    </row>
    <row r="5558" spans="1:7" x14ac:dyDescent="0.25">
      <c r="A5558" s="24" t="s">
        <v>638</v>
      </c>
      <c r="B5558" s="24" t="s">
        <v>50</v>
      </c>
      <c r="C5558" s="24" t="s">
        <v>31</v>
      </c>
      <c r="D5558" s="24">
        <v>1204</v>
      </c>
      <c r="E5558" s="24" t="s">
        <v>796</v>
      </c>
      <c r="F5558" s="24" t="s">
        <v>1151</v>
      </c>
      <c r="G5558" s="24">
        <v>169677</v>
      </c>
    </row>
    <row r="5559" spans="1:7" x14ac:dyDescent="0.25">
      <c r="A5559" s="24" t="s">
        <v>638</v>
      </c>
      <c r="B5559" s="24" t="s">
        <v>51</v>
      </c>
      <c r="C5559" s="24" t="s">
        <v>31</v>
      </c>
      <c r="D5559" s="24">
        <v>21.1</v>
      </c>
      <c r="E5559" s="24" t="s">
        <v>796</v>
      </c>
      <c r="F5559" s="24" t="s">
        <v>1151</v>
      </c>
      <c r="G5559" s="24">
        <v>169677</v>
      </c>
    </row>
    <row r="5560" spans="1:7" x14ac:dyDescent="0.25">
      <c r="A5560" s="24" t="s">
        <v>638</v>
      </c>
      <c r="B5560" s="24" t="s">
        <v>52</v>
      </c>
      <c r="C5560" s="24" t="s">
        <v>31</v>
      </c>
      <c r="D5560" s="24">
        <v>154</v>
      </c>
      <c r="E5560" s="24" t="s">
        <v>796</v>
      </c>
      <c r="F5560" s="24" t="s">
        <v>1151</v>
      </c>
      <c r="G5560" s="24">
        <v>169677</v>
      </c>
    </row>
    <row r="5561" spans="1:7" x14ac:dyDescent="0.25">
      <c r="A5561" s="24" t="s">
        <v>638</v>
      </c>
      <c r="B5561" s="24" t="s">
        <v>53</v>
      </c>
      <c r="C5561" s="24" t="s">
        <v>31</v>
      </c>
      <c r="D5561" s="24">
        <v>63.4</v>
      </c>
      <c r="E5561" s="24" t="s">
        <v>796</v>
      </c>
      <c r="F5561" s="24" t="s">
        <v>1151</v>
      </c>
      <c r="G5561" s="24">
        <v>169677</v>
      </c>
    </row>
    <row r="5562" spans="1:7" x14ac:dyDescent="0.25">
      <c r="A5562" s="24" t="s">
        <v>638</v>
      </c>
      <c r="B5562" s="24" t="s">
        <v>54</v>
      </c>
      <c r="C5562" s="24" t="s">
        <v>31</v>
      </c>
      <c r="D5562" s="24">
        <v>1.3</v>
      </c>
      <c r="E5562" s="24" t="s">
        <v>796</v>
      </c>
      <c r="F5562" s="24" t="s">
        <v>1151</v>
      </c>
      <c r="G5562" s="24">
        <v>169677</v>
      </c>
    </row>
    <row r="5563" spans="1:7" x14ac:dyDescent="0.25">
      <c r="A5563" s="24" t="s">
        <v>638</v>
      </c>
      <c r="B5563" s="24" t="s">
        <v>55</v>
      </c>
      <c r="C5563" s="24" t="s">
        <v>31</v>
      </c>
      <c r="D5563" s="24">
        <v>1.1000000000000001</v>
      </c>
      <c r="E5563" s="24" t="s">
        <v>796</v>
      </c>
      <c r="F5563" s="24" t="s">
        <v>1151</v>
      </c>
      <c r="G5563" s="24">
        <v>169677</v>
      </c>
    </row>
    <row r="5564" spans="1:7" x14ac:dyDescent="0.25">
      <c r="A5564" s="24" t="s">
        <v>638</v>
      </c>
      <c r="B5564" s="24" t="s">
        <v>56</v>
      </c>
      <c r="C5564" s="24" t="s">
        <v>31</v>
      </c>
      <c r="D5564" s="24">
        <v>0.2</v>
      </c>
      <c r="E5564" s="24" t="s">
        <v>796</v>
      </c>
      <c r="F5564" s="24" t="s">
        <v>1151</v>
      </c>
      <c r="G5564" s="24">
        <v>169677</v>
      </c>
    </row>
    <row r="5565" spans="1:7" x14ac:dyDescent="0.25">
      <c r="A5565" s="24" t="s">
        <v>638</v>
      </c>
      <c r="B5565" s="24" t="s">
        <v>57</v>
      </c>
      <c r="C5565" s="24" t="s">
        <v>36</v>
      </c>
      <c r="D5565" s="24">
        <v>2.5</v>
      </c>
      <c r="E5565" s="24" t="s">
        <v>796</v>
      </c>
      <c r="F5565" s="24" t="s">
        <v>1151</v>
      </c>
      <c r="G5565" s="24">
        <v>169677</v>
      </c>
    </row>
    <row r="5566" spans="1:7" x14ac:dyDescent="0.25">
      <c r="A5566" s="24" t="s">
        <v>638</v>
      </c>
      <c r="B5566" s="24" t="s">
        <v>58</v>
      </c>
      <c r="C5566" s="24" t="s">
        <v>5</v>
      </c>
      <c r="D5566" s="24">
        <v>0</v>
      </c>
      <c r="E5566" s="24" t="s">
        <v>795</v>
      </c>
      <c r="F5566" s="24"/>
      <c r="G5566" s="24"/>
    </row>
    <row r="5567" spans="1:7" x14ac:dyDescent="0.25">
      <c r="A5567" s="24" t="s">
        <v>639</v>
      </c>
      <c r="B5567" s="24" t="s">
        <v>32</v>
      </c>
      <c r="C5567" s="24" t="s">
        <v>33</v>
      </c>
      <c r="D5567" s="24">
        <v>13.9</v>
      </c>
      <c r="E5567" s="24" t="s">
        <v>796</v>
      </c>
      <c r="F5567" s="24" t="s">
        <v>1152</v>
      </c>
      <c r="G5567" s="24">
        <v>167963</v>
      </c>
    </row>
    <row r="5568" spans="1:7" x14ac:dyDescent="0.25">
      <c r="A5568" s="24" t="s">
        <v>639</v>
      </c>
      <c r="B5568" s="24" t="s">
        <v>34</v>
      </c>
      <c r="C5568" s="24" t="s">
        <v>31</v>
      </c>
      <c r="D5568" s="24">
        <v>37</v>
      </c>
      <c r="E5568" s="24" t="s">
        <v>796</v>
      </c>
      <c r="F5568" s="24" t="s">
        <v>1152</v>
      </c>
      <c r="G5568" s="24">
        <v>167963</v>
      </c>
    </row>
    <row r="5569" spans="1:7" x14ac:dyDescent="0.25">
      <c r="A5569" s="24" t="s">
        <v>639</v>
      </c>
      <c r="B5569" s="24" t="s">
        <v>40</v>
      </c>
      <c r="C5569" s="24" t="s">
        <v>31</v>
      </c>
      <c r="D5569" s="24">
        <v>0.2</v>
      </c>
      <c r="E5569" s="24" t="s">
        <v>796</v>
      </c>
      <c r="F5569" s="24" t="s">
        <v>1152</v>
      </c>
      <c r="G5569" s="24">
        <v>167963</v>
      </c>
    </row>
    <row r="5570" spans="1:7" x14ac:dyDescent="0.25">
      <c r="A5570" s="24" t="s">
        <v>639</v>
      </c>
      <c r="B5570" s="24" t="s">
        <v>41</v>
      </c>
      <c r="C5570" s="24" t="s">
        <v>31</v>
      </c>
      <c r="D5570" s="24">
        <v>0.2</v>
      </c>
      <c r="E5570" s="24" t="s">
        <v>796</v>
      </c>
      <c r="F5570" s="24" t="s">
        <v>1152</v>
      </c>
      <c r="G5570" s="24">
        <v>167963</v>
      </c>
    </row>
    <row r="5571" spans="1:7" x14ac:dyDescent="0.25">
      <c r="A5571" s="24" t="s">
        <v>639</v>
      </c>
      <c r="B5571" s="24" t="s">
        <v>42</v>
      </c>
      <c r="C5571" s="24" t="s">
        <v>43</v>
      </c>
      <c r="D5571" s="24">
        <v>4</v>
      </c>
      <c r="E5571" s="24" t="s">
        <v>796</v>
      </c>
      <c r="F5571" s="24" t="s">
        <v>1152</v>
      </c>
      <c r="G5571" s="24">
        <v>167963</v>
      </c>
    </row>
    <row r="5572" spans="1:7" x14ac:dyDescent="0.25">
      <c r="A5572" s="24" t="s">
        <v>639</v>
      </c>
      <c r="B5572" s="24" t="s">
        <v>44</v>
      </c>
      <c r="C5572" s="24" t="s">
        <v>31</v>
      </c>
      <c r="D5572" s="24">
        <v>0.7</v>
      </c>
      <c r="E5572" s="24" t="s">
        <v>796</v>
      </c>
      <c r="F5572" s="24" t="s">
        <v>1152</v>
      </c>
      <c r="G5572" s="24">
        <v>167963</v>
      </c>
    </row>
    <row r="5573" spans="1:7" x14ac:dyDescent="0.25">
      <c r="A5573" s="24" t="s">
        <v>639</v>
      </c>
      <c r="B5573" s="24" t="s">
        <v>45</v>
      </c>
      <c r="C5573" s="24" t="s">
        <v>31</v>
      </c>
      <c r="D5573" s="24">
        <v>0.8</v>
      </c>
      <c r="E5573" s="24" t="s">
        <v>796</v>
      </c>
      <c r="F5573" s="24" t="s">
        <v>1152</v>
      </c>
      <c r="G5573" s="24">
        <v>167963</v>
      </c>
    </row>
    <row r="5574" spans="1:7" x14ac:dyDescent="0.25">
      <c r="A5574" s="24" t="s">
        <v>639</v>
      </c>
      <c r="B5574" s="24" t="s">
        <v>46</v>
      </c>
      <c r="C5574" s="24" t="s">
        <v>36</v>
      </c>
      <c r="D5574" s="24">
        <v>1</v>
      </c>
      <c r="E5574" s="24" t="s">
        <v>796</v>
      </c>
      <c r="F5574" s="24" t="s">
        <v>1152</v>
      </c>
      <c r="G5574" s="24">
        <v>167963</v>
      </c>
    </row>
    <row r="5575" spans="1:7" x14ac:dyDescent="0.25">
      <c r="A5575" s="24" t="s">
        <v>639</v>
      </c>
      <c r="B5575" s="24" t="s">
        <v>47</v>
      </c>
      <c r="C5575" s="24" t="s">
        <v>48</v>
      </c>
      <c r="D5575" s="24">
        <v>61.5</v>
      </c>
      <c r="E5575" s="24" t="s">
        <v>796</v>
      </c>
      <c r="F5575" s="24" t="s">
        <v>1152</v>
      </c>
      <c r="G5575" s="24">
        <v>167963</v>
      </c>
    </row>
    <row r="5576" spans="1:7" x14ac:dyDescent="0.25">
      <c r="A5576" s="24" t="s">
        <v>639</v>
      </c>
      <c r="B5576" s="24" t="s">
        <v>50</v>
      </c>
      <c r="C5576" s="24" t="s">
        <v>31</v>
      </c>
      <c r="D5576" s="24">
        <v>1320.2</v>
      </c>
      <c r="E5576" s="24" t="s">
        <v>796</v>
      </c>
      <c r="F5576" s="24" t="s">
        <v>1152</v>
      </c>
      <c r="G5576" s="24">
        <v>167963</v>
      </c>
    </row>
    <row r="5577" spans="1:7" x14ac:dyDescent="0.25">
      <c r="A5577" s="24" t="s">
        <v>639</v>
      </c>
      <c r="B5577" s="24" t="s">
        <v>51</v>
      </c>
      <c r="C5577" s="24" t="s">
        <v>31</v>
      </c>
      <c r="D5577" s="24">
        <v>71.400000000000006</v>
      </c>
      <c r="E5577" s="24" t="s">
        <v>796</v>
      </c>
      <c r="F5577" s="24" t="s">
        <v>1152</v>
      </c>
      <c r="G5577" s="24">
        <v>167963</v>
      </c>
    </row>
    <row r="5578" spans="1:7" x14ac:dyDescent="0.25">
      <c r="A5578" s="24" t="s">
        <v>639</v>
      </c>
      <c r="B5578" s="24" t="s">
        <v>52</v>
      </c>
      <c r="C5578" s="24" t="s">
        <v>31</v>
      </c>
      <c r="D5578" s="24">
        <v>174.6</v>
      </c>
      <c r="E5578" s="24" t="s">
        <v>796</v>
      </c>
      <c r="F5578" s="24" t="s">
        <v>1152</v>
      </c>
      <c r="G5578" s="24">
        <v>167963</v>
      </c>
    </row>
    <row r="5579" spans="1:7" x14ac:dyDescent="0.25">
      <c r="A5579" s="24" t="s">
        <v>639</v>
      </c>
      <c r="B5579" s="24" t="s">
        <v>53</v>
      </c>
      <c r="C5579" s="24" t="s">
        <v>31</v>
      </c>
      <c r="D5579" s="24">
        <v>73.400000000000006</v>
      </c>
      <c r="E5579" s="24" t="s">
        <v>796</v>
      </c>
      <c r="F5579" s="24" t="s">
        <v>1152</v>
      </c>
      <c r="G5579" s="24">
        <v>167963</v>
      </c>
    </row>
    <row r="5580" spans="1:7" x14ac:dyDescent="0.25">
      <c r="A5580" s="24" t="s">
        <v>639</v>
      </c>
      <c r="B5580" s="24" t="s">
        <v>54</v>
      </c>
      <c r="C5580" s="24" t="s">
        <v>31</v>
      </c>
      <c r="D5580" s="24">
        <v>1.6</v>
      </c>
      <c r="E5580" s="24" t="s">
        <v>796</v>
      </c>
      <c r="F5580" s="24" t="s">
        <v>1152</v>
      </c>
      <c r="G5580" s="24">
        <v>167963</v>
      </c>
    </row>
    <row r="5581" spans="1:7" x14ac:dyDescent="0.25">
      <c r="A5581" s="24" t="s">
        <v>639</v>
      </c>
      <c r="B5581" s="24" t="s">
        <v>55</v>
      </c>
      <c r="C5581" s="24" t="s">
        <v>31</v>
      </c>
      <c r="D5581" s="24">
        <v>1</v>
      </c>
      <c r="E5581" s="24" t="s">
        <v>796</v>
      </c>
      <c r="F5581" s="24" t="s">
        <v>1152</v>
      </c>
      <c r="G5581" s="24">
        <v>167963</v>
      </c>
    </row>
    <row r="5582" spans="1:7" x14ac:dyDescent="0.25">
      <c r="A5582" s="24" t="s">
        <v>639</v>
      </c>
      <c r="B5582" s="24" t="s">
        <v>56</v>
      </c>
      <c r="C5582" s="24" t="s">
        <v>31</v>
      </c>
      <c r="D5582" s="24">
        <v>0.3</v>
      </c>
      <c r="E5582" s="24" t="s">
        <v>796</v>
      </c>
      <c r="F5582" s="24" t="s">
        <v>1152</v>
      </c>
      <c r="G5582" s="24">
        <v>167963</v>
      </c>
    </row>
    <row r="5583" spans="1:7" x14ac:dyDescent="0.25">
      <c r="A5583" s="24" t="s">
        <v>639</v>
      </c>
      <c r="B5583" s="24" t="s">
        <v>57</v>
      </c>
      <c r="C5583" s="24" t="s">
        <v>36</v>
      </c>
      <c r="D5583" s="24">
        <v>8</v>
      </c>
      <c r="E5583" s="24" t="s">
        <v>796</v>
      </c>
      <c r="F5583" s="24" t="s">
        <v>1152</v>
      </c>
      <c r="G5583" s="24">
        <v>167963</v>
      </c>
    </row>
    <row r="5584" spans="1:7" x14ac:dyDescent="0.25">
      <c r="A5584" s="24" t="s">
        <v>639</v>
      </c>
      <c r="B5584" s="24" t="s">
        <v>58</v>
      </c>
      <c r="C5584" s="24" t="s">
        <v>5</v>
      </c>
      <c r="D5584" s="24">
        <v>0</v>
      </c>
      <c r="E5584" s="24" t="s">
        <v>795</v>
      </c>
      <c r="F5584" s="24"/>
      <c r="G5584" s="24"/>
    </row>
    <row r="5585" spans="1:7" x14ac:dyDescent="0.25">
      <c r="A5585" s="24" t="s">
        <v>640</v>
      </c>
      <c r="B5585" s="24" t="s">
        <v>32</v>
      </c>
      <c r="C5585" s="24" t="s">
        <v>33</v>
      </c>
      <c r="D5585" s="24">
        <v>44.9</v>
      </c>
      <c r="E5585" s="24" t="s">
        <v>796</v>
      </c>
      <c r="F5585" s="24" t="s">
        <v>1153</v>
      </c>
      <c r="G5585" s="24">
        <v>168860</v>
      </c>
    </row>
    <row r="5586" spans="1:7" x14ac:dyDescent="0.25">
      <c r="A5586" s="24" t="s">
        <v>640</v>
      </c>
      <c r="B5586" s="24" t="s">
        <v>34</v>
      </c>
      <c r="C5586" s="24" t="s">
        <v>31</v>
      </c>
      <c r="D5586" s="24">
        <v>21.8</v>
      </c>
      <c r="E5586" s="24" t="s">
        <v>796</v>
      </c>
      <c r="F5586" s="24" t="s">
        <v>1153</v>
      </c>
      <c r="G5586" s="24">
        <v>168860</v>
      </c>
    </row>
    <row r="5587" spans="1:7" x14ac:dyDescent="0.25">
      <c r="A5587" s="24" t="s">
        <v>640</v>
      </c>
      <c r="B5587" s="24" t="s">
        <v>35</v>
      </c>
      <c r="C5587" s="24" t="s">
        <v>36</v>
      </c>
      <c r="D5587" s="24">
        <v>0</v>
      </c>
      <c r="E5587" s="24" t="s">
        <v>796</v>
      </c>
      <c r="F5587" s="24" t="s">
        <v>1153</v>
      </c>
      <c r="G5587" s="24">
        <v>168860</v>
      </c>
    </row>
    <row r="5588" spans="1:7" x14ac:dyDescent="0.25">
      <c r="A5588" s="24" t="s">
        <v>640</v>
      </c>
      <c r="B5588" s="24" t="s">
        <v>37</v>
      </c>
      <c r="C5588" s="24" t="s">
        <v>38</v>
      </c>
      <c r="D5588" s="24">
        <v>4.3</v>
      </c>
      <c r="E5588" s="24" t="s">
        <v>796</v>
      </c>
      <c r="F5588" s="24" t="s">
        <v>1153</v>
      </c>
      <c r="G5588" s="24">
        <v>168860</v>
      </c>
    </row>
    <row r="5589" spans="1:7" x14ac:dyDescent="0.25">
      <c r="A5589" s="24" t="s">
        <v>640</v>
      </c>
      <c r="B5589" s="24" t="s">
        <v>39</v>
      </c>
      <c r="C5589" s="24" t="s">
        <v>36</v>
      </c>
      <c r="D5589" s="24">
        <v>1.1000000000000001</v>
      </c>
      <c r="E5589" s="24" t="s">
        <v>796</v>
      </c>
      <c r="F5589" s="24" t="s">
        <v>1153</v>
      </c>
      <c r="G5589" s="24">
        <v>168860</v>
      </c>
    </row>
    <row r="5590" spans="1:7" x14ac:dyDescent="0.25">
      <c r="A5590" s="24" t="s">
        <v>640</v>
      </c>
      <c r="B5590" s="24" t="s">
        <v>40</v>
      </c>
      <c r="C5590" s="24" t="s">
        <v>31</v>
      </c>
      <c r="D5590" s="24">
        <v>0.6</v>
      </c>
      <c r="E5590" s="24" t="s">
        <v>796</v>
      </c>
      <c r="F5590" s="24" t="s">
        <v>1153</v>
      </c>
      <c r="G5590" s="24">
        <v>168860</v>
      </c>
    </row>
    <row r="5591" spans="1:7" x14ac:dyDescent="0.25">
      <c r="A5591" s="24" t="s">
        <v>640</v>
      </c>
      <c r="B5591" s="24" t="s">
        <v>41</v>
      </c>
      <c r="C5591" s="24" t="s">
        <v>31</v>
      </c>
      <c r="D5591" s="24">
        <v>0.6</v>
      </c>
      <c r="E5591" s="24" t="s">
        <v>796</v>
      </c>
      <c r="F5591" s="24" t="s">
        <v>1153</v>
      </c>
      <c r="G5591" s="24">
        <v>168860</v>
      </c>
    </row>
    <row r="5592" spans="1:7" x14ac:dyDescent="0.25">
      <c r="A5592" s="24" t="s">
        <v>640</v>
      </c>
      <c r="B5592" s="24" t="s">
        <v>42</v>
      </c>
      <c r="C5592" s="24" t="s">
        <v>43</v>
      </c>
      <c r="D5592" s="24">
        <v>7.3</v>
      </c>
      <c r="E5592" s="24" t="s">
        <v>796</v>
      </c>
      <c r="F5592" s="24" t="s">
        <v>1153</v>
      </c>
      <c r="G5592" s="24">
        <v>168860</v>
      </c>
    </row>
    <row r="5593" spans="1:7" x14ac:dyDescent="0.25">
      <c r="A5593" s="24" t="s">
        <v>640</v>
      </c>
      <c r="B5593" s="24" t="s">
        <v>44</v>
      </c>
      <c r="C5593" s="24" t="s">
        <v>31</v>
      </c>
      <c r="D5593" s="24">
        <v>0.7</v>
      </c>
      <c r="E5593" s="24" t="s">
        <v>796</v>
      </c>
      <c r="F5593" s="24" t="s">
        <v>1153</v>
      </c>
      <c r="G5593" s="24">
        <v>168860</v>
      </c>
    </row>
    <row r="5594" spans="1:7" x14ac:dyDescent="0.25">
      <c r="A5594" s="24" t="s">
        <v>640</v>
      </c>
      <c r="B5594" s="24" t="s">
        <v>46</v>
      </c>
      <c r="C5594" s="24" t="s">
        <v>36</v>
      </c>
      <c r="D5594" s="24">
        <v>2.2000000000000002</v>
      </c>
      <c r="E5594" s="24" t="s">
        <v>796</v>
      </c>
      <c r="F5594" s="24" t="s">
        <v>1153</v>
      </c>
      <c r="G5594" s="24">
        <v>168860</v>
      </c>
    </row>
    <row r="5595" spans="1:7" x14ac:dyDescent="0.25">
      <c r="A5595" s="24" t="s">
        <v>640</v>
      </c>
      <c r="B5595" s="24" t="s">
        <v>47</v>
      </c>
      <c r="C5595" s="24" t="s">
        <v>48</v>
      </c>
      <c r="D5595" s="24">
        <v>99</v>
      </c>
      <c r="E5595" s="24" t="s">
        <v>796</v>
      </c>
      <c r="F5595" s="24" t="s">
        <v>1153</v>
      </c>
      <c r="G5595" s="24">
        <v>168860</v>
      </c>
    </row>
    <row r="5596" spans="1:7" x14ac:dyDescent="0.25">
      <c r="A5596" s="24" t="s">
        <v>640</v>
      </c>
      <c r="B5596" s="24" t="s">
        <v>50</v>
      </c>
      <c r="C5596" s="24" t="s">
        <v>31</v>
      </c>
      <c r="D5596" s="24">
        <v>291.89999999999998</v>
      </c>
      <c r="E5596" s="24" t="s">
        <v>796</v>
      </c>
      <c r="F5596" s="24" t="s">
        <v>1153</v>
      </c>
      <c r="G5596" s="24">
        <v>168860</v>
      </c>
    </row>
    <row r="5597" spans="1:7" x14ac:dyDescent="0.25">
      <c r="A5597" s="24" t="s">
        <v>640</v>
      </c>
      <c r="B5597" s="24" t="s">
        <v>51</v>
      </c>
      <c r="C5597" s="24" t="s">
        <v>31</v>
      </c>
      <c r="D5597" s="24">
        <v>364.4</v>
      </c>
      <c r="E5597" s="24" t="s">
        <v>796</v>
      </c>
      <c r="F5597" s="24" t="s">
        <v>1153</v>
      </c>
      <c r="G5597" s="24">
        <v>168860</v>
      </c>
    </row>
    <row r="5598" spans="1:7" x14ac:dyDescent="0.25">
      <c r="A5598" s="24" t="s">
        <v>640</v>
      </c>
      <c r="B5598" s="24" t="s">
        <v>52</v>
      </c>
      <c r="C5598" s="24" t="s">
        <v>31</v>
      </c>
      <c r="D5598" s="24">
        <v>364.4</v>
      </c>
      <c r="E5598" s="24" t="s">
        <v>796</v>
      </c>
      <c r="F5598" s="24" t="s">
        <v>1153</v>
      </c>
      <c r="G5598" s="24">
        <v>168860</v>
      </c>
    </row>
    <row r="5599" spans="1:7" x14ac:dyDescent="0.25">
      <c r="A5599" s="24" t="s">
        <v>640</v>
      </c>
      <c r="B5599" s="24" t="s">
        <v>53</v>
      </c>
      <c r="C5599" s="24" t="s">
        <v>31</v>
      </c>
      <c r="D5599" s="24">
        <v>41.8</v>
      </c>
      <c r="E5599" s="24" t="s">
        <v>796</v>
      </c>
      <c r="F5599" s="24" t="s">
        <v>1153</v>
      </c>
      <c r="G5599" s="24">
        <v>168860</v>
      </c>
    </row>
    <row r="5600" spans="1:7" x14ac:dyDescent="0.25">
      <c r="A5600" s="24" t="s">
        <v>640</v>
      </c>
      <c r="B5600" s="24" t="s">
        <v>54</v>
      </c>
      <c r="C5600" s="24" t="s">
        <v>31</v>
      </c>
      <c r="D5600" s="24">
        <v>1.3</v>
      </c>
      <c r="E5600" s="24" t="s">
        <v>796</v>
      </c>
      <c r="F5600" s="24" t="s">
        <v>1153</v>
      </c>
      <c r="G5600" s="24">
        <v>168860</v>
      </c>
    </row>
    <row r="5601" spans="1:7" x14ac:dyDescent="0.25">
      <c r="A5601" s="24" t="s">
        <v>640</v>
      </c>
      <c r="B5601" s="24" t="s">
        <v>55</v>
      </c>
      <c r="C5601" s="24" t="s">
        <v>31</v>
      </c>
      <c r="D5601" s="24">
        <v>2.2000000000000002</v>
      </c>
      <c r="E5601" s="24" t="s">
        <v>796</v>
      </c>
      <c r="F5601" s="24" t="s">
        <v>1153</v>
      </c>
      <c r="G5601" s="24">
        <v>168860</v>
      </c>
    </row>
    <row r="5602" spans="1:7" x14ac:dyDescent="0.25">
      <c r="A5602" s="24" t="s">
        <v>640</v>
      </c>
      <c r="B5602" s="24" t="s">
        <v>56</v>
      </c>
      <c r="C5602" s="24" t="s">
        <v>31</v>
      </c>
      <c r="D5602" s="24">
        <v>0.1</v>
      </c>
      <c r="E5602" s="24" t="s">
        <v>796</v>
      </c>
      <c r="F5602" s="24" t="s">
        <v>1153</v>
      </c>
      <c r="G5602" s="24">
        <v>168860</v>
      </c>
    </row>
    <row r="5603" spans="1:7" x14ac:dyDescent="0.25">
      <c r="A5603" s="24" t="s">
        <v>640</v>
      </c>
      <c r="B5603" s="24" t="s">
        <v>57</v>
      </c>
      <c r="C5603" s="24" t="s">
        <v>36</v>
      </c>
      <c r="D5603" s="24">
        <v>9.8000000000000007</v>
      </c>
      <c r="E5603" s="24" t="s">
        <v>796</v>
      </c>
      <c r="F5603" s="24" t="s">
        <v>1153</v>
      </c>
      <c r="G5603" s="24">
        <v>168860</v>
      </c>
    </row>
    <row r="5604" spans="1:7" x14ac:dyDescent="0.25">
      <c r="A5604" s="24" t="s">
        <v>640</v>
      </c>
      <c r="B5604" s="24" t="s">
        <v>58</v>
      </c>
      <c r="C5604" s="24" t="s">
        <v>5</v>
      </c>
      <c r="D5604" s="24">
        <v>0</v>
      </c>
      <c r="E5604" s="24" t="s">
        <v>795</v>
      </c>
      <c r="F5604" s="24"/>
      <c r="G5604" s="24"/>
    </row>
    <row r="5605" spans="1:7" x14ac:dyDescent="0.25">
      <c r="A5605" s="24" t="s">
        <v>642</v>
      </c>
      <c r="B5605" s="24" t="s">
        <v>29</v>
      </c>
      <c r="C5605" s="24" t="s">
        <v>5</v>
      </c>
      <c r="D5605" s="24">
        <v>0.4</v>
      </c>
      <c r="E5605" s="24" t="s">
        <v>799</v>
      </c>
      <c r="F5605" s="24" t="s">
        <v>1154</v>
      </c>
      <c r="G5605" s="24">
        <v>171579</v>
      </c>
    </row>
    <row r="5606" spans="1:7" x14ac:dyDescent="0.25">
      <c r="A5606" s="24" t="s">
        <v>642</v>
      </c>
      <c r="B5606" s="24" t="s">
        <v>58</v>
      </c>
      <c r="C5606" s="24" t="s">
        <v>5</v>
      </c>
      <c r="D5606" s="24">
        <v>0</v>
      </c>
      <c r="E5606" s="24" t="s">
        <v>795</v>
      </c>
      <c r="F5606" s="24"/>
      <c r="G5606" s="24"/>
    </row>
    <row r="5607" spans="1:7" x14ac:dyDescent="0.25">
      <c r="A5607" s="24" t="s">
        <v>643</v>
      </c>
      <c r="B5607" s="24" t="s">
        <v>29</v>
      </c>
      <c r="C5607" s="24" t="s">
        <v>5</v>
      </c>
      <c r="D5607" s="24">
        <v>0</v>
      </c>
      <c r="E5607" s="24" t="s">
        <v>799</v>
      </c>
      <c r="F5607" s="24" t="s">
        <v>1155</v>
      </c>
      <c r="G5607" s="24">
        <v>174523</v>
      </c>
    </row>
    <row r="5608" spans="1:7" x14ac:dyDescent="0.25">
      <c r="A5608" s="24" t="s">
        <v>643</v>
      </c>
      <c r="B5608" s="24" t="s">
        <v>58</v>
      </c>
      <c r="C5608" s="24" t="s">
        <v>5</v>
      </c>
      <c r="D5608" s="24">
        <v>0</v>
      </c>
      <c r="E5608" s="24" t="s">
        <v>795</v>
      </c>
      <c r="F5608" s="24"/>
      <c r="G5608" s="24"/>
    </row>
    <row r="5609" spans="1:7" x14ac:dyDescent="0.25">
      <c r="A5609" s="24" t="s">
        <v>644</v>
      </c>
      <c r="B5609" s="24" t="s">
        <v>29</v>
      </c>
      <c r="C5609" s="24" t="s">
        <v>5</v>
      </c>
      <c r="D5609" s="24">
        <v>0.26</v>
      </c>
      <c r="E5609" s="24" t="s">
        <v>799</v>
      </c>
      <c r="F5609" s="24" t="s">
        <v>1156</v>
      </c>
      <c r="G5609" s="24">
        <v>174542</v>
      </c>
    </row>
    <row r="5610" spans="1:7" x14ac:dyDescent="0.25">
      <c r="A5610" s="24" t="s">
        <v>644</v>
      </c>
      <c r="B5610" s="24" t="s">
        <v>58</v>
      </c>
      <c r="C5610" s="24" t="s">
        <v>5</v>
      </c>
      <c r="D5610" s="24">
        <v>0</v>
      </c>
      <c r="E5610" s="24" t="s">
        <v>795</v>
      </c>
      <c r="F5610" s="24"/>
      <c r="G5610" s="24"/>
    </row>
    <row r="5611" spans="1:7" x14ac:dyDescent="0.25">
      <c r="A5611" s="24" t="s">
        <v>645</v>
      </c>
      <c r="B5611" s="24" t="s">
        <v>29</v>
      </c>
      <c r="C5611" s="24" t="s">
        <v>5</v>
      </c>
      <c r="D5611" s="24">
        <v>0</v>
      </c>
      <c r="E5611" s="24" t="s">
        <v>799</v>
      </c>
      <c r="F5611" s="24" t="s">
        <v>1157</v>
      </c>
      <c r="G5611" s="24">
        <v>169074</v>
      </c>
    </row>
    <row r="5612" spans="1:7" x14ac:dyDescent="0.25">
      <c r="A5612" s="24" t="s">
        <v>645</v>
      </c>
      <c r="B5612" s="24" t="s">
        <v>58</v>
      </c>
      <c r="C5612" s="24" t="s">
        <v>5</v>
      </c>
      <c r="D5612" s="24">
        <v>0</v>
      </c>
      <c r="E5612" s="24" t="s">
        <v>795</v>
      </c>
      <c r="F5612" s="24"/>
      <c r="G5612" s="24"/>
    </row>
    <row r="5613" spans="1:7" x14ac:dyDescent="0.25">
      <c r="A5613" s="24" t="s">
        <v>646</v>
      </c>
      <c r="B5613" s="24" t="s">
        <v>20</v>
      </c>
      <c r="C5613" s="24" t="s">
        <v>5</v>
      </c>
      <c r="D5613" s="24">
        <v>1.9</v>
      </c>
      <c r="E5613" s="24" t="s">
        <v>796</v>
      </c>
      <c r="F5613" s="24" t="s">
        <v>1158</v>
      </c>
      <c r="G5613" s="24">
        <v>170054</v>
      </c>
    </row>
    <row r="5614" spans="1:7" x14ac:dyDescent="0.25">
      <c r="A5614" s="24" t="s">
        <v>646</v>
      </c>
      <c r="B5614" s="24" t="s">
        <v>24</v>
      </c>
      <c r="C5614" s="24" t="s">
        <v>5</v>
      </c>
      <c r="D5614" s="24">
        <v>1.5</v>
      </c>
      <c r="E5614" s="24" t="s">
        <v>801</v>
      </c>
      <c r="F5614" s="24" t="s">
        <v>1158</v>
      </c>
      <c r="G5614" s="24">
        <v>170054</v>
      </c>
    </row>
    <row r="5615" spans="1:7" x14ac:dyDescent="0.25">
      <c r="A5615" s="24" t="s">
        <v>646</v>
      </c>
      <c r="B5615" s="24" t="s">
        <v>26</v>
      </c>
      <c r="C5615" s="24" t="s">
        <v>5</v>
      </c>
      <c r="D5615" s="24">
        <v>0.03</v>
      </c>
      <c r="E5615" s="24" t="s">
        <v>799</v>
      </c>
      <c r="F5615" s="24" t="s">
        <v>1158</v>
      </c>
      <c r="G5615" s="24">
        <v>170054</v>
      </c>
    </row>
    <row r="5616" spans="1:7" x14ac:dyDescent="0.25">
      <c r="A5616" s="24" t="s">
        <v>646</v>
      </c>
      <c r="B5616" s="24" t="s">
        <v>27</v>
      </c>
      <c r="C5616" s="24" t="s">
        <v>5</v>
      </c>
      <c r="D5616" s="24">
        <v>0.03</v>
      </c>
      <c r="E5616" s="24" t="s">
        <v>799</v>
      </c>
      <c r="F5616" s="24" t="s">
        <v>1158</v>
      </c>
      <c r="G5616" s="24">
        <v>170054</v>
      </c>
    </row>
    <row r="5617" spans="1:7" x14ac:dyDescent="0.25">
      <c r="A5617" s="24" t="s">
        <v>646</v>
      </c>
      <c r="B5617" s="24" t="s">
        <v>28</v>
      </c>
      <c r="C5617" s="24" t="s">
        <v>5</v>
      </c>
      <c r="D5617" s="24">
        <v>0.08</v>
      </c>
      <c r="E5617" s="24" t="s">
        <v>799</v>
      </c>
      <c r="F5617" s="24" t="s">
        <v>1158</v>
      </c>
      <c r="G5617" s="24">
        <v>170054</v>
      </c>
    </row>
    <row r="5618" spans="1:7" x14ac:dyDescent="0.25">
      <c r="A5618" s="24" t="s">
        <v>646</v>
      </c>
      <c r="B5618" s="24" t="s">
        <v>29</v>
      </c>
      <c r="C5618" s="24" t="s">
        <v>5</v>
      </c>
      <c r="D5618" s="24">
        <v>0</v>
      </c>
      <c r="E5618" s="24" t="s">
        <v>799</v>
      </c>
      <c r="F5618" s="24" t="s">
        <v>1158</v>
      </c>
      <c r="G5618" s="24">
        <v>170054</v>
      </c>
    </row>
    <row r="5619" spans="1:7" x14ac:dyDescent="0.25">
      <c r="A5619" s="24" t="s">
        <v>646</v>
      </c>
      <c r="B5619" s="24" t="s">
        <v>30</v>
      </c>
      <c r="C5619" s="24" t="s">
        <v>31</v>
      </c>
      <c r="D5619" s="24">
        <v>0</v>
      </c>
      <c r="E5619" s="24" t="s">
        <v>801</v>
      </c>
      <c r="F5619" s="24" t="s">
        <v>1158</v>
      </c>
      <c r="G5619" s="24">
        <v>170054</v>
      </c>
    </row>
    <row r="5620" spans="1:7" x14ac:dyDescent="0.25">
      <c r="A5620" s="24" t="s">
        <v>646</v>
      </c>
      <c r="B5620" s="24" t="s">
        <v>32</v>
      </c>
      <c r="C5620" s="24" t="s">
        <v>33</v>
      </c>
      <c r="D5620" s="24">
        <v>22</v>
      </c>
      <c r="E5620" s="24" t="s">
        <v>801</v>
      </c>
      <c r="F5620" s="24" t="s">
        <v>1158</v>
      </c>
      <c r="G5620" s="24">
        <v>170054</v>
      </c>
    </row>
    <row r="5621" spans="1:7" x14ac:dyDescent="0.25">
      <c r="A5621" s="24" t="s">
        <v>646</v>
      </c>
      <c r="B5621" s="24" t="s">
        <v>34</v>
      </c>
      <c r="C5621" s="24" t="s">
        <v>31</v>
      </c>
      <c r="D5621" s="24">
        <v>7</v>
      </c>
      <c r="E5621" s="24" t="s">
        <v>801</v>
      </c>
      <c r="F5621" s="24" t="s">
        <v>1158</v>
      </c>
      <c r="G5621" s="24">
        <v>170054</v>
      </c>
    </row>
    <row r="5622" spans="1:7" x14ac:dyDescent="0.25">
      <c r="A5622" s="24" t="s">
        <v>646</v>
      </c>
      <c r="B5622" s="24" t="s">
        <v>35</v>
      </c>
      <c r="C5622" s="24" t="s">
        <v>36</v>
      </c>
      <c r="D5622" s="24">
        <v>0</v>
      </c>
      <c r="E5622" s="24" t="s">
        <v>801</v>
      </c>
      <c r="F5622" s="24" t="s">
        <v>1158</v>
      </c>
      <c r="G5622" s="24">
        <v>170054</v>
      </c>
    </row>
    <row r="5623" spans="1:7" x14ac:dyDescent="0.25">
      <c r="A5623" s="24" t="s">
        <v>646</v>
      </c>
      <c r="B5623" s="24" t="s">
        <v>37</v>
      </c>
      <c r="C5623" s="24" t="s">
        <v>38</v>
      </c>
      <c r="D5623" s="24">
        <v>1.4</v>
      </c>
      <c r="E5623" s="24" t="s">
        <v>801</v>
      </c>
      <c r="F5623" s="24" t="s">
        <v>1158</v>
      </c>
      <c r="G5623" s="24">
        <v>170054</v>
      </c>
    </row>
    <row r="5624" spans="1:7" x14ac:dyDescent="0.25">
      <c r="A5624" s="24" t="s">
        <v>646</v>
      </c>
      <c r="B5624" s="24" t="s">
        <v>39</v>
      </c>
      <c r="C5624" s="24" t="s">
        <v>36</v>
      </c>
      <c r="D5624" s="24">
        <v>2.8</v>
      </c>
      <c r="E5624" s="24" t="s">
        <v>801</v>
      </c>
      <c r="F5624" s="24" t="s">
        <v>1158</v>
      </c>
      <c r="G5624" s="24">
        <v>170054</v>
      </c>
    </row>
    <row r="5625" spans="1:7" x14ac:dyDescent="0.25">
      <c r="A5625" s="24" t="s">
        <v>646</v>
      </c>
      <c r="B5625" s="24" t="s">
        <v>40</v>
      </c>
      <c r="C5625" s="24" t="s">
        <v>31</v>
      </c>
      <c r="D5625" s="24">
        <v>0</v>
      </c>
      <c r="E5625" s="24" t="s">
        <v>801</v>
      </c>
      <c r="F5625" s="24" t="s">
        <v>1158</v>
      </c>
      <c r="G5625" s="24">
        <v>170054</v>
      </c>
    </row>
    <row r="5626" spans="1:7" x14ac:dyDescent="0.25">
      <c r="A5626" s="24" t="s">
        <v>646</v>
      </c>
      <c r="B5626" s="24" t="s">
        <v>41</v>
      </c>
      <c r="C5626" s="24" t="s">
        <v>31</v>
      </c>
      <c r="D5626" s="24">
        <v>0.1</v>
      </c>
      <c r="E5626" s="24" t="s">
        <v>801</v>
      </c>
      <c r="F5626" s="24" t="s">
        <v>1158</v>
      </c>
      <c r="G5626" s="24">
        <v>170054</v>
      </c>
    </row>
    <row r="5627" spans="1:7" x14ac:dyDescent="0.25">
      <c r="A5627" s="24" t="s">
        <v>646</v>
      </c>
      <c r="B5627" s="24" t="s">
        <v>42</v>
      </c>
      <c r="C5627" s="24" t="s">
        <v>43</v>
      </c>
      <c r="D5627" s="24">
        <v>1</v>
      </c>
      <c r="E5627" s="24" t="s">
        <v>801</v>
      </c>
      <c r="F5627" s="24" t="s">
        <v>1158</v>
      </c>
      <c r="G5627" s="24">
        <v>170054</v>
      </c>
    </row>
    <row r="5628" spans="1:7" x14ac:dyDescent="0.25">
      <c r="A5628" s="24" t="s">
        <v>646</v>
      </c>
      <c r="B5628" s="24" t="s">
        <v>44</v>
      </c>
      <c r="C5628" s="24" t="s">
        <v>31</v>
      </c>
      <c r="D5628" s="24">
        <v>0.1</v>
      </c>
      <c r="E5628" s="24" t="s">
        <v>801</v>
      </c>
      <c r="F5628" s="24" t="s">
        <v>1158</v>
      </c>
      <c r="G5628" s="24">
        <v>170054</v>
      </c>
    </row>
    <row r="5629" spans="1:7" x14ac:dyDescent="0.25">
      <c r="A5629" s="24" t="s">
        <v>646</v>
      </c>
      <c r="B5629" s="24" t="s">
        <v>45</v>
      </c>
      <c r="C5629" s="24" t="s">
        <v>31</v>
      </c>
      <c r="D5629" s="24">
        <v>0.3</v>
      </c>
      <c r="E5629" s="24" t="s">
        <v>801</v>
      </c>
      <c r="F5629" s="24" t="s">
        <v>1158</v>
      </c>
      <c r="G5629" s="24">
        <v>170054</v>
      </c>
    </row>
    <row r="5630" spans="1:7" x14ac:dyDescent="0.25">
      <c r="A5630" s="24" t="s">
        <v>646</v>
      </c>
      <c r="B5630" s="24" t="s">
        <v>46</v>
      </c>
      <c r="C5630" s="24" t="s">
        <v>36</v>
      </c>
      <c r="D5630" s="24">
        <v>0</v>
      </c>
      <c r="E5630" s="24" t="s">
        <v>801</v>
      </c>
      <c r="F5630" s="24" t="s">
        <v>1158</v>
      </c>
      <c r="G5630" s="24">
        <v>170054</v>
      </c>
    </row>
    <row r="5631" spans="1:7" x14ac:dyDescent="0.25">
      <c r="A5631" s="24" t="s">
        <v>646</v>
      </c>
      <c r="B5631" s="24" t="s">
        <v>47</v>
      </c>
      <c r="C5631" s="24" t="s">
        <v>48</v>
      </c>
      <c r="D5631" s="24">
        <v>9</v>
      </c>
      <c r="E5631" s="24" t="s">
        <v>801</v>
      </c>
      <c r="F5631" s="24" t="s">
        <v>1158</v>
      </c>
      <c r="G5631" s="24">
        <v>170054</v>
      </c>
    </row>
    <row r="5632" spans="1:7" x14ac:dyDescent="0.25">
      <c r="A5632" s="24" t="s">
        <v>646</v>
      </c>
      <c r="B5632" s="24" t="s">
        <v>50</v>
      </c>
      <c r="C5632" s="24" t="s">
        <v>31</v>
      </c>
      <c r="D5632" s="24">
        <v>297</v>
      </c>
      <c r="E5632" s="24" t="s">
        <v>801</v>
      </c>
      <c r="F5632" s="24" t="s">
        <v>1158</v>
      </c>
      <c r="G5632" s="24">
        <v>170054</v>
      </c>
    </row>
    <row r="5633" spans="1:7" x14ac:dyDescent="0.25">
      <c r="A5633" s="24" t="s">
        <v>646</v>
      </c>
      <c r="B5633" s="24" t="s">
        <v>51</v>
      </c>
      <c r="C5633" s="24" t="s">
        <v>31</v>
      </c>
      <c r="D5633" s="24">
        <v>14</v>
      </c>
      <c r="E5633" s="24" t="s">
        <v>801</v>
      </c>
      <c r="F5633" s="24" t="s">
        <v>1158</v>
      </c>
      <c r="G5633" s="24">
        <v>170054</v>
      </c>
    </row>
    <row r="5634" spans="1:7" x14ac:dyDescent="0.25">
      <c r="A5634" s="24" t="s">
        <v>646</v>
      </c>
      <c r="B5634" s="24" t="s">
        <v>52</v>
      </c>
      <c r="C5634" s="24" t="s">
        <v>31</v>
      </c>
      <c r="D5634" s="24">
        <v>27</v>
      </c>
      <c r="E5634" s="24" t="s">
        <v>801</v>
      </c>
      <c r="F5634" s="24" t="s">
        <v>1158</v>
      </c>
      <c r="G5634" s="24">
        <v>170054</v>
      </c>
    </row>
    <row r="5635" spans="1:7" x14ac:dyDescent="0.25">
      <c r="A5635" s="24" t="s">
        <v>646</v>
      </c>
      <c r="B5635" s="24" t="s">
        <v>53</v>
      </c>
      <c r="C5635" s="24" t="s">
        <v>31</v>
      </c>
      <c r="D5635" s="24">
        <v>15</v>
      </c>
      <c r="E5635" s="24" t="s">
        <v>801</v>
      </c>
      <c r="F5635" s="24" t="s">
        <v>1158</v>
      </c>
      <c r="G5635" s="24">
        <v>170054</v>
      </c>
    </row>
    <row r="5636" spans="1:7" x14ac:dyDescent="0.25">
      <c r="A5636" s="24" t="s">
        <v>646</v>
      </c>
      <c r="B5636" s="24" t="s">
        <v>54</v>
      </c>
      <c r="C5636" s="24" t="s">
        <v>31</v>
      </c>
      <c r="D5636" s="24">
        <v>1</v>
      </c>
      <c r="E5636" s="24" t="s">
        <v>801</v>
      </c>
      <c r="F5636" s="24" t="s">
        <v>1158</v>
      </c>
      <c r="G5636" s="24">
        <v>170054</v>
      </c>
    </row>
    <row r="5637" spans="1:7" x14ac:dyDescent="0.25">
      <c r="A5637" s="24" t="s">
        <v>646</v>
      </c>
      <c r="B5637" s="24" t="s">
        <v>55</v>
      </c>
      <c r="C5637" s="24" t="s">
        <v>31</v>
      </c>
      <c r="D5637" s="24">
        <v>0.2</v>
      </c>
      <c r="E5637" s="24" t="s">
        <v>801</v>
      </c>
      <c r="F5637" s="24" t="s">
        <v>1158</v>
      </c>
      <c r="G5637" s="24">
        <v>170054</v>
      </c>
    </row>
    <row r="5638" spans="1:7" x14ac:dyDescent="0.25">
      <c r="A5638" s="24" t="s">
        <v>646</v>
      </c>
      <c r="B5638" s="24" t="s">
        <v>56</v>
      </c>
      <c r="C5638" s="24" t="s">
        <v>31</v>
      </c>
      <c r="D5638" s="24">
        <v>0.1</v>
      </c>
      <c r="E5638" s="24" t="s">
        <v>801</v>
      </c>
      <c r="F5638" s="24" t="s">
        <v>1158</v>
      </c>
      <c r="G5638" s="24">
        <v>170054</v>
      </c>
    </row>
    <row r="5639" spans="1:7" x14ac:dyDescent="0.25">
      <c r="A5639" s="24" t="s">
        <v>646</v>
      </c>
      <c r="B5639" s="24" t="s">
        <v>57</v>
      </c>
      <c r="C5639" s="24" t="s">
        <v>36</v>
      </c>
      <c r="D5639" s="24">
        <v>0.6</v>
      </c>
      <c r="E5639" s="24" t="s">
        <v>801</v>
      </c>
      <c r="F5639" s="24" t="s">
        <v>1158</v>
      </c>
      <c r="G5639" s="24">
        <v>170054</v>
      </c>
    </row>
    <row r="5640" spans="1:7" x14ac:dyDescent="0.25">
      <c r="A5640" s="24" t="s">
        <v>646</v>
      </c>
      <c r="B5640" s="24" t="s">
        <v>58</v>
      </c>
      <c r="C5640" s="24" t="s">
        <v>5</v>
      </c>
      <c r="D5640" s="24">
        <v>0</v>
      </c>
      <c r="E5640" s="24" t="s">
        <v>795</v>
      </c>
      <c r="F5640" s="24"/>
      <c r="G5640" s="24"/>
    </row>
    <row r="5641" spans="1:7" x14ac:dyDescent="0.25">
      <c r="A5641" s="24" t="s">
        <v>646</v>
      </c>
      <c r="B5641" s="24" t="s">
        <v>18</v>
      </c>
      <c r="C5641" s="24" t="s">
        <v>5</v>
      </c>
      <c r="D5641" s="24">
        <v>85</v>
      </c>
      <c r="E5641" s="24" t="s">
        <v>803</v>
      </c>
      <c r="F5641" s="24"/>
      <c r="G5641" s="24"/>
    </row>
    <row r="5642" spans="1:7" x14ac:dyDescent="0.25">
      <c r="A5642" s="24" t="s">
        <v>647</v>
      </c>
      <c r="B5642" s="24" t="s">
        <v>23</v>
      </c>
      <c r="C5642" s="24" t="s">
        <v>5</v>
      </c>
      <c r="D5642" s="24">
        <v>5.6</v>
      </c>
      <c r="E5642" s="24" t="s">
        <v>796</v>
      </c>
      <c r="F5642" s="24" t="s">
        <v>1159</v>
      </c>
      <c r="G5642" s="24">
        <v>171192</v>
      </c>
    </row>
    <row r="5643" spans="1:7" x14ac:dyDescent="0.25">
      <c r="A5643" s="24" t="s">
        <v>647</v>
      </c>
      <c r="B5643" s="24" t="s">
        <v>29</v>
      </c>
      <c r="C5643" s="24" t="s">
        <v>5</v>
      </c>
      <c r="D5643" s="24">
        <v>0</v>
      </c>
      <c r="E5643" s="24" t="s">
        <v>799</v>
      </c>
      <c r="F5643" s="24" t="s">
        <v>1159</v>
      </c>
      <c r="G5643" s="24">
        <v>171192</v>
      </c>
    </row>
    <row r="5644" spans="1:7" x14ac:dyDescent="0.25">
      <c r="A5644" s="24" t="s">
        <v>647</v>
      </c>
      <c r="B5644" s="24" t="s">
        <v>37</v>
      </c>
      <c r="C5644" s="24" t="s">
        <v>38</v>
      </c>
      <c r="D5644" s="24">
        <v>2.8</v>
      </c>
      <c r="E5644" s="24" t="s">
        <v>796</v>
      </c>
      <c r="F5644" s="24" t="s">
        <v>1159</v>
      </c>
      <c r="G5644" s="24">
        <v>171192</v>
      </c>
    </row>
    <row r="5645" spans="1:7" x14ac:dyDescent="0.25">
      <c r="A5645" s="24" t="s">
        <v>647</v>
      </c>
      <c r="B5645" s="24" t="s">
        <v>39</v>
      </c>
      <c r="C5645" s="24" t="s">
        <v>36</v>
      </c>
      <c r="D5645" s="24">
        <v>15.9</v>
      </c>
      <c r="E5645" s="24" t="s">
        <v>796</v>
      </c>
      <c r="F5645" s="24" t="s">
        <v>1159</v>
      </c>
      <c r="G5645" s="24">
        <v>171192</v>
      </c>
    </row>
    <row r="5646" spans="1:7" x14ac:dyDescent="0.25">
      <c r="A5646" s="24" t="s">
        <v>647</v>
      </c>
      <c r="B5646" s="24" t="s">
        <v>58</v>
      </c>
      <c r="C5646" s="24" t="s">
        <v>5</v>
      </c>
      <c r="D5646" s="24">
        <v>0</v>
      </c>
      <c r="E5646" s="24" t="s">
        <v>795</v>
      </c>
      <c r="F5646" s="24"/>
      <c r="G5646" s="24"/>
    </row>
    <row r="5647" spans="1:7" x14ac:dyDescent="0.25">
      <c r="A5647" s="24" t="s">
        <v>648</v>
      </c>
      <c r="B5647" s="24" t="s">
        <v>58</v>
      </c>
      <c r="C5647" s="24" t="s">
        <v>5</v>
      </c>
      <c r="D5647" s="24">
        <v>0</v>
      </c>
      <c r="E5647" s="24" t="s">
        <v>795</v>
      </c>
      <c r="F5647" s="24"/>
      <c r="G5647" s="24"/>
    </row>
    <row r="5648" spans="1:7" x14ac:dyDescent="0.25">
      <c r="A5648" s="24" t="s">
        <v>649</v>
      </c>
      <c r="B5648" s="24" t="s">
        <v>29</v>
      </c>
      <c r="C5648" s="24" t="s">
        <v>5</v>
      </c>
      <c r="D5648" s="24">
        <v>0</v>
      </c>
      <c r="E5648" s="24" t="s">
        <v>799</v>
      </c>
      <c r="F5648" s="24" t="s">
        <v>1160</v>
      </c>
      <c r="G5648" s="24">
        <v>171167</v>
      </c>
    </row>
    <row r="5649" spans="1:7" x14ac:dyDescent="0.25">
      <c r="A5649" s="24" t="s">
        <v>649</v>
      </c>
      <c r="B5649" s="24" t="s">
        <v>58</v>
      </c>
      <c r="C5649" s="24" t="s">
        <v>5</v>
      </c>
      <c r="D5649" s="24">
        <v>0</v>
      </c>
      <c r="E5649" s="24" t="s">
        <v>795</v>
      </c>
      <c r="F5649" s="24"/>
      <c r="G5649" s="24"/>
    </row>
    <row r="5650" spans="1:7" x14ac:dyDescent="0.25">
      <c r="A5650" s="24" t="s">
        <v>650</v>
      </c>
      <c r="B5650" s="24" t="s">
        <v>58</v>
      </c>
      <c r="C5650" s="24" t="s">
        <v>5</v>
      </c>
      <c r="D5650" s="24">
        <v>0</v>
      </c>
      <c r="E5650" s="24" t="s">
        <v>795</v>
      </c>
      <c r="F5650" s="24"/>
      <c r="G5650" s="24"/>
    </row>
    <row r="5651" spans="1:7" x14ac:dyDescent="0.25">
      <c r="A5651" s="24" t="s">
        <v>652</v>
      </c>
      <c r="B5651" s="24" t="s">
        <v>29</v>
      </c>
      <c r="C5651" s="24" t="s">
        <v>5</v>
      </c>
      <c r="D5651" s="24">
        <v>0</v>
      </c>
      <c r="E5651" s="24" t="s">
        <v>799</v>
      </c>
      <c r="F5651" s="24" t="s">
        <v>1161</v>
      </c>
      <c r="G5651" s="24">
        <v>171325</v>
      </c>
    </row>
    <row r="5652" spans="1:7" x14ac:dyDescent="0.25">
      <c r="A5652" s="24" t="s">
        <v>652</v>
      </c>
      <c r="B5652" s="24" t="s">
        <v>58</v>
      </c>
      <c r="C5652" s="24" t="s">
        <v>5</v>
      </c>
      <c r="D5652" s="24">
        <v>0</v>
      </c>
      <c r="E5652" s="24" t="s">
        <v>795</v>
      </c>
      <c r="F5652" s="24"/>
      <c r="G5652" s="24"/>
    </row>
    <row r="5653" spans="1:7" x14ac:dyDescent="0.25">
      <c r="A5653" s="24" t="s">
        <v>653</v>
      </c>
      <c r="B5653" s="24" t="s">
        <v>29</v>
      </c>
      <c r="C5653" s="24" t="s">
        <v>5</v>
      </c>
      <c r="D5653" s="24">
        <v>0</v>
      </c>
      <c r="E5653" s="24" t="s">
        <v>799</v>
      </c>
      <c r="F5653" s="24" t="s">
        <v>1162</v>
      </c>
      <c r="G5653" s="24">
        <v>172232</v>
      </c>
    </row>
    <row r="5654" spans="1:7" x14ac:dyDescent="0.25">
      <c r="A5654" s="24" t="s">
        <v>653</v>
      </c>
      <c r="B5654" s="24" t="s">
        <v>58</v>
      </c>
      <c r="C5654" s="24" t="s">
        <v>5</v>
      </c>
      <c r="D5654" s="24">
        <v>0</v>
      </c>
      <c r="E5654" s="24" t="s">
        <v>795</v>
      </c>
      <c r="F5654" s="24"/>
      <c r="G5654" s="24"/>
    </row>
    <row r="5655" spans="1:7" x14ac:dyDescent="0.25">
      <c r="A5655" s="24" t="s">
        <v>654</v>
      </c>
      <c r="B5655" s="24" t="s">
        <v>29</v>
      </c>
      <c r="C5655" s="24" t="s">
        <v>5</v>
      </c>
      <c r="D5655" s="24">
        <v>0</v>
      </c>
      <c r="E5655" s="24" t="s">
        <v>799</v>
      </c>
      <c r="F5655" s="24" t="s">
        <v>1163</v>
      </c>
      <c r="G5655" s="24">
        <v>171317</v>
      </c>
    </row>
    <row r="5656" spans="1:7" x14ac:dyDescent="0.25">
      <c r="A5656" s="24" t="s">
        <v>654</v>
      </c>
      <c r="B5656" s="24" t="s">
        <v>58</v>
      </c>
      <c r="C5656" s="24" t="s">
        <v>5</v>
      </c>
      <c r="D5656" s="24">
        <v>0</v>
      </c>
      <c r="E5656" s="24" t="s">
        <v>795</v>
      </c>
      <c r="F5656" s="24"/>
      <c r="G5656" s="24"/>
    </row>
    <row r="5657" spans="1:7" x14ac:dyDescent="0.25">
      <c r="A5657" s="24" t="s">
        <v>655</v>
      </c>
      <c r="B5657" s="24" t="s">
        <v>29</v>
      </c>
      <c r="C5657" s="24" t="s">
        <v>5</v>
      </c>
      <c r="D5657" s="24">
        <v>0</v>
      </c>
      <c r="E5657" s="24" t="s">
        <v>799</v>
      </c>
      <c r="F5657" s="24" t="s">
        <v>1164</v>
      </c>
      <c r="G5657" s="24">
        <v>170934</v>
      </c>
    </row>
    <row r="5658" spans="1:7" x14ac:dyDescent="0.25">
      <c r="A5658" s="24" t="s">
        <v>655</v>
      </c>
      <c r="B5658" s="24" t="s">
        <v>58</v>
      </c>
      <c r="C5658" s="24" t="s">
        <v>5</v>
      </c>
      <c r="D5658" s="24">
        <v>0</v>
      </c>
      <c r="E5658" s="24" t="s">
        <v>795</v>
      </c>
      <c r="F5658" s="24"/>
      <c r="G5658" s="24"/>
    </row>
    <row r="5659" spans="1:7" x14ac:dyDescent="0.25">
      <c r="A5659" s="24" t="s">
        <v>656</v>
      </c>
      <c r="B5659" s="24" t="s">
        <v>29</v>
      </c>
      <c r="C5659" s="24" t="s">
        <v>5</v>
      </c>
      <c r="D5659" s="24">
        <v>0</v>
      </c>
      <c r="E5659" s="24" t="s">
        <v>799</v>
      </c>
      <c r="F5659" s="24" t="s">
        <v>1165</v>
      </c>
      <c r="G5659" s="24">
        <v>171320</v>
      </c>
    </row>
    <row r="5660" spans="1:7" x14ac:dyDescent="0.25">
      <c r="A5660" s="24" t="s">
        <v>656</v>
      </c>
      <c r="B5660" s="24" t="s">
        <v>58</v>
      </c>
      <c r="C5660" s="24" t="s">
        <v>5</v>
      </c>
      <c r="D5660" s="24">
        <v>0</v>
      </c>
      <c r="E5660" s="24" t="s">
        <v>795</v>
      </c>
      <c r="F5660" s="24"/>
      <c r="G5660" s="24"/>
    </row>
    <row r="5661" spans="1:7" x14ac:dyDescent="0.25">
      <c r="A5661" s="24" t="s">
        <v>657</v>
      </c>
      <c r="B5661" s="24" t="s">
        <v>29</v>
      </c>
      <c r="C5661" s="24" t="s">
        <v>5</v>
      </c>
      <c r="D5661" s="24">
        <v>0</v>
      </c>
      <c r="E5661" s="24" t="s">
        <v>799</v>
      </c>
      <c r="F5661" s="24" t="s">
        <v>1166</v>
      </c>
      <c r="G5661" s="24">
        <v>170919</v>
      </c>
    </row>
    <row r="5662" spans="1:7" x14ac:dyDescent="0.25">
      <c r="A5662" s="24" t="s">
        <v>657</v>
      </c>
      <c r="B5662" s="24" t="s">
        <v>58</v>
      </c>
      <c r="C5662" s="24" t="s">
        <v>5</v>
      </c>
      <c r="D5662" s="24">
        <v>0</v>
      </c>
      <c r="E5662" s="24" t="s">
        <v>795</v>
      </c>
      <c r="F5662" s="24"/>
      <c r="G5662" s="24"/>
    </row>
    <row r="5663" spans="1:7" x14ac:dyDescent="0.25">
      <c r="A5663" s="24" t="s">
        <v>658</v>
      </c>
      <c r="B5663" s="24" t="s">
        <v>29</v>
      </c>
      <c r="C5663" s="24" t="s">
        <v>5</v>
      </c>
      <c r="D5663" s="24">
        <v>0</v>
      </c>
      <c r="E5663" s="24" t="s">
        <v>799</v>
      </c>
      <c r="F5663" s="24" t="s">
        <v>1167</v>
      </c>
      <c r="G5663" s="24">
        <v>171327</v>
      </c>
    </row>
    <row r="5664" spans="1:7" x14ac:dyDescent="0.25">
      <c r="A5664" s="24" t="s">
        <v>658</v>
      </c>
      <c r="B5664" s="24" t="s">
        <v>58</v>
      </c>
      <c r="C5664" s="24" t="s">
        <v>5</v>
      </c>
      <c r="D5664" s="24">
        <v>0</v>
      </c>
      <c r="E5664" s="24" t="s">
        <v>795</v>
      </c>
      <c r="F5664" s="24"/>
      <c r="G5664" s="24"/>
    </row>
    <row r="5665" spans="1:7" x14ac:dyDescent="0.25">
      <c r="A5665" s="24" t="s">
        <v>659</v>
      </c>
      <c r="B5665" s="24" t="s">
        <v>29</v>
      </c>
      <c r="C5665" s="24" t="s">
        <v>5</v>
      </c>
      <c r="D5665" s="24">
        <v>0.25</v>
      </c>
      <c r="E5665" s="24" t="s">
        <v>799</v>
      </c>
      <c r="F5665" s="24" t="s">
        <v>1168</v>
      </c>
      <c r="G5665" s="24">
        <v>171321</v>
      </c>
    </row>
    <row r="5666" spans="1:7" x14ac:dyDescent="0.25">
      <c r="A5666" s="24" t="s">
        <v>659</v>
      </c>
      <c r="B5666" s="24" t="s">
        <v>58</v>
      </c>
      <c r="C5666" s="24" t="s">
        <v>5</v>
      </c>
      <c r="D5666" s="24">
        <v>0</v>
      </c>
      <c r="E5666" s="24" t="s">
        <v>795</v>
      </c>
      <c r="F5666" s="24"/>
      <c r="G5666" s="24"/>
    </row>
    <row r="5667" spans="1:7" x14ac:dyDescent="0.25">
      <c r="A5667" s="24" t="s">
        <v>660</v>
      </c>
      <c r="B5667" s="24" t="s">
        <v>29</v>
      </c>
      <c r="C5667" s="24" t="s">
        <v>5</v>
      </c>
      <c r="D5667" s="24">
        <v>0.06</v>
      </c>
      <c r="E5667" s="24" t="s">
        <v>799</v>
      </c>
      <c r="F5667" s="24" t="s">
        <v>1169</v>
      </c>
      <c r="G5667" s="24">
        <v>172231</v>
      </c>
    </row>
    <row r="5668" spans="1:7" x14ac:dyDescent="0.25">
      <c r="A5668" s="24" t="s">
        <v>660</v>
      </c>
      <c r="B5668" s="24" t="s">
        <v>58</v>
      </c>
      <c r="C5668" s="24" t="s">
        <v>5</v>
      </c>
      <c r="D5668" s="24">
        <v>0</v>
      </c>
      <c r="E5668" s="24" t="s">
        <v>795</v>
      </c>
      <c r="F5668" s="24"/>
      <c r="G5668" s="24"/>
    </row>
    <row r="5669" spans="1:7" x14ac:dyDescent="0.25">
      <c r="A5669" s="24" t="s">
        <v>661</v>
      </c>
      <c r="B5669" s="24" t="s">
        <v>29</v>
      </c>
      <c r="C5669" s="24" t="s">
        <v>5</v>
      </c>
      <c r="D5669" s="24">
        <v>0</v>
      </c>
      <c r="E5669" s="24" t="s">
        <v>799</v>
      </c>
      <c r="F5669" s="24" t="s">
        <v>1170</v>
      </c>
      <c r="G5669" s="24">
        <v>170924</v>
      </c>
    </row>
    <row r="5670" spans="1:7" x14ac:dyDescent="0.25">
      <c r="A5670" s="24" t="s">
        <v>661</v>
      </c>
      <c r="B5670" s="24" t="s">
        <v>58</v>
      </c>
      <c r="C5670" s="24" t="s">
        <v>5</v>
      </c>
      <c r="D5670" s="24">
        <v>0</v>
      </c>
      <c r="E5670" s="24" t="s">
        <v>795</v>
      </c>
      <c r="F5670" s="24"/>
      <c r="G5670" s="24"/>
    </row>
    <row r="5671" spans="1:7" x14ac:dyDescent="0.25">
      <c r="A5671" s="24" t="s">
        <v>662</v>
      </c>
      <c r="B5671" s="24" t="s">
        <v>29</v>
      </c>
      <c r="C5671" s="24" t="s">
        <v>5</v>
      </c>
      <c r="D5671" s="24">
        <v>0</v>
      </c>
      <c r="E5671" s="24" t="s">
        <v>799</v>
      </c>
      <c r="F5671" s="24" t="s">
        <v>1171</v>
      </c>
      <c r="G5671" s="24">
        <v>172233</v>
      </c>
    </row>
    <row r="5672" spans="1:7" x14ac:dyDescent="0.25">
      <c r="A5672" s="24" t="s">
        <v>662</v>
      </c>
      <c r="B5672" s="24" t="s">
        <v>58</v>
      </c>
      <c r="C5672" s="24" t="s">
        <v>5</v>
      </c>
      <c r="D5672" s="24">
        <v>0</v>
      </c>
      <c r="E5672" s="24" t="s">
        <v>795</v>
      </c>
      <c r="F5672" s="24"/>
      <c r="G5672" s="24"/>
    </row>
    <row r="5673" spans="1:7" x14ac:dyDescent="0.25">
      <c r="A5673" s="24" t="s">
        <v>663</v>
      </c>
      <c r="B5673" s="24" t="s">
        <v>29</v>
      </c>
      <c r="C5673" s="24" t="s">
        <v>5</v>
      </c>
      <c r="D5673" s="24">
        <v>0</v>
      </c>
      <c r="E5673" s="24" t="s">
        <v>799</v>
      </c>
      <c r="F5673" s="24" t="s">
        <v>1172</v>
      </c>
      <c r="G5673" s="24">
        <v>171322</v>
      </c>
    </row>
    <row r="5674" spans="1:7" x14ac:dyDescent="0.25">
      <c r="A5674" s="24" t="s">
        <v>663</v>
      </c>
      <c r="B5674" s="24" t="s">
        <v>58</v>
      </c>
      <c r="C5674" s="24" t="s">
        <v>5</v>
      </c>
      <c r="D5674" s="24">
        <v>0</v>
      </c>
      <c r="E5674" s="24" t="s">
        <v>795</v>
      </c>
      <c r="F5674" s="24"/>
      <c r="G5674" s="24"/>
    </row>
    <row r="5675" spans="1:7" x14ac:dyDescent="0.25">
      <c r="A5675" s="24" t="s">
        <v>664</v>
      </c>
      <c r="B5675" s="24" t="s">
        <v>29</v>
      </c>
      <c r="C5675" s="24" t="s">
        <v>5</v>
      </c>
      <c r="D5675" s="24">
        <v>0</v>
      </c>
      <c r="E5675" s="24" t="s">
        <v>799</v>
      </c>
      <c r="F5675" s="24" t="s">
        <v>1173</v>
      </c>
      <c r="G5675" s="24">
        <v>170937</v>
      </c>
    </row>
    <row r="5676" spans="1:7" x14ac:dyDescent="0.25">
      <c r="A5676" s="24" t="s">
        <v>664</v>
      </c>
      <c r="B5676" s="24" t="s">
        <v>58</v>
      </c>
      <c r="C5676" s="24" t="s">
        <v>5</v>
      </c>
      <c r="D5676" s="24">
        <v>0</v>
      </c>
      <c r="E5676" s="24" t="s">
        <v>795</v>
      </c>
      <c r="F5676" s="24"/>
      <c r="G5676" s="24"/>
    </row>
    <row r="5677" spans="1:7" x14ac:dyDescent="0.25">
      <c r="A5677" s="24" t="s">
        <v>665</v>
      </c>
      <c r="B5677" s="24" t="s">
        <v>29</v>
      </c>
      <c r="C5677" s="24" t="s">
        <v>5</v>
      </c>
      <c r="D5677" s="24">
        <v>0</v>
      </c>
      <c r="E5677" s="24" t="s">
        <v>799</v>
      </c>
      <c r="F5677" s="24" t="s">
        <v>1174</v>
      </c>
      <c r="G5677" s="24">
        <v>173475</v>
      </c>
    </row>
    <row r="5678" spans="1:7" x14ac:dyDescent="0.25">
      <c r="A5678" s="24" t="s">
        <v>665</v>
      </c>
      <c r="B5678" s="24" t="s">
        <v>58</v>
      </c>
      <c r="C5678" s="24" t="s">
        <v>5</v>
      </c>
      <c r="D5678" s="24">
        <v>0</v>
      </c>
      <c r="E5678" s="24" t="s">
        <v>795</v>
      </c>
      <c r="F5678" s="24"/>
      <c r="G5678" s="24"/>
    </row>
    <row r="5679" spans="1:7" x14ac:dyDescent="0.25">
      <c r="A5679" s="24" t="s">
        <v>666</v>
      </c>
      <c r="B5679" s="24" t="s">
        <v>29</v>
      </c>
      <c r="C5679" s="24" t="s">
        <v>5</v>
      </c>
      <c r="D5679" s="24">
        <v>0</v>
      </c>
      <c r="E5679" s="24" t="s">
        <v>799</v>
      </c>
      <c r="F5679" s="24" t="s">
        <v>1175</v>
      </c>
      <c r="G5679" s="24">
        <v>170926</v>
      </c>
    </row>
    <row r="5680" spans="1:7" x14ac:dyDescent="0.25">
      <c r="A5680" s="24" t="s">
        <v>666</v>
      </c>
      <c r="B5680" s="24" t="s">
        <v>58</v>
      </c>
      <c r="C5680" s="24" t="s">
        <v>5</v>
      </c>
      <c r="D5680" s="24">
        <v>0</v>
      </c>
      <c r="E5680" s="24" t="s">
        <v>795</v>
      </c>
      <c r="F5680" s="24"/>
      <c r="G5680" s="24"/>
    </row>
    <row r="5681" spans="1:7" x14ac:dyDescent="0.25">
      <c r="A5681" s="24" t="s">
        <v>667</v>
      </c>
      <c r="B5681" s="24" t="s">
        <v>29</v>
      </c>
      <c r="C5681" s="24" t="s">
        <v>5</v>
      </c>
      <c r="D5681" s="24">
        <v>0</v>
      </c>
      <c r="E5681" s="24" t="s">
        <v>799</v>
      </c>
      <c r="F5681" s="24" t="s">
        <v>1176</v>
      </c>
      <c r="G5681" s="24">
        <v>170917</v>
      </c>
    </row>
    <row r="5682" spans="1:7" x14ac:dyDescent="0.25">
      <c r="A5682" s="24" t="s">
        <v>667</v>
      </c>
      <c r="B5682" s="24" t="s">
        <v>58</v>
      </c>
      <c r="C5682" s="24" t="s">
        <v>5</v>
      </c>
      <c r="D5682" s="24">
        <v>0</v>
      </c>
      <c r="E5682" s="24" t="s">
        <v>795</v>
      </c>
      <c r="F5682" s="24"/>
      <c r="G5682" s="24"/>
    </row>
    <row r="5683" spans="1:7" x14ac:dyDescent="0.25">
      <c r="A5683" s="24" t="s">
        <v>668</v>
      </c>
      <c r="B5683" s="24" t="s">
        <v>23</v>
      </c>
      <c r="C5683" s="24" t="s">
        <v>5</v>
      </c>
      <c r="D5683" s="24">
        <v>7.7</v>
      </c>
      <c r="E5683" s="24" t="s">
        <v>796</v>
      </c>
      <c r="F5683" s="24" t="s">
        <v>1177</v>
      </c>
      <c r="G5683" s="24">
        <v>171319</v>
      </c>
    </row>
    <row r="5684" spans="1:7" x14ac:dyDescent="0.25">
      <c r="A5684" s="24" t="s">
        <v>668</v>
      </c>
      <c r="B5684" s="24" t="s">
        <v>26</v>
      </c>
      <c r="C5684" s="24" t="s">
        <v>5</v>
      </c>
      <c r="D5684" s="24">
        <v>0.48</v>
      </c>
      <c r="E5684" s="24" t="s">
        <v>799</v>
      </c>
      <c r="F5684" s="24" t="s">
        <v>1177</v>
      </c>
      <c r="G5684" s="24">
        <v>171319</v>
      </c>
    </row>
    <row r="5685" spans="1:7" x14ac:dyDescent="0.25">
      <c r="A5685" s="24" t="s">
        <v>668</v>
      </c>
      <c r="B5685" s="24" t="s">
        <v>27</v>
      </c>
      <c r="C5685" s="24" t="s">
        <v>5</v>
      </c>
      <c r="D5685" s="24">
        <v>0.63</v>
      </c>
      <c r="E5685" s="24" t="s">
        <v>799</v>
      </c>
      <c r="F5685" s="24" t="s">
        <v>1177</v>
      </c>
      <c r="G5685" s="24">
        <v>171319</v>
      </c>
    </row>
    <row r="5686" spans="1:7" x14ac:dyDescent="0.25">
      <c r="A5686" s="24" t="s">
        <v>668</v>
      </c>
      <c r="B5686" s="24" t="s">
        <v>28</v>
      </c>
      <c r="C5686" s="24" t="s">
        <v>5</v>
      </c>
      <c r="D5686" s="24">
        <v>1.57</v>
      </c>
      <c r="E5686" s="24" t="s">
        <v>799</v>
      </c>
      <c r="F5686" s="24" t="s">
        <v>1177</v>
      </c>
      <c r="G5686" s="24">
        <v>171319</v>
      </c>
    </row>
    <row r="5687" spans="1:7" x14ac:dyDescent="0.25">
      <c r="A5687" s="24" t="s">
        <v>668</v>
      </c>
      <c r="B5687" s="24" t="s">
        <v>29</v>
      </c>
      <c r="C5687" s="24" t="s">
        <v>5</v>
      </c>
      <c r="D5687" s="24">
        <v>0</v>
      </c>
      <c r="E5687" s="24" t="s">
        <v>799</v>
      </c>
      <c r="F5687" s="24" t="s">
        <v>1177</v>
      </c>
      <c r="G5687" s="24">
        <v>171319</v>
      </c>
    </row>
    <row r="5688" spans="1:7" x14ac:dyDescent="0.25">
      <c r="A5688" s="24" t="s">
        <v>668</v>
      </c>
      <c r="B5688" s="24" t="s">
        <v>30</v>
      </c>
      <c r="C5688" s="24" t="s">
        <v>31</v>
      </c>
      <c r="D5688" s="24">
        <v>0</v>
      </c>
      <c r="E5688" s="24" t="s">
        <v>801</v>
      </c>
      <c r="F5688" s="24" t="s">
        <v>1177</v>
      </c>
      <c r="G5688" s="24">
        <v>171319</v>
      </c>
    </row>
    <row r="5689" spans="1:7" x14ac:dyDescent="0.25">
      <c r="A5689" s="24" t="s">
        <v>668</v>
      </c>
      <c r="B5689" s="24" t="s">
        <v>32</v>
      </c>
      <c r="C5689" s="24" t="s">
        <v>33</v>
      </c>
      <c r="D5689" s="24">
        <v>1591.8</v>
      </c>
      <c r="E5689" s="24" t="s">
        <v>796</v>
      </c>
      <c r="F5689" s="24" t="s">
        <v>1177</v>
      </c>
      <c r="G5689" s="24">
        <v>171319</v>
      </c>
    </row>
    <row r="5690" spans="1:7" x14ac:dyDescent="0.25">
      <c r="A5690" s="24" t="s">
        <v>668</v>
      </c>
      <c r="B5690" s="24" t="s">
        <v>34</v>
      </c>
      <c r="C5690" s="24" t="s">
        <v>31</v>
      </c>
      <c r="D5690" s="24">
        <v>0.8</v>
      </c>
      <c r="E5690" s="24" t="s">
        <v>796</v>
      </c>
      <c r="F5690" s="24" t="s">
        <v>1177</v>
      </c>
      <c r="G5690" s="24">
        <v>171319</v>
      </c>
    </row>
    <row r="5691" spans="1:7" x14ac:dyDescent="0.25">
      <c r="A5691" s="24" t="s">
        <v>668</v>
      </c>
      <c r="B5691" s="24" t="s">
        <v>35</v>
      </c>
      <c r="C5691" s="24" t="s">
        <v>36</v>
      </c>
      <c r="D5691" s="24">
        <v>0</v>
      </c>
      <c r="E5691" s="24" t="s">
        <v>796</v>
      </c>
      <c r="F5691" s="24" t="s">
        <v>1177</v>
      </c>
      <c r="G5691" s="24">
        <v>171319</v>
      </c>
    </row>
    <row r="5692" spans="1:7" x14ac:dyDescent="0.25">
      <c r="A5692" s="24" t="s">
        <v>668</v>
      </c>
      <c r="B5692" s="24" t="s">
        <v>37</v>
      </c>
      <c r="C5692" s="24" t="s">
        <v>38</v>
      </c>
      <c r="D5692" s="24">
        <v>40.9</v>
      </c>
      <c r="E5692" s="24" t="s">
        <v>796</v>
      </c>
      <c r="F5692" s="24" t="s">
        <v>1177</v>
      </c>
      <c r="G5692" s="24">
        <v>171319</v>
      </c>
    </row>
    <row r="5693" spans="1:7" x14ac:dyDescent="0.25">
      <c r="A5693" s="24" t="s">
        <v>668</v>
      </c>
      <c r="B5693" s="24" t="s">
        <v>39</v>
      </c>
      <c r="C5693" s="24" t="s">
        <v>36</v>
      </c>
      <c r="D5693" s="24">
        <v>113.5</v>
      </c>
      <c r="E5693" s="24" t="s">
        <v>796</v>
      </c>
      <c r="F5693" s="24" t="s">
        <v>1177</v>
      </c>
      <c r="G5693" s="24">
        <v>171319</v>
      </c>
    </row>
    <row r="5694" spans="1:7" x14ac:dyDescent="0.25">
      <c r="A5694" s="24" t="s">
        <v>668</v>
      </c>
      <c r="B5694" s="24" t="s">
        <v>40</v>
      </c>
      <c r="C5694" s="24" t="s">
        <v>31</v>
      </c>
      <c r="D5694" s="24">
        <v>0.3</v>
      </c>
      <c r="E5694" s="24" t="s">
        <v>796</v>
      </c>
      <c r="F5694" s="24" t="s">
        <v>1177</v>
      </c>
      <c r="G5694" s="24">
        <v>171319</v>
      </c>
    </row>
    <row r="5695" spans="1:7" x14ac:dyDescent="0.25">
      <c r="A5695" s="24" t="s">
        <v>668</v>
      </c>
      <c r="B5695" s="24" t="s">
        <v>41</v>
      </c>
      <c r="C5695" s="24" t="s">
        <v>31</v>
      </c>
      <c r="D5695" s="24">
        <v>1</v>
      </c>
      <c r="E5695" s="24" t="s">
        <v>796</v>
      </c>
      <c r="F5695" s="24" t="s">
        <v>1177</v>
      </c>
      <c r="G5695" s="24">
        <v>171319</v>
      </c>
    </row>
    <row r="5696" spans="1:7" x14ac:dyDescent="0.25">
      <c r="A5696" s="24" t="s">
        <v>668</v>
      </c>
      <c r="B5696" s="24" t="s">
        <v>42</v>
      </c>
      <c r="C5696" s="24" t="s">
        <v>43</v>
      </c>
      <c r="D5696" s="24">
        <v>12.5</v>
      </c>
      <c r="E5696" s="24" t="s">
        <v>796</v>
      </c>
      <c r="F5696" s="24" t="s">
        <v>1177</v>
      </c>
      <c r="G5696" s="24">
        <v>171319</v>
      </c>
    </row>
    <row r="5697" spans="1:7" x14ac:dyDescent="0.25">
      <c r="A5697" s="24" t="s">
        <v>668</v>
      </c>
      <c r="B5697" s="24" t="s">
        <v>44</v>
      </c>
      <c r="C5697" s="24" t="s">
        <v>31</v>
      </c>
      <c r="D5697" s="24">
        <v>2.2000000000000002</v>
      </c>
      <c r="E5697" s="24" t="s">
        <v>796</v>
      </c>
      <c r="F5697" s="24" t="s">
        <v>1177</v>
      </c>
      <c r="G5697" s="24">
        <v>171319</v>
      </c>
    </row>
    <row r="5698" spans="1:7" x14ac:dyDescent="0.25">
      <c r="A5698" s="24" t="s">
        <v>668</v>
      </c>
      <c r="B5698" s="24" t="s">
        <v>45</v>
      </c>
      <c r="C5698" s="24" t="s">
        <v>31</v>
      </c>
      <c r="D5698" s="24">
        <v>1</v>
      </c>
      <c r="E5698" s="24" t="s">
        <v>796</v>
      </c>
      <c r="F5698" s="24" t="s">
        <v>1177</v>
      </c>
      <c r="G5698" s="24">
        <v>171319</v>
      </c>
    </row>
    <row r="5699" spans="1:7" x14ac:dyDescent="0.25">
      <c r="A5699" s="24" t="s">
        <v>668</v>
      </c>
      <c r="B5699" s="24" t="s">
        <v>46</v>
      </c>
      <c r="C5699" s="24" t="s">
        <v>36</v>
      </c>
      <c r="D5699" s="24">
        <v>0</v>
      </c>
      <c r="E5699" s="24" t="s">
        <v>796</v>
      </c>
      <c r="F5699" s="24" t="s">
        <v>1177</v>
      </c>
      <c r="G5699" s="24">
        <v>171319</v>
      </c>
    </row>
    <row r="5700" spans="1:7" x14ac:dyDescent="0.25">
      <c r="A5700" s="24" t="s">
        <v>668</v>
      </c>
      <c r="B5700" s="24" t="s">
        <v>47</v>
      </c>
      <c r="C5700" s="24" t="s">
        <v>48</v>
      </c>
      <c r="D5700" s="24">
        <v>30.1</v>
      </c>
      <c r="E5700" s="24" t="s">
        <v>796</v>
      </c>
      <c r="F5700" s="24" t="s">
        <v>1177</v>
      </c>
      <c r="G5700" s="24">
        <v>171319</v>
      </c>
    </row>
    <row r="5701" spans="1:7" x14ac:dyDescent="0.25">
      <c r="A5701" s="24" t="s">
        <v>668</v>
      </c>
      <c r="B5701" s="24" t="s">
        <v>50</v>
      </c>
      <c r="C5701" s="24" t="s">
        <v>31</v>
      </c>
      <c r="D5701" s="24">
        <v>2093.1</v>
      </c>
      <c r="E5701" s="24" t="s">
        <v>796</v>
      </c>
      <c r="F5701" s="24" t="s">
        <v>1177</v>
      </c>
      <c r="G5701" s="24">
        <v>171319</v>
      </c>
    </row>
    <row r="5702" spans="1:7" x14ac:dyDescent="0.25">
      <c r="A5702" s="24" t="s">
        <v>668</v>
      </c>
      <c r="B5702" s="24" t="s">
        <v>51</v>
      </c>
      <c r="C5702" s="24" t="s">
        <v>31</v>
      </c>
      <c r="D5702" s="24">
        <v>354.2</v>
      </c>
      <c r="E5702" s="24" t="s">
        <v>796</v>
      </c>
      <c r="F5702" s="24" t="s">
        <v>1177</v>
      </c>
      <c r="G5702" s="24">
        <v>171319</v>
      </c>
    </row>
    <row r="5703" spans="1:7" x14ac:dyDescent="0.25">
      <c r="A5703" s="24" t="s">
        <v>668</v>
      </c>
      <c r="B5703" s="24" t="s">
        <v>52</v>
      </c>
      <c r="C5703" s="24" t="s">
        <v>31</v>
      </c>
      <c r="D5703" s="24">
        <v>322</v>
      </c>
      <c r="E5703" s="24" t="s">
        <v>796</v>
      </c>
      <c r="F5703" s="24" t="s">
        <v>1177</v>
      </c>
      <c r="G5703" s="24">
        <v>171319</v>
      </c>
    </row>
    <row r="5704" spans="1:7" x14ac:dyDescent="0.25">
      <c r="A5704" s="24" t="s">
        <v>668</v>
      </c>
      <c r="B5704" s="24" t="s">
        <v>53</v>
      </c>
      <c r="C5704" s="24" t="s">
        <v>31</v>
      </c>
      <c r="D5704" s="24">
        <v>159.9</v>
      </c>
      <c r="E5704" s="24" t="s">
        <v>796</v>
      </c>
      <c r="F5704" s="24" t="s">
        <v>1177</v>
      </c>
      <c r="G5704" s="24">
        <v>171319</v>
      </c>
    </row>
    <row r="5705" spans="1:7" x14ac:dyDescent="0.25">
      <c r="A5705" s="24" t="s">
        <v>668</v>
      </c>
      <c r="B5705" s="24" t="s">
        <v>54</v>
      </c>
      <c r="C5705" s="24" t="s">
        <v>31</v>
      </c>
      <c r="D5705" s="24">
        <v>18.600000000000001</v>
      </c>
      <c r="E5705" s="24" t="s">
        <v>796</v>
      </c>
      <c r="F5705" s="24" t="s">
        <v>1177</v>
      </c>
      <c r="G5705" s="24">
        <v>171319</v>
      </c>
    </row>
    <row r="5706" spans="1:7" x14ac:dyDescent="0.25">
      <c r="A5706" s="24" t="s">
        <v>668</v>
      </c>
      <c r="B5706" s="24" t="s">
        <v>55</v>
      </c>
      <c r="C5706" s="24" t="s">
        <v>31</v>
      </c>
      <c r="D5706" s="24">
        <v>4.5999999999999996</v>
      </c>
      <c r="E5706" s="24" t="s">
        <v>796</v>
      </c>
      <c r="F5706" s="24" t="s">
        <v>1177</v>
      </c>
      <c r="G5706" s="24">
        <v>171319</v>
      </c>
    </row>
    <row r="5707" spans="1:7" x14ac:dyDescent="0.25">
      <c r="A5707" s="24" t="s">
        <v>668</v>
      </c>
      <c r="B5707" s="24" t="s">
        <v>56</v>
      </c>
      <c r="C5707" s="24" t="s">
        <v>31</v>
      </c>
      <c r="D5707" s="24">
        <v>1.1000000000000001</v>
      </c>
      <c r="E5707" s="24" t="s">
        <v>796</v>
      </c>
      <c r="F5707" s="24" t="s">
        <v>1177</v>
      </c>
      <c r="G5707" s="24">
        <v>171319</v>
      </c>
    </row>
    <row r="5708" spans="1:7" x14ac:dyDescent="0.25">
      <c r="A5708" s="24" t="s">
        <v>668</v>
      </c>
      <c r="B5708" s="24" t="s">
        <v>57</v>
      </c>
      <c r="C5708" s="24" t="s">
        <v>36</v>
      </c>
      <c r="D5708" s="24">
        <v>21.9</v>
      </c>
      <c r="E5708" s="24" t="s">
        <v>796</v>
      </c>
      <c r="F5708" s="24" t="s">
        <v>1177</v>
      </c>
      <c r="G5708" s="24">
        <v>171319</v>
      </c>
    </row>
    <row r="5709" spans="1:7" x14ac:dyDescent="0.25">
      <c r="A5709" s="24" t="s">
        <v>668</v>
      </c>
      <c r="B5709" s="24" t="s">
        <v>58</v>
      </c>
      <c r="C5709" s="24" t="s">
        <v>5</v>
      </c>
      <c r="D5709" s="24">
        <v>0</v>
      </c>
      <c r="E5709" s="24" t="s">
        <v>795</v>
      </c>
      <c r="F5709" s="24"/>
      <c r="G5709" s="24"/>
    </row>
    <row r="5710" spans="1:7" x14ac:dyDescent="0.25">
      <c r="A5710" s="24" t="s">
        <v>669</v>
      </c>
      <c r="B5710" s="24" t="s">
        <v>26</v>
      </c>
      <c r="C5710" s="24" t="s">
        <v>5</v>
      </c>
      <c r="D5710" s="24">
        <v>0.02</v>
      </c>
      <c r="E5710" s="24" t="s">
        <v>799</v>
      </c>
      <c r="F5710" s="24" t="s">
        <v>1178</v>
      </c>
      <c r="G5710" s="24">
        <v>170106</v>
      </c>
    </row>
    <row r="5711" spans="1:7" x14ac:dyDescent="0.25">
      <c r="A5711" s="24" t="s">
        <v>669</v>
      </c>
      <c r="B5711" s="24" t="s">
        <v>27</v>
      </c>
      <c r="C5711" s="24" t="s">
        <v>5</v>
      </c>
      <c r="D5711" s="24">
        <v>0.01</v>
      </c>
      <c r="E5711" s="24" t="s">
        <v>799</v>
      </c>
      <c r="F5711" s="24" t="s">
        <v>1178</v>
      </c>
      <c r="G5711" s="24">
        <v>170106</v>
      </c>
    </row>
    <row r="5712" spans="1:7" x14ac:dyDescent="0.25">
      <c r="A5712" s="24" t="s">
        <v>669</v>
      </c>
      <c r="B5712" s="24" t="s">
        <v>28</v>
      </c>
      <c r="C5712" s="24" t="s">
        <v>5</v>
      </c>
      <c r="D5712" s="24">
        <v>0.11</v>
      </c>
      <c r="E5712" s="24" t="s">
        <v>799</v>
      </c>
      <c r="F5712" s="24" t="s">
        <v>1178</v>
      </c>
      <c r="G5712" s="24">
        <v>170106</v>
      </c>
    </row>
    <row r="5713" spans="1:7" x14ac:dyDescent="0.25">
      <c r="A5713" s="24" t="s">
        <v>669</v>
      </c>
      <c r="B5713" s="24" t="s">
        <v>29</v>
      </c>
      <c r="C5713" s="24" t="s">
        <v>5</v>
      </c>
      <c r="D5713" s="24">
        <v>0</v>
      </c>
      <c r="E5713" s="24" t="s">
        <v>799</v>
      </c>
      <c r="F5713" s="24" t="s">
        <v>1178</v>
      </c>
      <c r="G5713" s="24">
        <v>170106</v>
      </c>
    </row>
    <row r="5714" spans="1:7" x14ac:dyDescent="0.25">
      <c r="A5714" s="24" t="s">
        <v>669</v>
      </c>
      <c r="B5714" s="24" t="s">
        <v>30</v>
      </c>
      <c r="C5714" s="24" t="s">
        <v>31</v>
      </c>
      <c r="D5714" s="24">
        <v>0</v>
      </c>
      <c r="E5714" s="24" t="s">
        <v>801</v>
      </c>
      <c r="F5714" s="24" t="s">
        <v>1178</v>
      </c>
      <c r="G5714" s="24">
        <v>170106</v>
      </c>
    </row>
    <row r="5715" spans="1:7" x14ac:dyDescent="0.25">
      <c r="A5715" s="24" t="s">
        <v>669</v>
      </c>
      <c r="B5715" s="24" t="s">
        <v>32</v>
      </c>
      <c r="C5715" s="24" t="s">
        <v>33</v>
      </c>
      <c r="D5715" s="24">
        <v>40.1</v>
      </c>
      <c r="E5715" s="24" t="s">
        <v>796</v>
      </c>
      <c r="F5715" s="24" t="s">
        <v>1178</v>
      </c>
      <c r="G5715" s="24">
        <v>170106</v>
      </c>
    </row>
    <row r="5716" spans="1:7" x14ac:dyDescent="0.25">
      <c r="A5716" s="24" t="s">
        <v>669</v>
      </c>
      <c r="B5716" s="24" t="s">
        <v>35</v>
      </c>
      <c r="C5716" s="24" t="s">
        <v>36</v>
      </c>
      <c r="D5716" s="24">
        <v>0</v>
      </c>
      <c r="E5716" s="24" t="s">
        <v>796</v>
      </c>
      <c r="F5716" s="24" t="s">
        <v>1178</v>
      </c>
      <c r="G5716" s="24">
        <v>170106</v>
      </c>
    </row>
    <row r="5717" spans="1:7" x14ac:dyDescent="0.25">
      <c r="A5717" s="24" t="s">
        <v>669</v>
      </c>
      <c r="B5717" s="24" t="s">
        <v>37</v>
      </c>
      <c r="C5717" s="24" t="s">
        <v>38</v>
      </c>
      <c r="D5717" s="24">
        <v>0.6</v>
      </c>
      <c r="E5717" s="24" t="s">
        <v>796</v>
      </c>
      <c r="F5717" s="24" t="s">
        <v>1178</v>
      </c>
      <c r="G5717" s="24">
        <v>170106</v>
      </c>
    </row>
    <row r="5718" spans="1:7" x14ac:dyDescent="0.25">
      <c r="A5718" s="24" t="s">
        <v>669</v>
      </c>
      <c r="B5718" s="24" t="s">
        <v>39</v>
      </c>
      <c r="C5718" s="24" t="s">
        <v>36</v>
      </c>
      <c r="D5718" s="24">
        <v>11.7</v>
      </c>
      <c r="E5718" s="24" t="s">
        <v>796</v>
      </c>
      <c r="F5718" s="24" t="s">
        <v>1178</v>
      </c>
      <c r="G5718" s="24">
        <v>170106</v>
      </c>
    </row>
    <row r="5719" spans="1:7" x14ac:dyDescent="0.25">
      <c r="A5719" s="24" t="s">
        <v>669</v>
      </c>
      <c r="B5719" s="24" t="s">
        <v>40</v>
      </c>
      <c r="C5719" s="24" t="s">
        <v>31</v>
      </c>
      <c r="D5719" s="24">
        <v>0.1</v>
      </c>
      <c r="E5719" s="24" t="s">
        <v>796</v>
      </c>
      <c r="F5719" s="24" t="s">
        <v>1178</v>
      </c>
      <c r="G5719" s="24">
        <v>170106</v>
      </c>
    </row>
    <row r="5720" spans="1:7" x14ac:dyDescent="0.25">
      <c r="A5720" s="24" t="s">
        <v>669</v>
      </c>
      <c r="B5720" s="24" t="s">
        <v>41</v>
      </c>
      <c r="C5720" s="24" t="s">
        <v>31</v>
      </c>
      <c r="D5720" s="24">
        <v>0.1</v>
      </c>
      <c r="E5720" s="24" t="s">
        <v>796</v>
      </c>
      <c r="F5720" s="24" t="s">
        <v>1178</v>
      </c>
      <c r="G5720" s="24">
        <v>170106</v>
      </c>
    </row>
    <row r="5721" spans="1:7" x14ac:dyDescent="0.25">
      <c r="A5721" s="24" t="s">
        <v>669</v>
      </c>
      <c r="B5721" s="24" t="s">
        <v>42</v>
      </c>
      <c r="C5721" s="24" t="s">
        <v>43</v>
      </c>
      <c r="D5721" s="24">
        <v>1</v>
      </c>
      <c r="E5721" s="24" t="s">
        <v>796</v>
      </c>
      <c r="F5721" s="24" t="s">
        <v>1178</v>
      </c>
      <c r="G5721" s="24">
        <v>170106</v>
      </c>
    </row>
    <row r="5722" spans="1:7" x14ac:dyDescent="0.25">
      <c r="A5722" s="24" t="s">
        <v>669</v>
      </c>
      <c r="B5722" s="24" t="s">
        <v>44</v>
      </c>
      <c r="C5722" s="24" t="s">
        <v>31</v>
      </c>
      <c r="D5722" s="24">
        <v>0.4</v>
      </c>
      <c r="E5722" s="24" t="s">
        <v>796</v>
      </c>
      <c r="F5722" s="24" t="s">
        <v>1178</v>
      </c>
      <c r="G5722" s="24">
        <v>170106</v>
      </c>
    </row>
    <row r="5723" spans="1:7" x14ac:dyDescent="0.25">
      <c r="A5723" s="24" t="s">
        <v>669</v>
      </c>
      <c r="B5723" s="24" t="s">
        <v>45</v>
      </c>
      <c r="C5723" s="24" t="s">
        <v>31</v>
      </c>
      <c r="D5723" s="24">
        <v>0.2</v>
      </c>
      <c r="E5723" s="24" t="s">
        <v>796</v>
      </c>
      <c r="F5723" s="24" t="s">
        <v>1178</v>
      </c>
      <c r="G5723" s="24">
        <v>170106</v>
      </c>
    </row>
    <row r="5724" spans="1:7" x14ac:dyDescent="0.25">
      <c r="A5724" s="24" t="s">
        <v>669</v>
      </c>
      <c r="B5724" s="24" t="s">
        <v>46</v>
      </c>
      <c r="C5724" s="24" t="s">
        <v>36</v>
      </c>
      <c r="D5724" s="24">
        <v>0</v>
      </c>
      <c r="E5724" s="24" t="s">
        <v>796</v>
      </c>
      <c r="F5724" s="24" t="s">
        <v>1178</v>
      </c>
      <c r="G5724" s="24">
        <v>170106</v>
      </c>
    </row>
    <row r="5725" spans="1:7" x14ac:dyDescent="0.25">
      <c r="A5725" s="24" t="s">
        <v>669</v>
      </c>
      <c r="B5725" s="24" t="s">
        <v>47</v>
      </c>
      <c r="C5725" s="24" t="s">
        <v>48</v>
      </c>
      <c r="D5725" s="24">
        <v>19.2</v>
      </c>
      <c r="E5725" s="24" t="s">
        <v>796</v>
      </c>
      <c r="F5725" s="24" t="s">
        <v>1178</v>
      </c>
      <c r="G5725" s="24">
        <v>170106</v>
      </c>
    </row>
    <row r="5726" spans="1:7" x14ac:dyDescent="0.25">
      <c r="A5726" s="24" t="s">
        <v>669</v>
      </c>
      <c r="B5726" s="24" t="s">
        <v>50</v>
      </c>
      <c r="C5726" s="24" t="s">
        <v>31</v>
      </c>
      <c r="D5726" s="24">
        <v>268.8</v>
      </c>
      <c r="E5726" s="24" t="s">
        <v>796</v>
      </c>
      <c r="F5726" s="24" t="s">
        <v>1178</v>
      </c>
      <c r="G5726" s="24">
        <v>170106</v>
      </c>
    </row>
    <row r="5727" spans="1:7" x14ac:dyDescent="0.25">
      <c r="A5727" s="24" t="s">
        <v>669</v>
      </c>
      <c r="B5727" s="24" t="s">
        <v>51</v>
      </c>
      <c r="C5727" s="24" t="s">
        <v>31</v>
      </c>
      <c r="D5727" s="24">
        <v>11.7</v>
      </c>
      <c r="E5727" s="24" t="s">
        <v>796</v>
      </c>
      <c r="F5727" s="24" t="s">
        <v>1178</v>
      </c>
      <c r="G5727" s="24">
        <v>170106</v>
      </c>
    </row>
    <row r="5728" spans="1:7" x14ac:dyDescent="0.25">
      <c r="A5728" s="24" t="s">
        <v>669</v>
      </c>
      <c r="B5728" s="24" t="s">
        <v>52</v>
      </c>
      <c r="C5728" s="24" t="s">
        <v>31</v>
      </c>
      <c r="D5728" s="24">
        <v>35.9</v>
      </c>
      <c r="E5728" s="24" t="s">
        <v>796</v>
      </c>
      <c r="F5728" s="24" t="s">
        <v>1178</v>
      </c>
      <c r="G5728" s="24">
        <v>170106</v>
      </c>
    </row>
    <row r="5729" spans="1:7" x14ac:dyDescent="0.25">
      <c r="A5729" s="24" t="s">
        <v>669</v>
      </c>
      <c r="B5729" s="24" t="s">
        <v>53</v>
      </c>
      <c r="C5729" s="24" t="s">
        <v>31</v>
      </c>
      <c r="D5729" s="24">
        <v>19.2</v>
      </c>
      <c r="E5729" s="24" t="s">
        <v>796</v>
      </c>
      <c r="F5729" s="24" t="s">
        <v>1178</v>
      </c>
      <c r="G5729" s="24">
        <v>170106</v>
      </c>
    </row>
    <row r="5730" spans="1:7" x14ac:dyDescent="0.25">
      <c r="A5730" s="24" t="s">
        <v>669</v>
      </c>
      <c r="B5730" s="24" t="s">
        <v>54</v>
      </c>
      <c r="C5730" s="24" t="s">
        <v>31</v>
      </c>
      <c r="D5730" s="24">
        <v>0.9</v>
      </c>
      <c r="E5730" s="24" t="s">
        <v>796</v>
      </c>
      <c r="F5730" s="24" t="s">
        <v>1178</v>
      </c>
      <c r="G5730" s="24">
        <v>170106</v>
      </c>
    </row>
    <row r="5731" spans="1:7" x14ac:dyDescent="0.25">
      <c r="A5731" s="24" t="s">
        <v>669</v>
      </c>
      <c r="B5731" s="24" t="s">
        <v>55</v>
      </c>
      <c r="C5731" s="24" t="s">
        <v>31</v>
      </c>
      <c r="D5731" s="24">
        <v>0.2</v>
      </c>
      <c r="E5731" s="24" t="s">
        <v>796</v>
      </c>
      <c r="F5731" s="24" t="s">
        <v>1178</v>
      </c>
      <c r="G5731" s="24">
        <v>170106</v>
      </c>
    </row>
    <row r="5732" spans="1:7" x14ac:dyDescent="0.25">
      <c r="A5732" s="24" t="s">
        <v>669</v>
      </c>
      <c r="B5732" s="24" t="s">
        <v>56</v>
      </c>
      <c r="C5732" s="24" t="s">
        <v>31</v>
      </c>
      <c r="D5732" s="24">
        <v>0.1</v>
      </c>
      <c r="E5732" s="24" t="s">
        <v>796</v>
      </c>
      <c r="F5732" s="24" t="s">
        <v>1178</v>
      </c>
      <c r="G5732" s="24">
        <v>170106</v>
      </c>
    </row>
    <row r="5733" spans="1:7" x14ac:dyDescent="0.25">
      <c r="A5733" s="24" t="s">
        <v>669</v>
      </c>
      <c r="B5733" s="24" t="s">
        <v>57</v>
      </c>
      <c r="C5733" s="24" t="s">
        <v>36</v>
      </c>
      <c r="D5733" s="24">
        <v>0.4</v>
      </c>
      <c r="E5733" s="24" t="s">
        <v>796</v>
      </c>
      <c r="F5733" s="24" t="s">
        <v>1178</v>
      </c>
      <c r="G5733" s="24">
        <v>170106</v>
      </c>
    </row>
    <row r="5734" spans="1:7" x14ac:dyDescent="0.25">
      <c r="A5734" s="24" t="s">
        <v>669</v>
      </c>
      <c r="B5734" s="24" t="s">
        <v>58</v>
      </c>
      <c r="C5734" s="24" t="s">
        <v>5</v>
      </c>
      <c r="D5734" s="24">
        <v>0</v>
      </c>
      <c r="E5734" s="24" t="s">
        <v>795</v>
      </c>
      <c r="F5734" s="24"/>
      <c r="G5734" s="24"/>
    </row>
    <row r="5735" spans="1:7" x14ac:dyDescent="0.25">
      <c r="A5735" s="24" t="s">
        <v>670</v>
      </c>
      <c r="B5735" s="24" t="s">
        <v>29</v>
      </c>
      <c r="C5735" s="24" t="s">
        <v>5</v>
      </c>
      <c r="D5735" s="24">
        <v>0</v>
      </c>
      <c r="E5735" s="24" t="s">
        <v>799</v>
      </c>
      <c r="F5735" s="24" t="s">
        <v>1174</v>
      </c>
      <c r="G5735" s="24">
        <v>173475</v>
      </c>
    </row>
    <row r="5736" spans="1:7" x14ac:dyDescent="0.25">
      <c r="A5736" s="24" t="s">
        <v>670</v>
      </c>
      <c r="B5736" s="24" t="s">
        <v>58</v>
      </c>
      <c r="C5736" s="24" t="s">
        <v>5</v>
      </c>
      <c r="D5736" s="24">
        <v>0</v>
      </c>
      <c r="E5736" s="24" t="s">
        <v>795</v>
      </c>
      <c r="F5736" s="24"/>
      <c r="G5736" s="24"/>
    </row>
    <row r="5737" spans="1:7" x14ac:dyDescent="0.25">
      <c r="A5737" s="24" t="s">
        <v>671</v>
      </c>
      <c r="B5737" s="24" t="s">
        <v>29</v>
      </c>
      <c r="C5737" s="24" t="s">
        <v>5</v>
      </c>
      <c r="D5737" s="24">
        <v>0</v>
      </c>
      <c r="E5737" s="24" t="s">
        <v>799</v>
      </c>
      <c r="F5737" s="24" t="s">
        <v>1179</v>
      </c>
      <c r="G5737" s="24">
        <v>172239</v>
      </c>
    </row>
    <row r="5738" spans="1:7" x14ac:dyDescent="0.25">
      <c r="A5738" s="24" t="s">
        <v>671</v>
      </c>
      <c r="B5738" s="24" t="s">
        <v>58</v>
      </c>
      <c r="C5738" s="24" t="s">
        <v>5</v>
      </c>
      <c r="D5738" s="24">
        <v>0</v>
      </c>
      <c r="E5738" s="24" t="s">
        <v>795</v>
      </c>
      <c r="F5738" s="24"/>
      <c r="G5738" s="24"/>
    </row>
    <row r="5739" spans="1:7" x14ac:dyDescent="0.25">
      <c r="A5739" s="24" t="s">
        <v>672</v>
      </c>
      <c r="B5739" s="24" t="s">
        <v>23</v>
      </c>
      <c r="C5739" s="24" t="s">
        <v>5</v>
      </c>
      <c r="D5739" s="24">
        <v>7.1</v>
      </c>
      <c r="E5739" s="24" t="s">
        <v>796</v>
      </c>
      <c r="F5739" s="24" t="s">
        <v>1177</v>
      </c>
      <c r="G5739" s="24">
        <v>171319</v>
      </c>
    </row>
    <row r="5740" spans="1:7" x14ac:dyDescent="0.25">
      <c r="A5740" s="24" t="s">
        <v>672</v>
      </c>
      <c r="B5740" s="24" t="s">
        <v>26</v>
      </c>
      <c r="C5740" s="24" t="s">
        <v>5</v>
      </c>
      <c r="D5740" s="24">
        <v>0.62</v>
      </c>
      <c r="E5740" s="24" t="s">
        <v>799</v>
      </c>
      <c r="F5740" s="24" t="s">
        <v>1177</v>
      </c>
      <c r="G5740" s="24">
        <v>171319</v>
      </c>
    </row>
    <row r="5741" spans="1:7" x14ac:dyDescent="0.25">
      <c r="A5741" s="24" t="s">
        <v>672</v>
      </c>
      <c r="B5741" s="24" t="s">
        <v>27</v>
      </c>
      <c r="C5741" s="24" t="s">
        <v>5</v>
      </c>
      <c r="D5741" s="24">
        <v>0.81</v>
      </c>
      <c r="E5741" s="24" t="s">
        <v>799</v>
      </c>
      <c r="F5741" s="24" t="s">
        <v>1177</v>
      </c>
      <c r="G5741" s="24">
        <v>171319</v>
      </c>
    </row>
    <row r="5742" spans="1:7" x14ac:dyDescent="0.25">
      <c r="A5742" s="24" t="s">
        <v>672</v>
      </c>
      <c r="B5742" s="24" t="s">
        <v>28</v>
      </c>
      <c r="C5742" s="24" t="s">
        <v>5</v>
      </c>
      <c r="D5742" s="24">
        <v>2.02</v>
      </c>
      <c r="E5742" s="24" t="s">
        <v>799</v>
      </c>
      <c r="F5742" s="24" t="s">
        <v>1177</v>
      </c>
      <c r="G5742" s="24">
        <v>171319</v>
      </c>
    </row>
    <row r="5743" spans="1:7" x14ac:dyDescent="0.25">
      <c r="A5743" s="24" t="s">
        <v>672</v>
      </c>
      <c r="B5743" s="24" t="s">
        <v>29</v>
      </c>
      <c r="C5743" s="24" t="s">
        <v>5</v>
      </c>
      <c r="D5743" s="24">
        <v>0</v>
      </c>
      <c r="E5743" s="24" t="s">
        <v>799</v>
      </c>
      <c r="F5743" s="24" t="s">
        <v>1177</v>
      </c>
      <c r="G5743" s="24">
        <v>171319</v>
      </c>
    </row>
    <row r="5744" spans="1:7" x14ac:dyDescent="0.25">
      <c r="A5744" s="24" t="s">
        <v>672</v>
      </c>
      <c r="B5744" s="24" t="s">
        <v>30</v>
      </c>
      <c r="C5744" s="24" t="s">
        <v>31</v>
      </c>
      <c r="D5744" s="24">
        <v>0</v>
      </c>
      <c r="E5744" s="24" t="s">
        <v>801</v>
      </c>
      <c r="F5744" s="24" t="s">
        <v>1177</v>
      </c>
      <c r="G5744" s="24">
        <v>171319</v>
      </c>
    </row>
    <row r="5745" spans="1:7" x14ac:dyDescent="0.25">
      <c r="A5745" s="24" t="s">
        <v>672</v>
      </c>
      <c r="B5745" s="24" t="s">
        <v>32</v>
      </c>
      <c r="C5745" s="24" t="s">
        <v>33</v>
      </c>
      <c r="D5745" s="24">
        <v>1467.2</v>
      </c>
      <c r="E5745" s="24" t="s">
        <v>796</v>
      </c>
      <c r="F5745" s="24" t="s">
        <v>1177</v>
      </c>
      <c r="G5745" s="24">
        <v>171319</v>
      </c>
    </row>
    <row r="5746" spans="1:7" x14ac:dyDescent="0.25">
      <c r="A5746" s="24" t="s">
        <v>672</v>
      </c>
      <c r="B5746" s="24" t="s">
        <v>34</v>
      </c>
      <c r="C5746" s="24" t="s">
        <v>31</v>
      </c>
      <c r="D5746" s="24">
        <v>0.7</v>
      </c>
      <c r="E5746" s="24" t="s">
        <v>796</v>
      </c>
      <c r="F5746" s="24" t="s">
        <v>1177</v>
      </c>
      <c r="G5746" s="24">
        <v>171319</v>
      </c>
    </row>
    <row r="5747" spans="1:7" x14ac:dyDescent="0.25">
      <c r="A5747" s="24" t="s">
        <v>672</v>
      </c>
      <c r="B5747" s="24" t="s">
        <v>35</v>
      </c>
      <c r="C5747" s="24" t="s">
        <v>36</v>
      </c>
      <c r="D5747" s="24">
        <v>0</v>
      </c>
      <c r="E5747" s="24" t="s">
        <v>796</v>
      </c>
      <c r="F5747" s="24" t="s">
        <v>1177</v>
      </c>
      <c r="G5747" s="24">
        <v>171319</v>
      </c>
    </row>
    <row r="5748" spans="1:7" x14ac:dyDescent="0.25">
      <c r="A5748" s="24" t="s">
        <v>672</v>
      </c>
      <c r="B5748" s="24" t="s">
        <v>37</v>
      </c>
      <c r="C5748" s="24" t="s">
        <v>38</v>
      </c>
      <c r="D5748" s="24">
        <v>37.700000000000003</v>
      </c>
      <c r="E5748" s="24" t="s">
        <v>796</v>
      </c>
      <c r="F5748" s="24" t="s">
        <v>1177</v>
      </c>
      <c r="G5748" s="24">
        <v>171319</v>
      </c>
    </row>
    <row r="5749" spans="1:7" x14ac:dyDescent="0.25">
      <c r="A5749" s="24" t="s">
        <v>672</v>
      </c>
      <c r="B5749" s="24" t="s">
        <v>39</v>
      </c>
      <c r="C5749" s="24" t="s">
        <v>36</v>
      </c>
      <c r="D5749" s="24">
        <v>104.6</v>
      </c>
      <c r="E5749" s="24" t="s">
        <v>796</v>
      </c>
      <c r="F5749" s="24" t="s">
        <v>1177</v>
      </c>
      <c r="G5749" s="24">
        <v>171319</v>
      </c>
    </row>
    <row r="5750" spans="1:7" x14ac:dyDescent="0.25">
      <c r="A5750" s="24" t="s">
        <v>672</v>
      </c>
      <c r="B5750" s="24" t="s">
        <v>40</v>
      </c>
      <c r="C5750" s="24" t="s">
        <v>31</v>
      </c>
      <c r="D5750" s="24">
        <v>0.2</v>
      </c>
      <c r="E5750" s="24" t="s">
        <v>796</v>
      </c>
      <c r="F5750" s="24" t="s">
        <v>1177</v>
      </c>
      <c r="G5750" s="24">
        <v>171319</v>
      </c>
    </row>
    <row r="5751" spans="1:7" x14ac:dyDescent="0.25">
      <c r="A5751" s="24" t="s">
        <v>672</v>
      </c>
      <c r="B5751" s="24" t="s">
        <v>41</v>
      </c>
      <c r="C5751" s="24" t="s">
        <v>31</v>
      </c>
      <c r="D5751" s="24">
        <v>0.9</v>
      </c>
      <c r="E5751" s="24" t="s">
        <v>796</v>
      </c>
      <c r="F5751" s="24" t="s">
        <v>1177</v>
      </c>
      <c r="G5751" s="24">
        <v>171319</v>
      </c>
    </row>
    <row r="5752" spans="1:7" x14ac:dyDescent="0.25">
      <c r="A5752" s="24" t="s">
        <v>672</v>
      </c>
      <c r="B5752" s="24" t="s">
        <v>42</v>
      </c>
      <c r="C5752" s="24" t="s">
        <v>43</v>
      </c>
      <c r="D5752" s="24">
        <v>11.5</v>
      </c>
      <c r="E5752" s="24" t="s">
        <v>796</v>
      </c>
      <c r="F5752" s="24" t="s">
        <v>1177</v>
      </c>
      <c r="G5752" s="24">
        <v>171319</v>
      </c>
    </row>
    <row r="5753" spans="1:7" x14ac:dyDescent="0.25">
      <c r="A5753" s="24" t="s">
        <v>672</v>
      </c>
      <c r="B5753" s="24" t="s">
        <v>44</v>
      </c>
      <c r="C5753" s="24" t="s">
        <v>31</v>
      </c>
      <c r="D5753" s="24">
        <v>2.1</v>
      </c>
      <c r="E5753" s="24" t="s">
        <v>796</v>
      </c>
      <c r="F5753" s="24" t="s">
        <v>1177</v>
      </c>
      <c r="G5753" s="24">
        <v>171319</v>
      </c>
    </row>
    <row r="5754" spans="1:7" x14ac:dyDescent="0.25">
      <c r="A5754" s="24" t="s">
        <v>672</v>
      </c>
      <c r="B5754" s="24" t="s">
        <v>45</v>
      </c>
      <c r="C5754" s="24" t="s">
        <v>31</v>
      </c>
      <c r="D5754" s="24">
        <v>0.9</v>
      </c>
      <c r="E5754" s="24" t="s">
        <v>796</v>
      </c>
      <c r="F5754" s="24" t="s">
        <v>1177</v>
      </c>
      <c r="G5754" s="24">
        <v>171319</v>
      </c>
    </row>
    <row r="5755" spans="1:7" x14ac:dyDescent="0.25">
      <c r="A5755" s="24" t="s">
        <v>672</v>
      </c>
      <c r="B5755" s="24" t="s">
        <v>46</v>
      </c>
      <c r="C5755" s="24" t="s">
        <v>36</v>
      </c>
      <c r="D5755" s="24">
        <v>0</v>
      </c>
      <c r="E5755" s="24" t="s">
        <v>796</v>
      </c>
      <c r="F5755" s="24" t="s">
        <v>1177</v>
      </c>
      <c r="G5755" s="24">
        <v>171319</v>
      </c>
    </row>
    <row r="5756" spans="1:7" x14ac:dyDescent="0.25">
      <c r="A5756" s="24" t="s">
        <v>672</v>
      </c>
      <c r="B5756" s="24" t="s">
        <v>47</v>
      </c>
      <c r="C5756" s="24" t="s">
        <v>48</v>
      </c>
      <c r="D5756" s="24">
        <v>27.7</v>
      </c>
      <c r="E5756" s="24" t="s">
        <v>796</v>
      </c>
      <c r="F5756" s="24" t="s">
        <v>1177</v>
      </c>
      <c r="G5756" s="24">
        <v>171319</v>
      </c>
    </row>
    <row r="5757" spans="1:7" x14ac:dyDescent="0.25">
      <c r="A5757" s="24" t="s">
        <v>672</v>
      </c>
      <c r="B5757" s="24" t="s">
        <v>50</v>
      </c>
      <c r="C5757" s="24" t="s">
        <v>31</v>
      </c>
      <c r="D5757" s="24">
        <v>1929.2</v>
      </c>
      <c r="E5757" s="24" t="s">
        <v>796</v>
      </c>
      <c r="F5757" s="24" t="s">
        <v>1177</v>
      </c>
      <c r="G5757" s="24">
        <v>171319</v>
      </c>
    </row>
    <row r="5758" spans="1:7" x14ac:dyDescent="0.25">
      <c r="A5758" s="24" t="s">
        <v>672</v>
      </c>
      <c r="B5758" s="24" t="s">
        <v>51</v>
      </c>
      <c r="C5758" s="24" t="s">
        <v>31</v>
      </c>
      <c r="D5758" s="24">
        <v>326.5</v>
      </c>
      <c r="E5758" s="24" t="s">
        <v>796</v>
      </c>
      <c r="F5758" s="24" t="s">
        <v>1177</v>
      </c>
      <c r="G5758" s="24">
        <v>171319</v>
      </c>
    </row>
    <row r="5759" spans="1:7" x14ac:dyDescent="0.25">
      <c r="A5759" s="24" t="s">
        <v>672</v>
      </c>
      <c r="B5759" s="24" t="s">
        <v>52</v>
      </c>
      <c r="C5759" s="24" t="s">
        <v>31</v>
      </c>
      <c r="D5759" s="24">
        <v>296.8</v>
      </c>
      <c r="E5759" s="24" t="s">
        <v>796</v>
      </c>
      <c r="F5759" s="24" t="s">
        <v>1177</v>
      </c>
      <c r="G5759" s="24">
        <v>171319</v>
      </c>
    </row>
    <row r="5760" spans="1:7" x14ac:dyDescent="0.25">
      <c r="A5760" s="24" t="s">
        <v>672</v>
      </c>
      <c r="B5760" s="24" t="s">
        <v>53</v>
      </c>
      <c r="C5760" s="24" t="s">
        <v>31</v>
      </c>
      <c r="D5760" s="24">
        <v>147.4</v>
      </c>
      <c r="E5760" s="24" t="s">
        <v>796</v>
      </c>
      <c r="F5760" s="24" t="s">
        <v>1177</v>
      </c>
      <c r="G5760" s="24">
        <v>171319</v>
      </c>
    </row>
    <row r="5761" spans="1:7" x14ac:dyDescent="0.25">
      <c r="A5761" s="24" t="s">
        <v>672</v>
      </c>
      <c r="B5761" s="24" t="s">
        <v>54</v>
      </c>
      <c r="C5761" s="24" t="s">
        <v>31</v>
      </c>
      <c r="D5761" s="24">
        <v>17.100000000000001</v>
      </c>
      <c r="E5761" s="24" t="s">
        <v>796</v>
      </c>
      <c r="F5761" s="24" t="s">
        <v>1177</v>
      </c>
      <c r="G5761" s="24">
        <v>171319</v>
      </c>
    </row>
    <row r="5762" spans="1:7" x14ac:dyDescent="0.25">
      <c r="A5762" s="24" t="s">
        <v>672</v>
      </c>
      <c r="B5762" s="24" t="s">
        <v>55</v>
      </c>
      <c r="C5762" s="24" t="s">
        <v>31</v>
      </c>
      <c r="D5762" s="24">
        <v>4.3</v>
      </c>
      <c r="E5762" s="24" t="s">
        <v>796</v>
      </c>
      <c r="F5762" s="24" t="s">
        <v>1177</v>
      </c>
      <c r="G5762" s="24">
        <v>171319</v>
      </c>
    </row>
    <row r="5763" spans="1:7" x14ac:dyDescent="0.25">
      <c r="A5763" s="24" t="s">
        <v>672</v>
      </c>
      <c r="B5763" s="24" t="s">
        <v>56</v>
      </c>
      <c r="C5763" s="24" t="s">
        <v>31</v>
      </c>
      <c r="D5763" s="24">
        <v>1</v>
      </c>
      <c r="E5763" s="24" t="s">
        <v>796</v>
      </c>
      <c r="F5763" s="24" t="s">
        <v>1177</v>
      </c>
      <c r="G5763" s="24">
        <v>171319</v>
      </c>
    </row>
    <row r="5764" spans="1:7" x14ac:dyDescent="0.25">
      <c r="A5764" s="24" t="s">
        <v>672</v>
      </c>
      <c r="B5764" s="24" t="s">
        <v>57</v>
      </c>
      <c r="C5764" s="24" t="s">
        <v>36</v>
      </c>
      <c r="D5764" s="24">
        <v>20.2</v>
      </c>
      <c r="E5764" s="24" t="s">
        <v>796</v>
      </c>
      <c r="F5764" s="24" t="s">
        <v>1177</v>
      </c>
      <c r="G5764" s="24">
        <v>171319</v>
      </c>
    </row>
    <row r="5765" spans="1:7" x14ac:dyDescent="0.25">
      <c r="A5765" s="24" t="s">
        <v>672</v>
      </c>
      <c r="B5765" s="24" t="s">
        <v>58</v>
      </c>
      <c r="C5765" s="24" t="s">
        <v>5</v>
      </c>
      <c r="D5765" s="24">
        <v>0</v>
      </c>
      <c r="E5765" s="24" t="s">
        <v>795</v>
      </c>
      <c r="F5765" s="24"/>
      <c r="G5765" s="24"/>
    </row>
    <row r="5766" spans="1:7" x14ac:dyDescent="0.25">
      <c r="A5766" s="24" t="s">
        <v>673</v>
      </c>
      <c r="B5766" s="24" t="s">
        <v>29</v>
      </c>
      <c r="C5766" s="24" t="s">
        <v>5</v>
      </c>
      <c r="D5766" s="24">
        <v>0</v>
      </c>
      <c r="E5766" s="24" t="s">
        <v>940</v>
      </c>
      <c r="F5766" s="24"/>
      <c r="G5766" s="24"/>
    </row>
    <row r="5767" spans="1:7" x14ac:dyDescent="0.25">
      <c r="A5767" s="24" t="s">
        <v>673</v>
      </c>
      <c r="B5767" s="24" t="s">
        <v>58</v>
      </c>
      <c r="C5767" s="24" t="s">
        <v>5</v>
      </c>
      <c r="D5767" s="24">
        <v>0</v>
      </c>
      <c r="E5767" s="24" t="s">
        <v>795</v>
      </c>
      <c r="F5767" s="24"/>
      <c r="G5767" s="24"/>
    </row>
    <row r="5768" spans="1:7" x14ac:dyDescent="0.25">
      <c r="A5768" s="24" t="s">
        <v>674</v>
      </c>
      <c r="B5768" s="24" t="s">
        <v>29</v>
      </c>
      <c r="C5768" s="24" t="s">
        <v>5</v>
      </c>
      <c r="D5768" s="24">
        <v>0</v>
      </c>
      <c r="E5768" s="24" t="s">
        <v>799</v>
      </c>
      <c r="F5768" s="24" t="s">
        <v>1180</v>
      </c>
      <c r="G5768" s="24">
        <v>171328</v>
      </c>
    </row>
    <row r="5769" spans="1:7" x14ac:dyDescent="0.25">
      <c r="A5769" s="24" t="s">
        <v>674</v>
      </c>
      <c r="B5769" s="24" t="s">
        <v>58</v>
      </c>
      <c r="C5769" s="24" t="s">
        <v>5</v>
      </c>
      <c r="D5769" s="24">
        <v>0</v>
      </c>
      <c r="E5769" s="24" t="s">
        <v>795</v>
      </c>
      <c r="F5769" s="24"/>
      <c r="G5769" s="24"/>
    </row>
    <row r="5770" spans="1:7" x14ac:dyDescent="0.25">
      <c r="A5770" s="24" t="s">
        <v>675</v>
      </c>
      <c r="B5770" s="24" t="s">
        <v>29</v>
      </c>
      <c r="C5770" s="24" t="s">
        <v>5</v>
      </c>
      <c r="D5770" s="24">
        <v>0</v>
      </c>
      <c r="E5770" s="24" t="s">
        <v>799</v>
      </c>
      <c r="F5770" s="24" t="s">
        <v>1181</v>
      </c>
      <c r="G5770" s="24">
        <v>171329</v>
      </c>
    </row>
    <row r="5771" spans="1:7" x14ac:dyDescent="0.25">
      <c r="A5771" s="24" t="s">
        <v>675</v>
      </c>
      <c r="B5771" s="24" t="s">
        <v>58</v>
      </c>
      <c r="C5771" s="24" t="s">
        <v>5</v>
      </c>
      <c r="D5771" s="24">
        <v>0</v>
      </c>
      <c r="E5771" s="24" t="s">
        <v>795</v>
      </c>
      <c r="F5771" s="24"/>
      <c r="G5771" s="24"/>
    </row>
    <row r="5772" spans="1:7" x14ac:dyDescent="0.25">
      <c r="A5772" s="24" t="s">
        <v>676</v>
      </c>
      <c r="B5772" s="24" t="s">
        <v>26</v>
      </c>
      <c r="C5772" s="24" t="s">
        <v>5</v>
      </c>
      <c r="D5772" s="24">
        <v>0.12</v>
      </c>
      <c r="E5772" s="24" t="s">
        <v>799</v>
      </c>
      <c r="F5772" s="24" t="s">
        <v>1181</v>
      </c>
      <c r="G5772" s="24">
        <v>171329</v>
      </c>
    </row>
    <row r="5773" spans="1:7" x14ac:dyDescent="0.25">
      <c r="A5773" s="24" t="s">
        <v>676</v>
      </c>
      <c r="B5773" s="24" t="s">
        <v>27</v>
      </c>
      <c r="C5773" s="24" t="s">
        <v>5</v>
      </c>
      <c r="D5773" s="24">
        <v>0.09</v>
      </c>
      <c r="E5773" s="24" t="s">
        <v>799</v>
      </c>
      <c r="F5773" s="24" t="s">
        <v>1181</v>
      </c>
      <c r="G5773" s="24">
        <v>171329</v>
      </c>
    </row>
    <row r="5774" spans="1:7" x14ac:dyDescent="0.25">
      <c r="A5774" s="24" t="s">
        <v>676</v>
      </c>
      <c r="B5774" s="24" t="s">
        <v>28</v>
      </c>
      <c r="C5774" s="24" t="s">
        <v>5</v>
      </c>
      <c r="D5774" s="24">
        <v>0.42</v>
      </c>
      <c r="E5774" s="24" t="s">
        <v>799</v>
      </c>
      <c r="F5774" s="24" t="s">
        <v>1181</v>
      </c>
      <c r="G5774" s="24">
        <v>171329</v>
      </c>
    </row>
    <row r="5775" spans="1:7" x14ac:dyDescent="0.25">
      <c r="A5775" s="24" t="s">
        <v>676</v>
      </c>
      <c r="B5775" s="24" t="s">
        <v>29</v>
      </c>
      <c r="C5775" s="24" t="s">
        <v>5</v>
      </c>
      <c r="D5775" s="24">
        <v>0</v>
      </c>
      <c r="E5775" s="24" t="s">
        <v>799</v>
      </c>
      <c r="F5775" s="24" t="s">
        <v>1181</v>
      </c>
      <c r="G5775" s="24">
        <v>171329</v>
      </c>
    </row>
    <row r="5776" spans="1:7" x14ac:dyDescent="0.25">
      <c r="A5776" s="24" t="s">
        <v>676</v>
      </c>
      <c r="B5776" s="24" t="s">
        <v>30</v>
      </c>
      <c r="C5776" s="24" t="s">
        <v>31</v>
      </c>
      <c r="D5776" s="24">
        <v>0</v>
      </c>
      <c r="E5776" s="24" t="s">
        <v>801</v>
      </c>
      <c r="F5776" s="24" t="s">
        <v>1181</v>
      </c>
      <c r="G5776" s="24">
        <v>171329</v>
      </c>
    </row>
    <row r="5777" spans="1:7" x14ac:dyDescent="0.25">
      <c r="A5777" s="24" t="s">
        <v>676</v>
      </c>
      <c r="B5777" s="24" t="s">
        <v>32</v>
      </c>
      <c r="C5777" s="24" t="s">
        <v>33</v>
      </c>
      <c r="D5777" s="24">
        <v>2386.4</v>
      </c>
      <c r="E5777" s="24" t="s">
        <v>796</v>
      </c>
      <c r="F5777" s="24" t="s">
        <v>1181</v>
      </c>
      <c r="G5777" s="24">
        <v>171329</v>
      </c>
    </row>
    <row r="5778" spans="1:7" x14ac:dyDescent="0.25">
      <c r="A5778" s="24" t="s">
        <v>676</v>
      </c>
      <c r="B5778" s="24" t="s">
        <v>34</v>
      </c>
      <c r="C5778" s="24" t="s">
        <v>31</v>
      </c>
      <c r="D5778" s="24">
        <v>0.9</v>
      </c>
      <c r="E5778" s="24" t="s">
        <v>796</v>
      </c>
      <c r="F5778" s="24" t="s">
        <v>1181</v>
      </c>
      <c r="G5778" s="24">
        <v>171329</v>
      </c>
    </row>
    <row r="5779" spans="1:7" x14ac:dyDescent="0.25">
      <c r="A5779" s="24" t="s">
        <v>676</v>
      </c>
      <c r="B5779" s="24" t="s">
        <v>35</v>
      </c>
      <c r="C5779" s="24" t="s">
        <v>36</v>
      </c>
      <c r="D5779" s="24">
        <v>0</v>
      </c>
      <c r="E5779" s="24" t="s">
        <v>796</v>
      </c>
      <c r="F5779" s="24" t="s">
        <v>1181</v>
      </c>
      <c r="G5779" s="24">
        <v>171329</v>
      </c>
    </row>
    <row r="5780" spans="1:7" x14ac:dyDescent="0.25">
      <c r="A5780" s="24" t="s">
        <v>676</v>
      </c>
      <c r="B5780" s="24" t="s">
        <v>37</v>
      </c>
      <c r="C5780" s="24" t="s">
        <v>38</v>
      </c>
      <c r="D5780" s="24">
        <v>28.2</v>
      </c>
      <c r="E5780" s="24" t="s">
        <v>796</v>
      </c>
      <c r="F5780" s="24" t="s">
        <v>1181</v>
      </c>
      <c r="G5780" s="24">
        <v>171329</v>
      </c>
    </row>
    <row r="5781" spans="1:7" x14ac:dyDescent="0.25">
      <c r="A5781" s="24" t="s">
        <v>676</v>
      </c>
      <c r="B5781" s="24" t="s">
        <v>39</v>
      </c>
      <c r="C5781" s="24" t="s">
        <v>36</v>
      </c>
      <c r="D5781" s="24">
        <v>77.8</v>
      </c>
      <c r="E5781" s="24" t="s">
        <v>796</v>
      </c>
      <c r="F5781" s="24" t="s">
        <v>1181</v>
      </c>
      <c r="G5781" s="24">
        <v>171329</v>
      </c>
    </row>
    <row r="5782" spans="1:7" x14ac:dyDescent="0.25">
      <c r="A5782" s="24" t="s">
        <v>676</v>
      </c>
      <c r="B5782" s="24" t="s">
        <v>40</v>
      </c>
      <c r="C5782" s="24" t="s">
        <v>31</v>
      </c>
      <c r="D5782" s="24">
        <v>0.3</v>
      </c>
      <c r="E5782" s="24" t="s">
        <v>796</v>
      </c>
      <c r="F5782" s="24" t="s">
        <v>1181</v>
      </c>
      <c r="G5782" s="24">
        <v>171329</v>
      </c>
    </row>
    <row r="5783" spans="1:7" x14ac:dyDescent="0.25">
      <c r="A5783" s="24" t="s">
        <v>676</v>
      </c>
      <c r="B5783" s="24" t="s">
        <v>41</v>
      </c>
      <c r="C5783" s="24" t="s">
        <v>31</v>
      </c>
      <c r="D5783" s="24">
        <v>1.2</v>
      </c>
      <c r="E5783" s="24" t="s">
        <v>796</v>
      </c>
      <c r="F5783" s="24" t="s">
        <v>1181</v>
      </c>
      <c r="G5783" s="24">
        <v>171329</v>
      </c>
    </row>
    <row r="5784" spans="1:7" x14ac:dyDescent="0.25">
      <c r="A5784" s="24" t="s">
        <v>676</v>
      </c>
      <c r="B5784" s="24" t="s">
        <v>42</v>
      </c>
      <c r="C5784" s="24" t="s">
        <v>43</v>
      </c>
      <c r="D5784" s="24">
        <v>9.6999999999999993</v>
      </c>
      <c r="E5784" s="24" t="s">
        <v>796</v>
      </c>
      <c r="F5784" s="24" t="s">
        <v>1181</v>
      </c>
      <c r="G5784" s="24">
        <v>171329</v>
      </c>
    </row>
    <row r="5785" spans="1:7" x14ac:dyDescent="0.25">
      <c r="A5785" s="24" t="s">
        <v>676</v>
      </c>
      <c r="B5785" s="24" t="s">
        <v>44</v>
      </c>
      <c r="C5785" s="24" t="s">
        <v>31</v>
      </c>
      <c r="D5785" s="24">
        <v>2.1</v>
      </c>
      <c r="E5785" s="24" t="s">
        <v>796</v>
      </c>
      <c r="F5785" s="24" t="s">
        <v>1181</v>
      </c>
      <c r="G5785" s="24">
        <v>171329</v>
      </c>
    </row>
    <row r="5786" spans="1:7" x14ac:dyDescent="0.25">
      <c r="A5786" s="24" t="s">
        <v>676</v>
      </c>
      <c r="B5786" s="24" t="s">
        <v>45</v>
      </c>
      <c r="C5786" s="24" t="s">
        <v>31</v>
      </c>
      <c r="D5786" s="24">
        <v>2.4</v>
      </c>
      <c r="E5786" s="24" t="s">
        <v>796</v>
      </c>
      <c r="F5786" s="24" t="s">
        <v>1181</v>
      </c>
      <c r="G5786" s="24">
        <v>171329</v>
      </c>
    </row>
    <row r="5787" spans="1:7" x14ac:dyDescent="0.25">
      <c r="A5787" s="24" t="s">
        <v>676</v>
      </c>
      <c r="B5787" s="24" t="s">
        <v>46</v>
      </c>
      <c r="C5787" s="24" t="s">
        <v>36</v>
      </c>
      <c r="D5787" s="24">
        <v>0</v>
      </c>
      <c r="E5787" s="24" t="s">
        <v>796</v>
      </c>
      <c r="F5787" s="24" t="s">
        <v>1181</v>
      </c>
      <c r="G5787" s="24">
        <v>171329</v>
      </c>
    </row>
    <row r="5788" spans="1:7" x14ac:dyDescent="0.25">
      <c r="A5788" s="24" t="s">
        <v>676</v>
      </c>
      <c r="B5788" s="24" t="s">
        <v>47</v>
      </c>
      <c r="C5788" s="24" t="s">
        <v>48</v>
      </c>
      <c r="D5788" s="24">
        <v>47.5</v>
      </c>
      <c r="E5788" s="24" t="s">
        <v>796</v>
      </c>
      <c r="F5788" s="24" t="s">
        <v>1181</v>
      </c>
      <c r="G5788" s="24">
        <v>171329</v>
      </c>
    </row>
    <row r="5789" spans="1:7" x14ac:dyDescent="0.25">
      <c r="A5789" s="24" t="s">
        <v>676</v>
      </c>
      <c r="B5789" s="24" t="s">
        <v>50</v>
      </c>
      <c r="C5789" s="24" t="s">
        <v>31</v>
      </c>
      <c r="D5789" s="24">
        <v>2209.1</v>
      </c>
      <c r="E5789" s="24" t="s">
        <v>796</v>
      </c>
      <c r="F5789" s="24" t="s">
        <v>1181</v>
      </c>
      <c r="G5789" s="24">
        <v>171329</v>
      </c>
    </row>
    <row r="5790" spans="1:7" x14ac:dyDescent="0.25">
      <c r="A5790" s="24" t="s">
        <v>676</v>
      </c>
      <c r="B5790" s="24" t="s">
        <v>51</v>
      </c>
      <c r="C5790" s="24" t="s">
        <v>31</v>
      </c>
      <c r="D5790" s="24">
        <v>221.9</v>
      </c>
      <c r="E5790" s="24" t="s">
        <v>796</v>
      </c>
      <c r="F5790" s="24" t="s">
        <v>1181</v>
      </c>
      <c r="G5790" s="24">
        <v>171329</v>
      </c>
    </row>
    <row r="5791" spans="1:7" x14ac:dyDescent="0.25">
      <c r="A5791" s="24" t="s">
        <v>676</v>
      </c>
      <c r="B5791" s="24" t="s">
        <v>52</v>
      </c>
      <c r="C5791" s="24" t="s">
        <v>31</v>
      </c>
      <c r="D5791" s="24">
        <v>304.2</v>
      </c>
      <c r="E5791" s="24" t="s">
        <v>796</v>
      </c>
      <c r="F5791" s="24" t="s">
        <v>1181</v>
      </c>
      <c r="G5791" s="24">
        <v>171329</v>
      </c>
    </row>
    <row r="5792" spans="1:7" x14ac:dyDescent="0.25">
      <c r="A5792" s="24" t="s">
        <v>676</v>
      </c>
      <c r="B5792" s="24" t="s">
        <v>53</v>
      </c>
      <c r="C5792" s="24" t="s">
        <v>31</v>
      </c>
      <c r="D5792" s="24">
        <v>172.5</v>
      </c>
      <c r="E5792" s="24" t="s">
        <v>796</v>
      </c>
      <c r="F5792" s="24" t="s">
        <v>1181</v>
      </c>
      <c r="G5792" s="24">
        <v>171329</v>
      </c>
    </row>
    <row r="5793" spans="1:7" x14ac:dyDescent="0.25">
      <c r="A5793" s="24" t="s">
        <v>676</v>
      </c>
      <c r="B5793" s="24" t="s">
        <v>54</v>
      </c>
      <c r="C5793" s="24" t="s">
        <v>31</v>
      </c>
      <c r="D5793" s="24">
        <v>20.5</v>
      </c>
      <c r="E5793" s="24" t="s">
        <v>796</v>
      </c>
      <c r="F5793" s="24" t="s">
        <v>1181</v>
      </c>
      <c r="G5793" s="24">
        <v>171329</v>
      </c>
    </row>
    <row r="5794" spans="1:7" x14ac:dyDescent="0.25">
      <c r="A5794" s="24" t="s">
        <v>676</v>
      </c>
      <c r="B5794" s="24" t="s">
        <v>55</v>
      </c>
      <c r="C5794" s="24" t="s">
        <v>31</v>
      </c>
      <c r="D5794" s="24">
        <v>4.2</v>
      </c>
      <c r="E5794" s="24" t="s">
        <v>796</v>
      </c>
      <c r="F5794" s="24" t="s">
        <v>1181</v>
      </c>
      <c r="G5794" s="24">
        <v>171329</v>
      </c>
    </row>
    <row r="5795" spans="1:7" x14ac:dyDescent="0.25">
      <c r="A5795" s="24" t="s">
        <v>676</v>
      </c>
      <c r="B5795" s="24" t="s">
        <v>56</v>
      </c>
      <c r="C5795" s="24" t="s">
        <v>31</v>
      </c>
      <c r="D5795" s="24">
        <v>0.7</v>
      </c>
      <c r="E5795" s="24" t="s">
        <v>796</v>
      </c>
      <c r="F5795" s="24" t="s">
        <v>1181</v>
      </c>
      <c r="G5795" s="24">
        <v>171329</v>
      </c>
    </row>
    <row r="5796" spans="1:7" x14ac:dyDescent="0.25">
      <c r="A5796" s="24" t="s">
        <v>676</v>
      </c>
      <c r="B5796" s="24" t="s">
        <v>57</v>
      </c>
      <c r="C5796" s="24" t="s">
        <v>36</v>
      </c>
      <c r="D5796" s="24">
        <v>6.1</v>
      </c>
      <c r="E5796" s="24" t="s">
        <v>796</v>
      </c>
      <c r="F5796" s="24" t="s">
        <v>1181</v>
      </c>
      <c r="G5796" s="24">
        <v>171329</v>
      </c>
    </row>
    <row r="5797" spans="1:7" x14ac:dyDescent="0.25">
      <c r="A5797" s="24" t="s">
        <v>676</v>
      </c>
      <c r="B5797" s="24" t="s">
        <v>58</v>
      </c>
      <c r="C5797" s="24" t="s">
        <v>5</v>
      </c>
      <c r="D5797" s="24">
        <v>0</v>
      </c>
      <c r="E5797" s="24" t="s">
        <v>795</v>
      </c>
      <c r="F5797" s="24"/>
      <c r="G5797" s="24"/>
    </row>
    <row r="5798" spans="1:7" x14ac:dyDescent="0.25">
      <c r="A5798" s="24" t="s">
        <v>677</v>
      </c>
      <c r="B5798" s="24" t="s">
        <v>29</v>
      </c>
      <c r="C5798" s="24" t="s">
        <v>5</v>
      </c>
      <c r="D5798" s="24">
        <v>0</v>
      </c>
      <c r="E5798" s="24" t="s">
        <v>799</v>
      </c>
      <c r="F5798" s="24" t="s">
        <v>1182</v>
      </c>
      <c r="G5798" s="24">
        <v>170416</v>
      </c>
    </row>
    <row r="5799" spans="1:7" x14ac:dyDescent="0.25">
      <c r="A5799" s="24" t="s">
        <v>677</v>
      </c>
      <c r="B5799" s="24" t="s">
        <v>58</v>
      </c>
      <c r="C5799" s="24" t="s">
        <v>5</v>
      </c>
      <c r="D5799" s="24">
        <v>0</v>
      </c>
      <c r="E5799" s="24" t="s">
        <v>795</v>
      </c>
      <c r="F5799" s="24"/>
      <c r="G5799" s="24"/>
    </row>
    <row r="5800" spans="1:7" x14ac:dyDescent="0.25">
      <c r="A5800" s="24" t="s">
        <v>678</v>
      </c>
      <c r="B5800" s="24" t="s">
        <v>29</v>
      </c>
      <c r="C5800" s="24" t="s">
        <v>5</v>
      </c>
      <c r="D5800" s="24">
        <v>0</v>
      </c>
      <c r="E5800" s="24" t="s">
        <v>799</v>
      </c>
      <c r="F5800" s="24" t="s">
        <v>1183</v>
      </c>
      <c r="G5800" s="24">
        <v>170930</v>
      </c>
    </row>
    <row r="5801" spans="1:7" x14ac:dyDescent="0.25">
      <c r="A5801" s="24" t="s">
        <v>678</v>
      </c>
      <c r="B5801" s="24" t="s">
        <v>58</v>
      </c>
      <c r="C5801" s="24" t="s">
        <v>5</v>
      </c>
      <c r="D5801" s="24">
        <v>0</v>
      </c>
      <c r="E5801" s="24" t="s">
        <v>795</v>
      </c>
      <c r="F5801" s="24"/>
      <c r="G5801" s="24"/>
    </row>
    <row r="5802" spans="1:7" x14ac:dyDescent="0.25">
      <c r="A5802" s="24" t="s">
        <v>679</v>
      </c>
      <c r="B5802" s="24" t="s">
        <v>29</v>
      </c>
      <c r="C5802" s="24" t="s">
        <v>5</v>
      </c>
      <c r="D5802" s="24">
        <v>0</v>
      </c>
      <c r="E5802" s="24" t="s">
        <v>799</v>
      </c>
      <c r="F5802" s="24" t="s">
        <v>1184</v>
      </c>
      <c r="G5802" s="24">
        <v>170933</v>
      </c>
    </row>
    <row r="5803" spans="1:7" x14ac:dyDescent="0.25">
      <c r="A5803" s="24" t="s">
        <v>679</v>
      </c>
      <c r="B5803" s="24" t="s">
        <v>58</v>
      </c>
      <c r="C5803" s="24" t="s">
        <v>5</v>
      </c>
      <c r="D5803" s="24">
        <v>0</v>
      </c>
      <c r="E5803" s="24" t="s">
        <v>795</v>
      </c>
      <c r="F5803" s="24"/>
      <c r="G5803" s="24"/>
    </row>
    <row r="5804" spans="1:7" x14ac:dyDescent="0.25">
      <c r="A5804" s="24" t="s">
        <v>680</v>
      </c>
      <c r="B5804" s="24" t="s">
        <v>29</v>
      </c>
      <c r="C5804" s="24" t="s">
        <v>5</v>
      </c>
      <c r="D5804" s="24">
        <v>0</v>
      </c>
      <c r="E5804" s="24" t="s">
        <v>799</v>
      </c>
      <c r="F5804" s="24" t="s">
        <v>1185</v>
      </c>
      <c r="G5804" s="24">
        <v>170931</v>
      </c>
    </row>
    <row r="5805" spans="1:7" x14ac:dyDescent="0.25">
      <c r="A5805" s="24" t="s">
        <v>680</v>
      </c>
      <c r="B5805" s="24" t="s">
        <v>58</v>
      </c>
      <c r="C5805" s="24" t="s">
        <v>5</v>
      </c>
      <c r="D5805" s="24">
        <v>0</v>
      </c>
      <c r="E5805" s="24" t="s">
        <v>795</v>
      </c>
      <c r="F5805" s="24"/>
      <c r="G5805" s="24"/>
    </row>
    <row r="5806" spans="1:7" x14ac:dyDescent="0.25">
      <c r="A5806" s="24" t="s">
        <v>681</v>
      </c>
      <c r="B5806" s="24" t="s">
        <v>29</v>
      </c>
      <c r="C5806" s="24" t="s">
        <v>5</v>
      </c>
      <c r="D5806" s="24">
        <v>0</v>
      </c>
      <c r="E5806" s="24" t="s">
        <v>940</v>
      </c>
      <c r="F5806" s="24"/>
      <c r="G5806" s="24"/>
    </row>
    <row r="5807" spans="1:7" x14ac:dyDescent="0.25">
      <c r="A5807" s="24" t="s">
        <v>681</v>
      </c>
      <c r="B5807" s="24" t="s">
        <v>58</v>
      </c>
      <c r="C5807" s="24" t="s">
        <v>5</v>
      </c>
      <c r="D5807" s="24">
        <v>0</v>
      </c>
      <c r="E5807" s="24" t="s">
        <v>795</v>
      </c>
      <c r="F5807" s="24"/>
      <c r="G5807" s="24"/>
    </row>
    <row r="5808" spans="1:7" x14ac:dyDescent="0.25">
      <c r="A5808" s="24" t="s">
        <v>682</v>
      </c>
      <c r="B5808" s="24" t="s">
        <v>29</v>
      </c>
      <c r="C5808" s="24" t="s">
        <v>5</v>
      </c>
      <c r="D5808" s="24">
        <v>0</v>
      </c>
      <c r="E5808" s="24" t="s">
        <v>799</v>
      </c>
      <c r="F5808" s="24" t="s">
        <v>1186</v>
      </c>
      <c r="G5808" s="24">
        <v>173473</v>
      </c>
    </row>
    <row r="5809" spans="1:7" x14ac:dyDescent="0.25">
      <c r="A5809" s="24" t="s">
        <v>682</v>
      </c>
      <c r="B5809" s="24" t="s">
        <v>58</v>
      </c>
      <c r="C5809" s="24" t="s">
        <v>5</v>
      </c>
      <c r="D5809" s="24">
        <v>0</v>
      </c>
      <c r="E5809" s="24" t="s">
        <v>795</v>
      </c>
      <c r="F5809" s="24"/>
      <c r="G5809" s="24"/>
    </row>
    <row r="5810" spans="1:7" x14ac:dyDescent="0.25">
      <c r="A5810" s="24" t="s">
        <v>683</v>
      </c>
      <c r="B5810" s="24" t="s">
        <v>29</v>
      </c>
      <c r="C5810" s="24" t="s">
        <v>5</v>
      </c>
      <c r="D5810" s="24">
        <v>0</v>
      </c>
      <c r="E5810" s="24" t="s">
        <v>940</v>
      </c>
      <c r="F5810" s="24"/>
      <c r="G5810" s="24"/>
    </row>
    <row r="5811" spans="1:7" x14ac:dyDescent="0.25">
      <c r="A5811" s="24" t="s">
        <v>683</v>
      </c>
      <c r="B5811" s="24" t="s">
        <v>58</v>
      </c>
      <c r="C5811" s="24" t="s">
        <v>5</v>
      </c>
      <c r="D5811" s="24">
        <v>0</v>
      </c>
      <c r="E5811" s="24" t="s">
        <v>795</v>
      </c>
      <c r="F5811" s="24"/>
      <c r="G5811" s="24"/>
    </row>
    <row r="5812" spans="1:7" x14ac:dyDescent="0.25">
      <c r="A5812" s="24" t="s">
        <v>684</v>
      </c>
      <c r="B5812" s="24" t="s">
        <v>23</v>
      </c>
      <c r="C5812" s="24" t="s">
        <v>5</v>
      </c>
      <c r="D5812" s="24">
        <v>0</v>
      </c>
      <c r="E5812" s="24" t="s">
        <v>796</v>
      </c>
      <c r="F5812" s="24" t="s">
        <v>1187</v>
      </c>
      <c r="G5812" s="24">
        <v>173468</v>
      </c>
    </row>
    <row r="5813" spans="1:7" x14ac:dyDescent="0.25">
      <c r="A5813" s="24" t="s">
        <v>684</v>
      </c>
      <c r="B5813" s="24" t="s">
        <v>26</v>
      </c>
      <c r="C5813" s="24" t="s">
        <v>5</v>
      </c>
      <c r="D5813" s="24">
        <v>0</v>
      </c>
      <c r="E5813" s="24" t="s">
        <v>994</v>
      </c>
      <c r="F5813" s="24"/>
      <c r="G5813" s="24"/>
    </row>
    <row r="5814" spans="1:7" x14ac:dyDescent="0.25">
      <c r="A5814" s="24" t="s">
        <v>684</v>
      </c>
      <c r="B5814" s="24" t="s">
        <v>27</v>
      </c>
      <c r="C5814" s="24" t="s">
        <v>5</v>
      </c>
      <c r="D5814" s="24">
        <v>0</v>
      </c>
      <c r="E5814" s="24" t="s">
        <v>994</v>
      </c>
      <c r="F5814" s="24"/>
      <c r="G5814" s="24"/>
    </row>
    <row r="5815" spans="1:7" x14ac:dyDescent="0.25">
      <c r="A5815" s="24" t="s">
        <v>684</v>
      </c>
      <c r="B5815" s="24" t="s">
        <v>28</v>
      </c>
      <c r="C5815" s="24" t="s">
        <v>5</v>
      </c>
      <c r="D5815" s="24">
        <v>0</v>
      </c>
      <c r="E5815" s="24" t="s">
        <v>994</v>
      </c>
      <c r="F5815" s="24"/>
      <c r="G5815" s="24"/>
    </row>
    <row r="5816" spans="1:7" x14ac:dyDescent="0.25">
      <c r="A5816" s="24" t="s">
        <v>684</v>
      </c>
      <c r="B5816" s="24" t="s">
        <v>29</v>
      </c>
      <c r="C5816" s="24" t="s">
        <v>5</v>
      </c>
      <c r="D5816" s="24">
        <v>0</v>
      </c>
      <c r="E5816" s="24" t="s">
        <v>994</v>
      </c>
      <c r="F5816" s="24"/>
      <c r="G5816" s="24"/>
    </row>
    <row r="5817" spans="1:7" x14ac:dyDescent="0.25">
      <c r="A5817" s="24" t="s">
        <v>684</v>
      </c>
      <c r="B5817" s="24" t="s">
        <v>30</v>
      </c>
      <c r="C5817" s="24" t="s">
        <v>31</v>
      </c>
      <c r="D5817" s="24">
        <v>0</v>
      </c>
      <c r="E5817" s="24" t="s">
        <v>801</v>
      </c>
      <c r="F5817" s="24" t="s">
        <v>1187</v>
      </c>
      <c r="G5817" s="24">
        <v>173468</v>
      </c>
    </row>
    <row r="5818" spans="1:7" x14ac:dyDescent="0.25">
      <c r="A5818" s="24" t="s">
        <v>684</v>
      </c>
      <c r="B5818" s="24" t="s">
        <v>32</v>
      </c>
      <c r="C5818" s="24" t="s">
        <v>33</v>
      </c>
      <c r="D5818" s="24">
        <v>0</v>
      </c>
      <c r="E5818" s="24" t="s">
        <v>796</v>
      </c>
      <c r="F5818" s="24" t="s">
        <v>1187</v>
      </c>
      <c r="G5818" s="24">
        <v>173468</v>
      </c>
    </row>
    <row r="5819" spans="1:7" x14ac:dyDescent="0.25">
      <c r="A5819" s="24" t="s">
        <v>684</v>
      </c>
      <c r="B5819" s="24" t="s">
        <v>34</v>
      </c>
      <c r="C5819" s="24" t="s">
        <v>31</v>
      </c>
      <c r="D5819" s="24">
        <v>0</v>
      </c>
      <c r="E5819" s="24" t="s">
        <v>796</v>
      </c>
      <c r="F5819" s="24" t="s">
        <v>1187</v>
      </c>
      <c r="G5819" s="24">
        <v>173468</v>
      </c>
    </row>
    <row r="5820" spans="1:7" x14ac:dyDescent="0.25">
      <c r="A5820" s="24" t="s">
        <v>684</v>
      </c>
      <c r="B5820" s="24" t="s">
        <v>35</v>
      </c>
      <c r="C5820" s="24" t="s">
        <v>36</v>
      </c>
      <c r="D5820" s="24">
        <v>0</v>
      </c>
      <c r="E5820" s="24" t="s">
        <v>796</v>
      </c>
      <c r="F5820" s="24" t="s">
        <v>1187</v>
      </c>
      <c r="G5820" s="24">
        <v>173468</v>
      </c>
    </row>
    <row r="5821" spans="1:7" x14ac:dyDescent="0.25">
      <c r="A5821" s="24" t="s">
        <v>684</v>
      </c>
      <c r="B5821" s="24" t="s">
        <v>37</v>
      </c>
      <c r="C5821" s="24" t="s">
        <v>38</v>
      </c>
      <c r="D5821" s="24">
        <v>0</v>
      </c>
      <c r="E5821" s="24" t="s">
        <v>796</v>
      </c>
      <c r="F5821" s="24" t="s">
        <v>1187</v>
      </c>
      <c r="G5821" s="24">
        <v>173468</v>
      </c>
    </row>
    <row r="5822" spans="1:7" x14ac:dyDescent="0.25">
      <c r="A5822" s="24" t="s">
        <v>684</v>
      </c>
      <c r="B5822" s="24" t="s">
        <v>39</v>
      </c>
      <c r="C5822" s="24" t="s">
        <v>36</v>
      </c>
      <c r="D5822" s="24">
        <v>0</v>
      </c>
      <c r="E5822" s="24" t="s">
        <v>796</v>
      </c>
      <c r="F5822" s="24" t="s">
        <v>1187</v>
      </c>
      <c r="G5822" s="24">
        <v>173468</v>
      </c>
    </row>
    <row r="5823" spans="1:7" x14ac:dyDescent="0.25">
      <c r="A5823" s="24" t="s">
        <v>684</v>
      </c>
      <c r="B5823" s="24" t="s">
        <v>40</v>
      </c>
      <c r="C5823" s="24" t="s">
        <v>31</v>
      </c>
      <c r="D5823" s="24">
        <v>0</v>
      </c>
      <c r="E5823" s="24" t="s">
        <v>796</v>
      </c>
      <c r="F5823" s="24" t="s">
        <v>1187</v>
      </c>
      <c r="G5823" s="24">
        <v>173468</v>
      </c>
    </row>
    <row r="5824" spans="1:7" x14ac:dyDescent="0.25">
      <c r="A5824" s="24" t="s">
        <v>684</v>
      </c>
      <c r="B5824" s="24" t="s">
        <v>41</v>
      </c>
      <c r="C5824" s="24" t="s">
        <v>31</v>
      </c>
      <c r="D5824" s="24">
        <v>0</v>
      </c>
      <c r="E5824" s="24" t="s">
        <v>796</v>
      </c>
      <c r="F5824" s="24" t="s">
        <v>1187</v>
      </c>
      <c r="G5824" s="24">
        <v>173468</v>
      </c>
    </row>
    <row r="5825" spans="1:7" x14ac:dyDescent="0.25">
      <c r="A5825" s="24" t="s">
        <v>684</v>
      </c>
      <c r="B5825" s="24" t="s">
        <v>42</v>
      </c>
      <c r="C5825" s="24" t="s">
        <v>43</v>
      </c>
      <c r="D5825" s="24">
        <v>0</v>
      </c>
      <c r="E5825" s="24" t="s">
        <v>796</v>
      </c>
      <c r="F5825" s="24" t="s">
        <v>1187</v>
      </c>
      <c r="G5825" s="24">
        <v>173468</v>
      </c>
    </row>
    <row r="5826" spans="1:7" x14ac:dyDescent="0.25">
      <c r="A5826" s="24" t="s">
        <v>684</v>
      </c>
      <c r="B5826" s="24" t="s">
        <v>44</v>
      </c>
      <c r="C5826" s="24" t="s">
        <v>31</v>
      </c>
      <c r="D5826" s="24">
        <v>0</v>
      </c>
      <c r="E5826" s="24" t="s">
        <v>796</v>
      </c>
      <c r="F5826" s="24" t="s">
        <v>1187</v>
      </c>
      <c r="G5826" s="24">
        <v>173468</v>
      </c>
    </row>
    <row r="5827" spans="1:7" x14ac:dyDescent="0.25">
      <c r="A5827" s="24" t="s">
        <v>684</v>
      </c>
      <c r="B5827" s="24" t="s">
        <v>45</v>
      </c>
      <c r="C5827" s="24" t="s">
        <v>31</v>
      </c>
      <c r="D5827" s="24">
        <v>0</v>
      </c>
      <c r="E5827" s="24" t="s">
        <v>796</v>
      </c>
      <c r="F5827" s="24" t="s">
        <v>1187</v>
      </c>
      <c r="G5827" s="24">
        <v>173468</v>
      </c>
    </row>
    <row r="5828" spans="1:7" x14ac:dyDescent="0.25">
      <c r="A5828" s="24" t="s">
        <v>684</v>
      </c>
      <c r="B5828" s="24" t="s">
        <v>46</v>
      </c>
      <c r="C5828" s="24" t="s">
        <v>36</v>
      </c>
      <c r="D5828" s="24">
        <v>0</v>
      </c>
      <c r="E5828" s="24" t="s">
        <v>796</v>
      </c>
      <c r="F5828" s="24" t="s">
        <v>1187</v>
      </c>
      <c r="G5828" s="24">
        <v>173468</v>
      </c>
    </row>
    <row r="5829" spans="1:7" x14ac:dyDescent="0.25">
      <c r="A5829" s="24" t="s">
        <v>684</v>
      </c>
      <c r="B5829" s="24" t="s">
        <v>47</v>
      </c>
      <c r="C5829" s="24" t="s">
        <v>48</v>
      </c>
      <c r="D5829" s="24">
        <v>0</v>
      </c>
      <c r="E5829" s="24" t="s">
        <v>796</v>
      </c>
      <c r="F5829" s="24" t="s">
        <v>1187</v>
      </c>
      <c r="G5829" s="24">
        <v>173468</v>
      </c>
    </row>
    <row r="5830" spans="1:7" x14ac:dyDescent="0.25">
      <c r="A5830" s="24" t="s">
        <v>684</v>
      </c>
      <c r="B5830" s="24" t="s">
        <v>51</v>
      </c>
      <c r="C5830" s="24" t="s">
        <v>31</v>
      </c>
      <c r="D5830" s="24">
        <v>22.8</v>
      </c>
      <c r="E5830" s="24" t="s">
        <v>796</v>
      </c>
      <c r="F5830" s="24" t="s">
        <v>1187</v>
      </c>
      <c r="G5830" s="24">
        <v>173468</v>
      </c>
    </row>
    <row r="5831" spans="1:7" x14ac:dyDescent="0.25">
      <c r="A5831" s="24" t="s">
        <v>684</v>
      </c>
      <c r="B5831" s="24" t="s">
        <v>52</v>
      </c>
      <c r="C5831" s="24" t="s">
        <v>31</v>
      </c>
      <c r="D5831" s="24">
        <v>0</v>
      </c>
      <c r="E5831" s="24" t="s">
        <v>796</v>
      </c>
      <c r="F5831" s="24" t="s">
        <v>1187</v>
      </c>
      <c r="G5831" s="24">
        <v>173468</v>
      </c>
    </row>
    <row r="5832" spans="1:7" x14ac:dyDescent="0.25">
      <c r="A5832" s="24" t="s">
        <v>684</v>
      </c>
      <c r="B5832" s="24" t="s">
        <v>53</v>
      </c>
      <c r="C5832" s="24" t="s">
        <v>31</v>
      </c>
      <c r="D5832" s="24">
        <v>1</v>
      </c>
      <c r="E5832" s="24" t="s">
        <v>796</v>
      </c>
      <c r="F5832" s="24" t="s">
        <v>1187</v>
      </c>
      <c r="G5832" s="24">
        <v>173468</v>
      </c>
    </row>
    <row r="5833" spans="1:7" x14ac:dyDescent="0.25">
      <c r="A5833" s="24" t="s">
        <v>684</v>
      </c>
      <c r="B5833" s="24" t="s">
        <v>54</v>
      </c>
      <c r="C5833" s="24" t="s">
        <v>31</v>
      </c>
      <c r="D5833" s="24">
        <v>0.3</v>
      </c>
      <c r="E5833" s="24" t="s">
        <v>796</v>
      </c>
      <c r="F5833" s="24" t="s">
        <v>1187</v>
      </c>
      <c r="G5833" s="24">
        <v>173468</v>
      </c>
    </row>
    <row r="5834" spans="1:7" x14ac:dyDescent="0.25">
      <c r="A5834" s="24" t="s">
        <v>684</v>
      </c>
      <c r="B5834" s="24" t="s">
        <v>55</v>
      </c>
      <c r="C5834" s="24" t="s">
        <v>31</v>
      </c>
      <c r="D5834" s="24">
        <v>0.1</v>
      </c>
      <c r="E5834" s="24" t="s">
        <v>796</v>
      </c>
      <c r="F5834" s="24" t="s">
        <v>1187</v>
      </c>
      <c r="G5834" s="24">
        <v>173468</v>
      </c>
    </row>
    <row r="5835" spans="1:7" x14ac:dyDescent="0.25">
      <c r="A5835" s="24" t="s">
        <v>684</v>
      </c>
      <c r="B5835" s="24" t="s">
        <v>56</v>
      </c>
      <c r="C5835" s="24" t="s">
        <v>31</v>
      </c>
      <c r="D5835" s="24">
        <v>0</v>
      </c>
      <c r="E5835" s="24" t="s">
        <v>796</v>
      </c>
      <c r="F5835" s="24" t="s">
        <v>1187</v>
      </c>
      <c r="G5835" s="24">
        <v>173468</v>
      </c>
    </row>
    <row r="5836" spans="1:7" x14ac:dyDescent="0.25">
      <c r="A5836" s="24" t="s">
        <v>684</v>
      </c>
      <c r="B5836" s="24" t="s">
        <v>57</v>
      </c>
      <c r="C5836" s="24" t="s">
        <v>36</v>
      </c>
      <c r="D5836" s="24">
        <v>0.1</v>
      </c>
      <c r="E5836" s="24" t="s">
        <v>796</v>
      </c>
      <c r="F5836" s="24" t="s">
        <v>1187</v>
      </c>
      <c r="G5836" s="24">
        <v>173468</v>
      </c>
    </row>
    <row r="5837" spans="1:7" x14ac:dyDescent="0.25">
      <c r="A5837" s="24" t="s">
        <v>684</v>
      </c>
      <c r="B5837" s="24" t="s">
        <v>58</v>
      </c>
      <c r="C5837" s="24" t="s">
        <v>5</v>
      </c>
      <c r="D5837" s="24">
        <v>0</v>
      </c>
      <c r="E5837" s="24" t="s">
        <v>795</v>
      </c>
      <c r="F5837" s="24"/>
      <c r="G5837" s="24"/>
    </row>
    <row r="5838" spans="1:7" x14ac:dyDescent="0.25">
      <c r="A5838" s="24" t="s">
        <v>685</v>
      </c>
      <c r="B5838" s="24" t="s">
        <v>29</v>
      </c>
      <c r="C5838" s="24" t="s">
        <v>5</v>
      </c>
      <c r="D5838" s="24">
        <v>0</v>
      </c>
      <c r="E5838" s="24" t="s">
        <v>994</v>
      </c>
      <c r="F5838" s="24"/>
      <c r="G5838" s="24"/>
    </row>
    <row r="5839" spans="1:7" x14ac:dyDescent="0.25">
      <c r="A5839" s="24" t="s">
        <v>685</v>
      </c>
      <c r="B5839" s="24" t="s">
        <v>58</v>
      </c>
      <c r="C5839" s="24" t="s">
        <v>5</v>
      </c>
      <c r="D5839" s="24">
        <v>0</v>
      </c>
      <c r="E5839" s="24" t="s">
        <v>795</v>
      </c>
      <c r="F5839" s="24"/>
      <c r="G5839" s="24"/>
    </row>
    <row r="5840" spans="1:7" x14ac:dyDescent="0.25">
      <c r="A5840" s="24" t="s">
        <v>686</v>
      </c>
      <c r="B5840" s="24" t="s">
        <v>29</v>
      </c>
      <c r="C5840" s="24" t="s">
        <v>5</v>
      </c>
      <c r="D5840" s="24">
        <v>0</v>
      </c>
      <c r="E5840" s="24" t="s">
        <v>799</v>
      </c>
      <c r="F5840" s="24" t="s">
        <v>947</v>
      </c>
      <c r="G5840" s="24">
        <v>171330</v>
      </c>
    </row>
    <row r="5841" spans="1:7" x14ac:dyDescent="0.25">
      <c r="A5841" s="24" t="s">
        <v>686</v>
      </c>
      <c r="B5841" s="24" t="s">
        <v>58</v>
      </c>
      <c r="C5841" s="24" t="s">
        <v>5</v>
      </c>
      <c r="D5841" s="24">
        <v>0</v>
      </c>
      <c r="E5841" s="24" t="s">
        <v>795</v>
      </c>
      <c r="F5841" s="24"/>
      <c r="G5841" s="24"/>
    </row>
    <row r="5842" spans="1:7" x14ac:dyDescent="0.25">
      <c r="A5842" s="24" t="s">
        <v>687</v>
      </c>
      <c r="B5842" s="24" t="s">
        <v>29</v>
      </c>
      <c r="C5842" s="24" t="s">
        <v>5</v>
      </c>
      <c r="D5842" s="24">
        <v>0</v>
      </c>
      <c r="E5842" s="24" t="s">
        <v>940</v>
      </c>
      <c r="F5842" s="24"/>
      <c r="G5842" s="24"/>
    </row>
    <row r="5843" spans="1:7" x14ac:dyDescent="0.25">
      <c r="A5843" s="24" t="s">
        <v>687</v>
      </c>
      <c r="B5843" s="24" t="s">
        <v>58</v>
      </c>
      <c r="C5843" s="24" t="s">
        <v>5</v>
      </c>
      <c r="D5843" s="24">
        <v>0</v>
      </c>
      <c r="E5843" s="24" t="s">
        <v>795</v>
      </c>
      <c r="F5843" s="24"/>
      <c r="G5843" s="24"/>
    </row>
    <row r="5844" spans="1:7" x14ac:dyDescent="0.25">
      <c r="A5844" s="24" t="s">
        <v>688</v>
      </c>
      <c r="B5844" s="24" t="s">
        <v>29</v>
      </c>
      <c r="C5844" s="24" t="s">
        <v>5</v>
      </c>
      <c r="D5844" s="24">
        <v>0</v>
      </c>
      <c r="E5844" s="24" t="s">
        <v>940</v>
      </c>
      <c r="F5844" s="24"/>
      <c r="G5844" s="24"/>
    </row>
    <row r="5845" spans="1:7" x14ac:dyDescent="0.25">
      <c r="A5845" s="24" t="s">
        <v>688</v>
      </c>
      <c r="B5845" s="24" t="s">
        <v>58</v>
      </c>
      <c r="C5845" s="24" t="s">
        <v>5</v>
      </c>
      <c r="D5845" s="24">
        <v>0</v>
      </c>
      <c r="E5845" s="24" t="s">
        <v>795</v>
      </c>
      <c r="F5845" s="24"/>
      <c r="G5845" s="24"/>
    </row>
    <row r="5846" spans="1:7" x14ac:dyDescent="0.25">
      <c r="A5846" s="24" t="s">
        <v>689</v>
      </c>
      <c r="B5846" s="24" t="s">
        <v>29</v>
      </c>
      <c r="C5846" s="24" t="s">
        <v>5</v>
      </c>
      <c r="D5846" s="24">
        <v>0</v>
      </c>
      <c r="E5846" s="24" t="s">
        <v>799</v>
      </c>
      <c r="F5846" s="24" t="s">
        <v>1188</v>
      </c>
      <c r="G5846" s="24">
        <v>170929</v>
      </c>
    </row>
    <row r="5847" spans="1:7" x14ac:dyDescent="0.25">
      <c r="A5847" s="24" t="s">
        <v>689</v>
      </c>
      <c r="B5847" s="24" t="s">
        <v>58</v>
      </c>
      <c r="C5847" s="24" t="s">
        <v>5</v>
      </c>
      <c r="D5847" s="24">
        <v>0</v>
      </c>
      <c r="E5847" s="24" t="s">
        <v>795</v>
      </c>
      <c r="F5847" s="24"/>
      <c r="G5847" s="24"/>
    </row>
    <row r="5848" spans="1:7" x14ac:dyDescent="0.25">
      <c r="A5848" s="24" t="s">
        <v>690</v>
      </c>
      <c r="B5848" s="24" t="s">
        <v>29</v>
      </c>
      <c r="C5848" s="24" t="s">
        <v>5</v>
      </c>
      <c r="D5848" s="24">
        <v>0</v>
      </c>
      <c r="E5848" s="24" t="s">
        <v>799</v>
      </c>
      <c r="F5848" s="24" t="s">
        <v>1189</v>
      </c>
      <c r="G5848" s="24">
        <v>173470</v>
      </c>
    </row>
    <row r="5849" spans="1:7" x14ac:dyDescent="0.25">
      <c r="A5849" s="24" t="s">
        <v>690</v>
      </c>
      <c r="B5849" s="24" t="s">
        <v>58</v>
      </c>
      <c r="C5849" s="24" t="s">
        <v>5</v>
      </c>
      <c r="D5849" s="24">
        <v>0</v>
      </c>
      <c r="E5849" s="24" t="s">
        <v>795</v>
      </c>
      <c r="F5849" s="24"/>
      <c r="G5849" s="24"/>
    </row>
    <row r="5850" spans="1:7" x14ac:dyDescent="0.25">
      <c r="A5850" s="24" t="s">
        <v>691</v>
      </c>
      <c r="B5850" s="24" t="s">
        <v>29</v>
      </c>
      <c r="C5850" s="24" t="s">
        <v>5</v>
      </c>
      <c r="D5850" s="24">
        <v>0</v>
      </c>
      <c r="E5850" s="24" t="s">
        <v>799</v>
      </c>
      <c r="F5850" s="24" t="s">
        <v>1190</v>
      </c>
      <c r="G5850" s="24">
        <v>170938</v>
      </c>
    </row>
    <row r="5851" spans="1:7" x14ac:dyDescent="0.25">
      <c r="A5851" s="24" t="s">
        <v>691</v>
      </c>
      <c r="B5851" s="24" t="s">
        <v>58</v>
      </c>
      <c r="C5851" s="24" t="s">
        <v>5</v>
      </c>
      <c r="D5851" s="24">
        <v>0</v>
      </c>
      <c r="E5851" s="24" t="s">
        <v>795</v>
      </c>
      <c r="F5851" s="24"/>
      <c r="G5851" s="24"/>
    </row>
    <row r="5852" spans="1:7" x14ac:dyDescent="0.25">
      <c r="A5852" s="24" t="s">
        <v>693</v>
      </c>
      <c r="B5852" s="24" t="s">
        <v>23</v>
      </c>
      <c r="C5852" s="24" t="s">
        <v>5</v>
      </c>
      <c r="D5852" s="24">
        <v>33.6</v>
      </c>
      <c r="E5852" s="24" t="s">
        <v>796</v>
      </c>
      <c r="F5852" s="24" t="s">
        <v>1191</v>
      </c>
      <c r="G5852" s="24">
        <v>170277</v>
      </c>
    </row>
    <row r="5853" spans="1:7" x14ac:dyDescent="0.25">
      <c r="A5853" s="24" t="s">
        <v>693</v>
      </c>
      <c r="B5853" s="24" t="s">
        <v>26</v>
      </c>
      <c r="C5853" s="24" t="s">
        <v>5</v>
      </c>
      <c r="D5853" s="24">
        <v>0</v>
      </c>
      <c r="E5853" s="24" t="s">
        <v>799</v>
      </c>
      <c r="F5853" s="24" t="s">
        <v>1191</v>
      </c>
      <c r="G5853" s="24">
        <v>170277</v>
      </c>
    </row>
    <row r="5854" spans="1:7" x14ac:dyDescent="0.25">
      <c r="A5854" s="24" t="s">
        <v>693</v>
      </c>
      <c r="B5854" s="24" t="s">
        <v>27</v>
      </c>
      <c r="C5854" s="24" t="s">
        <v>5</v>
      </c>
      <c r="D5854" s="24">
        <v>0</v>
      </c>
      <c r="E5854" s="24" t="s">
        <v>799</v>
      </c>
      <c r="F5854" s="24" t="s">
        <v>1191</v>
      </c>
      <c r="G5854" s="24">
        <v>170277</v>
      </c>
    </row>
    <row r="5855" spans="1:7" x14ac:dyDescent="0.25">
      <c r="A5855" s="24" t="s">
        <v>693</v>
      </c>
      <c r="B5855" s="24" t="s">
        <v>28</v>
      </c>
      <c r="C5855" s="24" t="s">
        <v>5</v>
      </c>
      <c r="D5855" s="24">
        <v>0</v>
      </c>
      <c r="E5855" s="24" t="s">
        <v>799</v>
      </c>
      <c r="F5855" s="24" t="s">
        <v>1191</v>
      </c>
      <c r="G5855" s="24">
        <v>170277</v>
      </c>
    </row>
    <row r="5856" spans="1:7" x14ac:dyDescent="0.25">
      <c r="A5856" s="24" t="s">
        <v>693</v>
      </c>
      <c r="B5856" s="24" t="s">
        <v>29</v>
      </c>
      <c r="C5856" s="24" t="s">
        <v>5</v>
      </c>
      <c r="D5856" s="24">
        <v>0</v>
      </c>
      <c r="E5856" s="24" t="s">
        <v>994</v>
      </c>
      <c r="F5856" s="24"/>
      <c r="G5856" s="24"/>
    </row>
    <row r="5857" spans="1:7" x14ac:dyDescent="0.25">
      <c r="A5857" s="24" t="s">
        <v>693</v>
      </c>
      <c r="B5857" s="24" t="s">
        <v>30</v>
      </c>
      <c r="C5857" s="24" t="s">
        <v>31</v>
      </c>
      <c r="D5857" s="24">
        <v>0</v>
      </c>
      <c r="E5857" s="24" t="s">
        <v>801</v>
      </c>
      <c r="F5857" s="24" t="s">
        <v>1191</v>
      </c>
      <c r="G5857" s="24">
        <v>170277</v>
      </c>
    </row>
    <row r="5858" spans="1:7" x14ac:dyDescent="0.25">
      <c r="A5858" s="24" t="s">
        <v>693</v>
      </c>
      <c r="B5858" s="24" t="s">
        <v>32</v>
      </c>
      <c r="C5858" s="24" t="s">
        <v>33</v>
      </c>
      <c r="D5858" s="24">
        <v>4</v>
      </c>
      <c r="E5858" s="24" t="s">
        <v>796</v>
      </c>
      <c r="F5858" s="24" t="s">
        <v>1191</v>
      </c>
      <c r="G5858" s="24">
        <v>170277</v>
      </c>
    </row>
    <row r="5859" spans="1:7" x14ac:dyDescent="0.25">
      <c r="A5859" s="24" t="s">
        <v>693</v>
      </c>
      <c r="B5859" s="24" t="s">
        <v>34</v>
      </c>
      <c r="C5859" s="24" t="s">
        <v>31</v>
      </c>
      <c r="D5859" s="24">
        <v>8.4</v>
      </c>
      <c r="E5859" s="24" t="s">
        <v>796</v>
      </c>
      <c r="F5859" s="24" t="s">
        <v>1191</v>
      </c>
      <c r="G5859" s="24">
        <v>170277</v>
      </c>
    </row>
    <row r="5860" spans="1:7" x14ac:dyDescent="0.25">
      <c r="A5860" s="24" t="s">
        <v>693</v>
      </c>
      <c r="B5860" s="24" t="s">
        <v>35</v>
      </c>
      <c r="C5860" s="24" t="s">
        <v>36</v>
      </c>
      <c r="D5860" s="24">
        <v>0</v>
      </c>
      <c r="E5860" s="24" t="s">
        <v>796</v>
      </c>
      <c r="F5860" s="24" t="s">
        <v>1191</v>
      </c>
      <c r="G5860" s="24">
        <v>170277</v>
      </c>
    </row>
    <row r="5861" spans="1:7" x14ac:dyDescent="0.25">
      <c r="A5861" s="24" t="s">
        <v>693</v>
      </c>
      <c r="B5861" s="24" t="s">
        <v>37</v>
      </c>
      <c r="C5861" s="24" t="s">
        <v>38</v>
      </c>
      <c r="D5861" s="24">
        <v>0.5</v>
      </c>
      <c r="E5861" s="24" t="s">
        <v>796</v>
      </c>
      <c r="F5861" s="24" t="s">
        <v>1191</v>
      </c>
      <c r="G5861" s="24">
        <v>170277</v>
      </c>
    </row>
    <row r="5862" spans="1:7" x14ac:dyDescent="0.25">
      <c r="A5862" s="24" t="s">
        <v>693</v>
      </c>
      <c r="B5862" s="24" t="s">
        <v>39</v>
      </c>
      <c r="C5862" s="24" t="s">
        <v>36</v>
      </c>
      <c r="D5862" s="24">
        <v>11.1</v>
      </c>
      <c r="E5862" s="24" t="s">
        <v>796</v>
      </c>
      <c r="F5862" s="24" t="s">
        <v>1191</v>
      </c>
      <c r="G5862" s="24">
        <v>170277</v>
      </c>
    </row>
    <row r="5863" spans="1:7" x14ac:dyDescent="0.25">
      <c r="A5863" s="24" t="s">
        <v>693</v>
      </c>
      <c r="B5863" s="24" t="s">
        <v>40</v>
      </c>
      <c r="C5863" s="24" t="s">
        <v>31</v>
      </c>
      <c r="D5863" s="24">
        <v>0.1</v>
      </c>
      <c r="E5863" s="24" t="s">
        <v>796</v>
      </c>
      <c r="F5863" s="24" t="s">
        <v>1191</v>
      </c>
      <c r="G5863" s="24">
        <v>170277</v>
      </c>
    </row>
    <row r="5864" spans="1:7" x14ac:dyDescent="0.25">
      <c r="A5864" s="24" t="s">
        <v>693</v>
      </c>
      <c r="B5864" s="24" t="s">
        <v>41</v>
      </c>
      <c r="C5864" s="24" t="s">
        <v>31</v>
      </c>
      <c r="D5864" s="24">
        <v>0.1</v>
      </c>
      <c r="E5864" s="24" t="s">
        <v>796</v>
      </c>
      <c r="F5864" s="24" t="s">
        <v>1191</v>
      </c>
      <c r="G5864" s="24">
        <v>170277</v>
      </c>
    </row>
    <row r="5865" spans="1:7" x14ac:dyDescent="0.25">
      <c r="A5865" s="24" t="s">
        <v>693</v>
      </c>
      <c r="B5865" s="24" t="s">
        <v>42</v>
      </c>
      <c r="C5865" s="24" t="s">
        <v>43</v>
      </c>
      <c r="D5865" s="24">
        <v>0.3</v>
      </c>
      <c r="E5865" s="24" t="s">
        <v>796</v>
      </c>
      <c r="F5865" s="24" t="s">
        <v>1191</v>
      </c>
      <c r="G5865" s="24">
        <v>170277</v>
      </c>
    </row>
    <row r="5866" spans="1:7" x14ac:dyDescent="0.25">
      <c r="A5866" s="24" t="s">
        <v>693</v>
      </c>
      <c r="B5866" s="24" t="s">
        <v>44</v>
      </c>
      <c r="C5866" s="24" t="s">
        <v>31</v>
      </c>
      <c r="D5866" s="24">
        <v>0.1</v>
      </c>
      <c r="E5866" s="24" t="s">
        <v>796</v>
      </c>
      <c r="F5866" s="24" t="s">
        <v>1191</v>
      </c>
      <c r="G5866" s="24">
        <v>170277</v>
      </c>
    </row>
    <row r="5867" spans="1:7" x14ac:dyDescent="0.25">
      <c r="A5867" s="24" t="s">
        <v>693</v>
      </c>
      <c r="B5867" s="24" t="s">
        <v>46</v>
      </c>
      <c r="C5867" s="24" t="s">
        <v>36</v>
      </c>
      <c r="D5867" s="24">
        <v>0</v>
      </c>
      <c r="E5867" s="24" t="s">
        <v>796</v>
      </c>
      <c r="F5867" s="24" t="s">
        <v>1191</v>
      </c>
      <c r="G5867" s="24">
        <v>170277</v>
      </c>
    </row>
    <row r="5868" spans="1:7" x14ac:dyDescent="0.25">
      <c r="A5868" s="24" t="s">
        <v>693</v>
      </c>
      <c r="B5868" s="24" t="s">
        <v>47</v>
      </c>
      <c r="C5868" s="24" t="s">
        <v>48</v>
      </c>
      <c r="D5868" s="24">
        <v>14.8</v>
      </c>
      <c r="E5868" s="24" t="s">
        <v>796</v>
      </c>
      <c r="F5868" s="24" t="s">
        <v>1191</v>
      </c>
      <c r="G5868" s="24">
        <v>170277</v>
      </c>
    </row>
    <row r="5869" spans="1:7" x14ac:dyDescent="0.25">
      <c r="A5869" s="24" t="s">
        <v>693</v>
      </c>
      <c r="B5869" s="24" t="s">
        <v>50</v>
      </c>
      <c r="C5869" s="24" t="s">
        <v>31</v>
      </c>
      <c r="D5869" s="24">
        <v>2</v>
      </c>
      <c r="E5869" s="24" t="s">
        <v>796</v>
      </c>
      <c r="F5869" s="24" t="s">
        <v>1191</v>
      </c>
      <c r="G5869" s="24">
        <v>170277</v>
      </c>
    </row>
    <row r="5870" spans="1:7" x14ac:dyDescent="0.25">
      <c r="A5870" s="24" t="s">
        <v>693</v>
      </c>
      <c r="B5870" s="24" t="s">
        <v>51</v>
      </c>
      <c r="C5870" s="24" t="s">
        <v>31</v>
      </c>
      <c r="D5870" s="24">
        <v>0.5</v>
      </c>
      <c r="E5870" s="24" t="s">
        <v>796</v>
      </c>
      <c r="F5870" s="24" t="s">
        <v>1191</v>
      </c>
      <c r="G5870" s="24">
        <v>170277</v>
      </c>
    </row>
    <row r="5871" spans="1:7" x14ac:dyDescent="0.25">
      <c r="A5871" s="24" t="s">
        <v>693</v>
      </c>
      <c r="B5871" s="24" t="s">
        <v>52</v>
      </c>
      <c r="C5871" s="24" t="s">
        <v>31</v>
      </c>
      <c r="D5871" s="24">
        <v>0.5</v>
      </c>
      <c r="E5871" s="24" t="s">
        <v>796</v>
      </c>
      <c r="F5871" s="24" t="s">
        <v>1191</v>
      </c>
      <c r="G5871" s="24">
        <v>170277</v>
      </c>
    </row>
    <row r="5872" spans="1:7" x14ac:dyDescent="0.25">
      <c r="A5872" s="24" t="s">
        <v>693</v>
      </c>
      <c r="B5872" s="24" t="s">
        <v>53</v>
      </c>
      <c r="C5872" s="24" t="s">
        <v>31</v>
      </c>
      <c r="D5872" s="24">
        <v>0.5</v>
      </c>
      <c r="E5872" s="24" t="s">
        <v>796</v>
      </c>
      <c r="F5872" s="24" t="s">
        <v>1191</v>
      </c>
      <c r="G5872" s="24">
        <v>170277</v>
      </c>
    </row>
    <row r="5873" spans="1:7" x14ac:dyDescent="0.25">
      <c r="A5873" s="24" t="s">
        <v>693</v>
      </c>
      <c r="B5873" s="24" t="s">
        <v>54</v>
      </c>
      <c r="C5873" s="24" t="s">
        <v>31</v>
      </c>
      <c r="D5873" s="24">
        <v>0</v>
      </c>
      <c r="E5873" s="24" t="s">
        <v>796</v>
      </c>
      <c r="F5873" s="24" t="s">
        <v>1191</v>
      </c>
      <c r="G5873" s="24">
        <v>170277</v>
      </c>
    </row>
    <row r="5874" spans="1:7" x14ac:dyDescent="0.25">
      <c r="A5874" s="24" t="s">
        <v>693</v>
      </c>
      <c r="B5874" s="24" t="s">
        <v>55</v>
      </c>
      <c r="C5874" s="24" t="s">
        <v>31</v>
      </c>
      <c r="D5874" s="24">
        <v>0</v>
      </c>
      <c r="E5874" s="24" t="s">
        <v>796</v>
      </c>
      <c r="F5874" s="24" t="s">
        <v>1191</v>
      </c>
      <c r="G5874" s="24">
        <v>170277</v>
      </c>
    </row>
    <row r="5875" spans="1:7" x14ac:dyDescent="0.25">
      <c r="A5875" s="24" t="s">
        <v>693</v>
      </c>
      <c r="B5875" s="24" t="s">
        <v>56</v>
      </c>
      <c r="C5875" s="24" t="s">
        <v>31</v>
      </c>
      <c r="D5875" s="24">
        <v>0</v>
      </c>
      <c r="E5875" s="24" t="s">
        <v>796</v>
      </c>
      <c r="F5875" s="24" t="s">
        <v>1191</v>
      </c>
      <c r="G5875" s="24">
        <v>170277</v>
      </c>
    </row>
    <row r="5876" spans="1:7" x14ac:dyDescent="0.25">
      <c r="A5876" s="24" t="s">
        <v>693</v>
      </c>
      <c r="B5876" s="24" t="s">
        <v>57</v>
      </c>
      <c r="C5876" s="24" t="s">
        <v>36</v>
      </c>
      <c r="D5876" s="24">
        <v>0.8</v>
      </c>
      <c r="E5876" s="24" t="s">
        <v>796</v>
      </c>
      <c r="F5876" s="24" t="s">
        <v>1191</v>
      </c>
      <c r="G5876" s="24">
        <v>170277</v>
      </c>
    </row>
    <row r="5877" spans="1:7" x14ac:dyDescent="0.25">
      <c r="A5877" s="24" t="s">
        <v>693</v>
      </c>
      <c r="B5877" s="24" t="s">
        <v>58</v>
      </c>
      <c r="C5877" s="24" t="s">
        <v>5</v>
      </c>
      <c r="D5877" s="24">
        <v>0</v>
      </c>
      <c r="E5877" s="24" t="s">
        <v>795</v>
      </c>
      <c r="F5877" s="24"/>
      <c r="G5877" s="24"/>
    </row>
    <row r="5878" spans="1:7" x14ac:dyDescent="0.25">
      <c r="A5878" s="24" t="s">
        <v>694</v>
      </c>
      <c r="B5878" s="24" t="s">
        <v>29</v>
      </c>
      <c r="C5878" s="24" t="s">
        <v>5</v>
      </c>
      <c r="D5878" s="24">
        <v>0</v>
      </c>
      <c r="E5878" s="24" t="s">
        <v>940</v>
      </c>
      <c r="F5878" s="24"/>
      <c r="G5878" s="24"/>
    </row>
    <row r="5879" spans="1:7" x14ac:dyDescent="0.25">
      <c r="A5879" s="24" t="s">
        <v>694</v>
      </c>
      <c r="B5879" s="24" t="s">
        <v>58</v>
      </c>
      <c r="C5879" s="24" t="s">
        <v>5</v>
      </c>
      <c r="D5879" s="24">
        <v>0</v>
      </c>
      <c r="E5879" s="24" t="s">
        <v>795</v>
      </c>
      <c r="F5879" s="24"/>
      <c r="G5879" s="24"/>
    </row>
    <row r="5880" spans="1:7" x14ac:dyDescent="0.25">
      <c r="A5880" s="24" t="s">
        <v>695</v>
      </c>
      <c r="B5880" s="24" t="s">
        <v>29</v>
      </c>
      <c r="C5880" s="24" t="s">
        <v>5</v>
      </c>
      <c r="D5880" s="24">
        <v>0</v>
      </c>
      <c r="E5880" s="24" t="s">
        <v>940</v>
      </c>
      <c r="F5880" s="24"/>
      <c r="G5880" s="24"/>
    </row>
    <row r="5881" spans="1:7" x14ac:dyDescent="0.25">
      <c r="A5881" s="24" t="s">
        <v>695</v>
      </c>
      <c r="B5881" s="24" t="s">
        <v>58</v>
      </c>
      <c r="C5881" s="24" t="s">
        <v>5</v>
      </c>
      <c r="D5881" s="24">
        <v>0</v>
      </c>
      <c r="E5881" s="24" t="s">
        <v>795</v>
      </c>
      <c r="F5881" s="24"/>
      <c r="G5881" s="24"/>
    </row>
    <row r="5882" spans="1:7" x14ac:dyDescent="0.25">
      <c r="A5882" s="24" t="s">
        <v>696</v>
      </c>
      <c r="B5882" s="24" t="s">
        <v>29</v>
      </c>
      <c r="C5882" s="24" t="s">
        <v>5</v>
      </c>
      <c r="D5882" s="24">
        <v>0</v>
      </c>
      <c r="E5882" s="24" t="s">
        <v>940</v>
      </c>
      <c r="F5882" s="24"/>
      <c r="G5882" s="24"/>
    </row>
    <row r="5883" spans="1:7" x14ac:dyDescent="0.25">
      <c r="A5883" s="24" t="s">
        <v>696</v>
      </c>
      <c r="B5883" s="24" t="s">
        <v>58</v>
      </c>
      <c r="C5883" s="24" t="s">
        <v>5</v>
      </c>
      <c r="D5883" s="24">
        <v>0</v>
      </c>
      <c r="E5883" s="24" t="s">
        <v>795</v>
      </c>
      <c r="F5883" s="24"/>
      <c r="G5883" s="24"/>
    </row>
    <row r="5884" spans="1:7" x14ac:dyDescent="0.25">
      <c r="A5884" s="24" t="s">
        <v>698</v>
      </c>
      <c r="B5884" s="24" t="s">
        <v>58</v>
      </c>
      <c r="C5884" s="24" t="s">
        <v>5</v>
      </c>
      <c r="D5884" s="24">
        <v>0</v>
      </c>
      <c r="E5884" s="24" t="s">
        <v>795</v>
      </c>
      <c r="F5884" s="24"/>
      <c r="G5884" s="24"/>
    </row>
    <row r="5885" spans="1:7" x14ac:dyDescent="0.25">
      <c r="A5885" s="24" t="s">
        <v>699</v>
      </c>
      <c r="B5885" s="24" t="s">
        <v>58</v>
      </c>
      <c r="C5885" s="24" t="s">
        <v>5</v>
      </c>
      <c r="D5885" s="24">
        <v>0</v>
      </c>
      <c r="E5885" s="24" t="s">
        <v>795</v>
      </c>
      <c r="F5885" s="24"/>
      <c r="G5885" s="24"/>
    </row>
    <row r="5886" spans="1:7" x14ac:dyDescent="0.25">
      <c r="A5886" s="24" t="s">
        <v>700</v>
      </c>
      <c r="B5886" s="24" t="s">
        <v>58</v>
      </c>
      <c r="C5886" s="24" t="s">
        <v>5</v>
      </c>
      <c r="D5886" s="24">
        <v>0</v>
      </c>
      <c r="E5886" s="24" t="s">
        <v>795</v>
      </c>
      <c r="F5886" s="24"/>
      <c r="G5886" s="24"/>
    </row>
    <row r="5887" spans="1:7" x14ac:dyDescent="0.25">
      <c r="A5887" s="24" t="s">
        <v>701</v>
      </c>
      <c r="B5887" s="24" t="s">
        <v>58</v>
      </c>
      <c r="C5887" s="24" t="s">
        <v>5</v>
      </c>
      <c r="D5887" s="24">
        <v>0</v>
      </c>
      <c r="E5887" s="24" t="s">
        <v>795</v>
      </c>
      <c r="F5887" s="24"/>
      <c r="G5887" s="24"/>
    </row>
    <row r="5888" spans="1:7" x14ac:dyDescent="0.25">
      <c r="A5888" s="24" t="s">
        <v>702</v>
      </c>
      <c r="B5888" s="24" t="s">
        <v>58</v>
      </c>
      <c r="C5888" s="24" t="s">
        <v>5</v>
      </c>
      <c r="D5888" s="24">
        <v>0</v>
      </c>
      <c r="E5888" s="24" t="s">
        <v>795</v>
      </c>
      <c r="F5888" s="24"/>
      <c r="G5888" s="24"/>
    </row>
    <row r="5889" spans="1:7" x14ac:dyDescent="0.25">
      <c r="A5889" s="24" t="s">
        <v>703</v>
      </c>
      <c r="B5889" s="24" t="s">
        <v>58</v>
      </c>
      <c r="C5889" s="24" t="s">
        <v>5</v>
      </c>
      <c r="D5889" s="24">
        <v>0</v>
      </c>
      <c r="E5889" s="24" t="s">
        <v>795</v>
      </c>
      <c r="F5889" s="24"/>
      <c r="G5889" s="24"/>
    </row>
    <row r="5890" spans="1:7" x14ac:dyDescent="0.25">
      <c r="A5890" s="24" t="s">
        <v>704</v>
      </c>
      <c r="B5890" s="24" t="s">
        <v>23</v>
      </c>
      <c r="C5890" s="24" t="s">
        <v>5</v>
      </c>
      <c r="D5890" s="24">
        <v>11.7</v>
      </c>
      <c r="E5890" s="24" t="s">
        <v>796</v>
      </c>
      <c r="F5890" s="24" t="s">
        <v>1192</v>
      </c>
      <c r="G5890" s="24">
        <v>173512</v>
      </c>
    </row>
    <row r="5891" spans="1:7" x14ac:dyDescent="0.25">
      <c r="A5891" s="24" t="s">
        <v>704</v>
      </c>
      <c r="B5891" s="24" t="s">
        <v>26</v>
      </c>
      <c r="C5891" s="24" t="s">
        <v>5</v>
      </c>
      <c r="D5891" s="24">
        <v>0.02</v>
      </c>
      <c r="E5891" s="24" t="s">
        <v>799</v>
      </c>
      <c r="F5891" s="24" t="s">
        <v>1192</v>
      </c>
      <c r="G5891" s="24">
        <v>173512</v>
      </c>
    </row>
    <row r="5892" spans="1:7" x14ac:dyDescent="0.25">
      <c r="A5892" s="24" t="s">
        <v>704</v>
      </c>
      <c r="B5892" s="24" t="s">
        <v>27</v>
      </c>
      <c r="C5892" s="24" t="s">
        <v>5</v>
      </c>
      <c r="D5892" s="24">
        <v>0</v>
      </c>
      <c r="E5892" s="24" t="s">
        <v>799</v>
      </c>
      <c r="F5892" s="24" t="s">
        <v>1192</v>
      </c>
      <c r="G5892" s="24">
        <v>173512</v>
      </c>
    </row>
    <row r="5893" spans="1:7" x14ac:dyDescent="0.25">
      <c r="A5893" s="24" t="s">
        <v>704</v>
      </c>
      <c r="B5893" s="24" t="s">
        <v>28</v>
      </c>
      <c r="C5893" s="24" t="s">
        <v>5</v>
      </c>
      <c r="D5893" s="24">
        <v>0.03</v>
      </c>
      <c r="E5893" s="24" t="s">
        <v>799</v>
      </c>
      <c r="F5893" s="24" t="s">
        <v>1192</v>
      </c>
      <c r="G5893" s="24">
        <v>173512</v>
      </c>
    </row>
    <row r="5894" spans="1:7" x14ac:dyDescent="0.25">
      <c r="A5894" s="24" t="s">
        <v>704</v>
      </c>
      <c r="B5894" s="24" t="s">
        <v>30</v>
      </c>
      <c r="C5894" s="24" t="s">
        <v>31</v>
      </c>
      <c r="D5894" s="24">
        <v>0</v>
      </c>
      <c r="E5894" s="24" t="s">
        <v>801</v>
      </c>
      <c r="F5894" s="24" t="s">
        <v>1192</v>
      </c>
      <c r="G5894" s="24">
        <v>173512</v>
      </c>
    </row>
    <row r="5895" spans="1:7" x14ac:dyDescent="0.25">
      <c r="A5895" s="24" t="s">
        <v>704</v>
      </c>
      <c r="B5895" s="24" t="s">
        <v>32</v>
      </c>
      <c r="C5895" s="24" t="s">
        <v>33</v>
      </c>
      <c r="D5895" s="24">
        <v>1.2</v>
      </c>
      <c r="E5895" s="24" t="s">
        <v>796</v>
      </c>
      <c r="F5895" s="24" t="s">
        <v>1192</v>
      </c>
      <c r="G5895" s="24">
        <v>173512</v>
      </c>
    </row>
    <row r="5896" spans="1:7" x14ac:dyDescent="0.25">
      <c r="A5896" s="24" t="s">
        <v>704</v>
      </c>
      <c r="B5896" s="24" t="s">
        <v>35</v>
      </c>
      <c r="C5896" s="24" t="s">
        <v>36</v>
      </c>
      <c r="D5896" s="24">
        <v>0</v>
      </c>
      <c r="E5896" s="24" t="s">
        <v>796</v>
      </c>
      <c r="F5896" s="24" t="s">
        <v>1192</v>
      </c>
      <c r="G5896" s="24">
        <v>173512</v>
      </c>
    </row>
    <row r="5897" spans="1:7" x14ac:dyDescent="0.25">
      <c r="A5897" s="24" t="s">
        <v>704</v>
      </c>
      <c r="B5897" s="24" t="s">
        <v>37</v>
      </c>
      <c r="C5897" s="24" t="s">
        <v>38</v>
      </c>
      <c r="D5897" s="24">
        <v>0.7</v>
      </c>
      <c r="E5897" s="24" t="s">
        <v>796</v>
      </c>
      <c r="F5897" s="24" t="s">
        <v>1192</v>
      </c>
      <c r="G5897" s="24">
        <v>173512</v>
      </c>
    </row>
    <row r="5898" spans="1:7" x14ac:dyDescent="0.25">
      <c r="A5898" s="24" t="s">
        <v>704</v>
      </c>
      <c r="B5898" s="24" t="s">
        <v>39</v>
      </c>
      <c r="C5898" s="24" t="s">
        <v>36</v>
      </c>
      <c r="D5898" s="24">
        <v>0.6</v>
      </c>
      <c r="E5898" s="24" t="s">
        <v>796</v>
      </c>
      <c r="F5898" s="24" t="s">
        <v>1192</v>
      </c>
      <c r="G5898" s="24">
        <v>173512</v>
      </c>
    </row>
    <row r="5899" spans="1:7" x14ac:dyDescent="0.25">
      <c r="A5899" s="24" t="s">
        <v>704</v>
      </c>
      <c r="B5899" s="24" t="s">
        <v>40</v>
      </c>
      <c r="C5899" s="24" t="s">
        <v>31</v>
      </c>
      <c r="D5899" s="24">
        <v>0</v>
      </c>
      <c r="E5899" s="24" t="s">
        <v>796</v>
      </c>
      <c r="F5899" s="24" t="s">
        <v>1192</v>
      </c>
      <c r="G5899" s="24">
        <v>173512</v>
      </c>
    </row>
    <row r="5900" spans="1:7" x14ac:dyDescent="0.25">
      <c r="A5900" s="24" t="s">
        <v>704</v>
      </c>
      <c r="B5900" s="24" t="s">
        <v>41</v>
      </c>
      <c r="C5900" s="24" t="s">
        <v>31</v>
      </c>
      <c r="D5900" s="24">
        <v>0</v>
      </c>
      <c r="E5900" s="24" t="s">
        <v>796</v>
      </c>
      <c r="F5900" s="24" t="s">
        <v>1192</v>
      </c>
      <c r="G5900" s="24">
        <v>173512</v>
      </c>
    </row>
    <row r="5901" spans="1:7" x14ac:dyDescent="0.25">
      <c r="A5901" s="24" t="s">
        <v>704</v>
      </c>
      <c r="B5901" s="24" t="s">
        <v>42</v>
      </c>
      <c r="C5901" s="24" t="s">
        <v>43</v>
      </c>
      <c r="D5901" s="24">
        <v>0.1</v>
      </c>
      <c r="E5901" s="24" t="s">
        <v>796</v>
      </c>
      <c r="F5901" s="24" t="s">
        <v>1192</v>
      </c>
      <c r="G5901" s="24">
        <v>173512</v>
      </c>
    </row>
    <row r="5902" spans="1:7" x14ac:dyDescent="0.25">
      <c r="A5902" s="24" t="s">
        <v>704</v>
      </c>
      <c r="B5902" s="24" t="s">
        <v>44</v>
      </c>
      <c r="C5902" s="24" t="s">
        <v>31</v>
      </c>
      <c r="D5902" s="24">
        <v>0</v>
      </c>
      <c r="E5902" s="24" t="s">
        <v>796</v>
      </c>
      <c r="F5902" s="24" t="s">
        <v>1192</v>
      </c>
      <c r="G5902" s="24">
        <v>173512</v>
      </c>
    </row>
    <row r="5903" spans="1:7" x14ac:dyDescent="0.25">
      <c r="A5903" s="24" t="s">
        <v>704</v>
      </c>
      <c r="B5903" s="24" t="s">
        <v>45</v>
      </c>
      <c r="C5903" s="24" t="s">
        <v>31</v>
      </c>
      <c r="D5903" s="24">
        <v>0.1</v>
      </c>
      <c r="E5903" s="24" t="s">
        <v>796</v>
      </c>
      <c r="F5903" s="24" t="s">
        <v>1192</v>
      </c>
      <c r="G5903" s="24">
        <v>173512</v>
      </c>
    </row>
    <row r="5904" spans="1:7" x14ac:dyDescent="0.25">
      <c r="A5904" s="24" t="s">
        <v>704</v>
      </c>
      <c r="B5904" s="24" t="s">
        <v>46</v>
      </c>
      <c r="C5904" s="24" t="s">
        <v>36</v>
      </c>
      <c r="D5904" s="24">
        <v>0</v>
      </c>
      <c r="E5904" s="24" t="s">
        <v>796</v>
      </c>
      <c r="F5904" s="24" t="s">
        <v>1192</v>
      </c>
      <c r="G5904" s="24">
        <v>173512</v>
      </c>
    </row>
    <row r="5905" spans="1:7" x14ac:dyDescent="0.25">
      <c r="A5905" s="24" t="s">
        <v>704</v>
      </c>
      <c r="B5905" s="24" t="s">
        <v>47</v>
      </c>
      <c r="C5905" s="24" t="s">
        <v>48</v>
      </c>
      <c r="D5905" s="24">
        <v>2.4</v>
      </c>
      <c r="E5905" s="24" t="s">
        <v>796</v>
      </c>
      <c r="F5905" s="24" t="s">
        <v>1192</v>
      </c>
      <c r="G5905" s="24">
        <v>173512</v>
      </c>
    </row>
    <row r="5906" spans="1:7" x14ac:dyDescent="0.25">
      <c r="A5906" s="24" t="s">
        <v>704</v>
      </c>
      <c r="B5906" s="24" t="s">
        <v>49</v>
      </c>
      <c r="C5906" s="24" t="s">
        <v>31</v>
      </c>
      <c r="D5906" s="24">
        <v>0</v>
      </c>
      <c r="E5906" s="24" t="s">
        <v>796</v>
      </c>
      <c r="F5906" s="24" t="s">
        <v>1192</v>
      </c>
      <c r="G5906" s="24">
        <v>173512</v>
      </c>
    </row>
    <row r="5907" spans="1:7" x14ac:dyDescent="0.25">
      <c r="A5907" s="24" t="s">
        <v>704</v>
      </c>
      <c r="B5907" s="24" t="s">
        <v>50</v>
      </c>
      <c r="C5907" s="24" t="s">
        <v>31</v>
      </c>
      <c r="D5907" s="24">
        <v>84.1</v>
      </c>
      <c r="E5907" s="24" t="s">
        <v>796</v>
      </c>
      <c r="F5907" s="24" t="s">
        <v>1192</v>
      </c>
      <c r="G5907" s="24">
        <v>173512</v>
      </c>
    </row>
    <row r="5908" spans="1:7" x14ac:dyDescent="0.25">
      <c r="A5908" s="24" t="s">
        <v>704</v>
      </c>
      <c r="B5908" s="24" t="s">
        <v>52</v>
      </c>
      <c r="C5908" s="24" t="s">
        <v>31</v>
      </c>
      <c r="D5908" s="24">
        <v>8.3000000000000007</v>
      </c>
      <c r="E5908" s="24" t="s">
        <v>796</v>
      </c>
      <c r="F5908" s="24" t="s">
        <v>1192</v>
      </c>
      <c r="G5908" s="24">
        <v>173512</v>
      </c>
    </row>
    <row r="5909" spans="1:7" x14ac:dyDescent="0.25">
      <c r="A5909" s="24" t="s">
        <v>704</v>
      </c>
      <c r="B5909" s="24" t="s">
        <v>53</v>
      </c>
      <c r="C5909" s="24" t="s">
        <v>31</v>
      </c>
      <c r="D5909" s="24">
        <v>3.6</v>
      </c>
      <c r="E5909" s="24" t="s">
        <v>796</v>
      </c>
      <c r="F5909" s="24" t="s">
        <v>1192</v>
      </c>
      <c r="G5909" s="24">
        <v>173512</v>
      </c>
    </row>
    <row r="5910" spans="1:7" x14ac:dyDescent="0.25">
      <c r="A5910" s="24" t="s">
        <v>704</v>
      </c>
      <c r="B5910" s="24" t="s">
        <v>55</v>
      </c>
      <c r="C5910" s="24" t="s">
        <v>31</v>
      </c>
      <c r="D5910" s="24">
        <v>0</v>
      </c>
      <c r="E5910" s="24" t="s">
        <v>796</v>
      </c>
      <c r="F5910" s="24" t="s">
        <v>1192</v>
      </c>
      <c r="G5910" s="24">
        <v>173512</v>
      </c>
    </row>
    <row r="5911" spans="1:7" x14ac:dyDescent="0.25">
      <c r="A5911" s="24" t="s">
        <v>704</v>
      </c>
      <c r="B5911" s="24" t="s">
        <v>56</v>
      </c>
      <c r="C5911" s="24" t="s">
        <v>31</v>
      </c>
      <c r="D5911" s="24">
        <v>0</v>
      </c>
      <c r="E5911" s="24" t="s">
        <v>796</v>
      </c>
      <c r="F5911" s="24" t="s">
        <v>1192</v>
      </c>
      <c r="G5911" s="24">
        <v>173512</v>
      </c>
    </row>
    <row r="5912" spans="1:7" x14ac:dyDescent="0.25">
      <c r="A5912" s="24" t="s">
        <v>704</v>
      </c>
      <c r="B5912" s="24" t="s">
        <v>57</v>
      </c>
      <c r="C5912" s="24" t="s">
        <v>36</v>
      </c>
      <c r="D5912" s="24">
        <v>0.4</v>
      </c>
      <c r="E5912" s="24" t="s">
        <v>796</v>
      </c>
      <c r="F5912" s="24" t="s">
        <v>1192</v>
      </c>
      <c r="G5912" s="24">
        <v>173512</v>
      </c>
    </row>
    <row r="5913" spans="1:7" x14ac:dyDescent="0.25">
      <c r="A5913" s="24" t="s">
        <v>704</v>
      </c>
      <c r="B5913" s="24" t="s">
        <v>58</v>
      </c>
      <c r="C5913" s="24" t="s">
        <v>5</v>
      </c>
      <c r="D5913" s="24">
        <v>0</v>
      </c>
      <c r="E5913" s="24" t="s">
        <v>795</v>
      </c>
      <c r="F5913" s="24"/>
      <c r="G5913" s="24"/>
    </row>
    <row r="5914" spans="1:7" x14ac:dyDescent="0.25">
      <c r="A5914" s="24" t="s">
        <v>705</v>
      </c>
      <c r="B5914" s="24" t="s">
        <v>23</v>
      </c>
      <c r="C5914" s="24" t="s">
        <v>5</v>
      </c>
      <c r="D5914" s="24">
        <v>9.3000000000000007</v>
      </c>
      <c r="E5914" s="24" t="s">
        <v>796</v>
      </c>
      <c r="F5914" s="24" t="s">
        <v>1193</v>
      </c>
      <c r="G5914" s="24">
        <v>170954</v>
      </c>
    </row>
    <row r="5915" spans="1:7" x14ac:dyDescent="0.25">
      <c r="A5915" s="24" t="s">
        <v>705</v>
      </c>
      <c r="B5915" s="24" t="s">
        <v>30</v>
      </c>
      <c r="C5915" s="24" t="s">
        <v>31</v>
      </c>
      <c r="D5915" s="24">
        <v>0</v>
      </c>
      <c r="E5915" s="24" t="s">
        <v>801</v>
      </c>
      <c r="F5915" s="24" t="s">
        <v>1193</v>
      </c>
      <c r="G5915" s="24">
        <v>170954</v>
      </c>
    </row>
    <row r="5916" spans="1:7" x14ac:dyDescent="0.25">
      <c r="A5916" s="24" t="s">
        <v>705</v>
      </c>
      <c r="B5916" s="24" t="s">
        <v>32</v>
      </c>
      <c r="C5916" s="24" t="s">
        <v>33</v>
      </c>
      <c r="D5916" s="24">
        <v>2.6</v>
      </c>
      <c r="E5916" s="24" t="s">
        <v>796</v>
      </c>
      <c r="F5916" s="24" t="s">
        <v>1193</v>
      </c>
      <c r="G5916" s="24">
        <v>170954</v>
      </c>
    </row>
    <row r="5917" spans="1:7" x14ac:dyDescent="0.25">
      <c r="A5917" s="24" t="s">
        <v>705</v>
      </c>
      <c r="B5917" s="24" t="s">
        <v>35</v>
      </c>
      <c r="C5917" s="24" t="s">
        <v>36</v>
      </c>
      <c r="D5917" s="24">
        <v>0</v>
      </c>
      <c r="E5917" s="24" t="s">
        <v>796</v>
      </c>
      <c r="F5917" s="24" t="s">
        <v>1193</v>
      </c>
      <c r="G5917" s="24">
        <v>170954</v>
      </c>
    </row>
    <row r="5918" spans="1:7" x14ac:dyDescent="0.25">
      <c r="A5918" s="24" t="s">
        <v>705</v>
      </c>
      <c r="B5918" s="24" t="s">
        <v>37</v>
      </c>
      <c r="C5918" s="24" t="s">
        <v>38</v>
      </c>
      <c r="D5918" s="24">
        <v>0.1</v>
      </c>
      <c r="E5918" s="24" t="s">
        <v>796</v>
      </c>
      <c r="F5918" s="24" t="s">
        <v>1193</v>
      </c>
      <c r="G5918" s="24">
        <v>170954</v>
      </c>
    </row>
    <row r="5919" spans="1:7" x14ac:dyDescent="0.25">
      <c r="A5919" s="24" t="s">
        <v>705</v>
      </c>
      <c r="B5919" s="24" t="s">
        <v>39</v>
      </c>
      <c r="C5919" s="24" t="s">
        <v>36</v>
      </c>
      <c r="D5919" s="24">
        <v>0.5</v>
      </c>
      <c r="E5919" s="24" t="s">
        <v>796</v>
      </c>
      <c r="F5919" s="24" t="s">
        <v>1193</v>
      </c>
      <c r="G5919" s="24">
        <v>170954</v>
      </c>
    </row>
    <row r="5920" spans="1:7" x14ac:dyDescent="0.25">
      <c r="A5920" s="24" t="s">
        <v>705</v>
      </c>
      <c r="B5920" s="24" t="s">
        <v>40</v>
      </c>
      <c r="C5920" s="24" t="s">
        <v>31</v>
      </c>
      <c r="D5920" s="24">
        <v>0</v>
      </c>
      <c r="E5920" s="24" t="s">
        <v>796</v>
      </c>
      <c r="F5920" s="24" t="s">
        <v>1193</v>
      </c>
      <c r="G5920" s="24">
        <v>170954</v>
      </c>
    </row>
    <row r="5921" spans="1:7" x14ac:dyDescent="0.25">
      <c r="A5921" s="24" t="s">
        <v>705</v>
      </c>
      <c r="B5921" s="24" t="s">
        <v>41</v>
      </c>
      <c r="C5921" s="24" t="s">
        <v>31</v>
      </c>
      <c r="D5921" s="24">
        <v>0</v>
      </c>
      <c r="E5921" s="24" t="s">
        <v>796</v>
      </c>
      <c r="F5921" s="24" t="s">
        <v>1193</v>
      </c>
      <c r="G5921" s="24">
        <v>170954</v>
      </c>
    </row>
    <row r="5922" spans="1:7" x14ac:dyDescent="0.25">
      <c r="A5922" s="24" t="s">
        <v>705</v>
      </c>
      <c r="B5922" s="24" t="s">
        <v>42</v>
      </c>
      <c r="C5922" s="24" t="s">
        <v>43</v>
      </c>
      <c r="D5922" s="24">
        <v>0.1</v>
      </c>
      <c r="E5922" s="24" t="s">
        <v>796</v>
      </c>
      <c r="F5922" s="24" t="s">
        <v>1193</v>
      </c>
      <c r="G5922" s="24">
        <v>170954</v>
      </c>
    </row>
    <row r="5923" spans="1:7" x14ac:dyDescent="0.25">
      <c r="A5923" s="24" t="s">
        <v>705</v>
      </c>
      <c r="B5923" s="24" t="s">
        <v>44</v>
      </c>
      <c r="C5923" s="24" t="s">
        <v>31</v>
      </c>
      <c r="D5923" s="24">
        <v>0.1</v>
      </c>
      <c r="E5923" s="24" t="s">
        <v>796</v>
      </c>
      <c r="F5923" s="24" t="s">
        <v>1193</v>
      </c>
      <c r="G5923" s="24">
        <v>170954</v>
      </c>
    </row>
    <row r="5924" spans="1:7" x14ac:dyDescent="0.25">
      <c r="A5924" s="24" t="s">
        <v>705</v>
      </c>
      <c r="B5924" s="24" t="s">
        <v>45</v>
      </c>
      <c r="C5924" s="24" t="s">
        <v>31</v>
      </c>
      <c r="D5924" s="24">
        <v>0.1</v>
      </c>
      <c r="E5924" s="24" t="s">
        <v>796</v>
      </c>
      <c r="F5924" s="24" t="s">
        <v>1193</v>
      </c>
      <c r="G5924" s="24">
        <v>170954</v>
      </c>
    </row>
    <row r="5925" spans="1:7" x14ac:dyDescent="0.25">
      <c r="A5925" s="24" t="s">
        <v>705</v>
      </c>
      <c r="B5925" s="24" t="s">
        <v>46</v>
      </c>
      <c r="C5925" s="24" t="s">
        <v>36</v>
      </c>
      <c r="D5925" s="24">
        <v>0</v>
      </c>
      <c r="E5925" s="24" t="s">
        <v>796</v>
      </c>
      <c r="F5925" s="24" t="s">
        <v>1193</v>
      </c>
      <c r="G5925" s="24">
        <v>170954</v>
      </c>
    </row>
    <row r="5926" spans="1:7" x14ac:dyDescent="0.25">
      <c r="A5926" s="24" t="s">
        <v>705</v>
      </c>
      <c r="B5926" s="24" t="s">
        <v>47</v>
      </c>
      <c r="C5926" s="24" t="s">
        <v>48</v>
      </c>
      <c r="D5926" s="24">
        <v>15.6</v>
      </c>
      <c r="E5926" s="24" t="s">
        <v>796</v>
      </c>
      <c r="F5926" s="24" t="s">
        <v>1193</v>
      </c>
      <c r="G5926" s="24">
        <v>170954</v>
      </c>
    </row>
    <row r="5927" spans="1:7" x14ac:dyDescent="0.25">
      <c r="A5927" s="24" t="s">
        <v>705</v>
      </c>
      <c r="B5927" s="24" t="s">
        <v>49</v>
      </c>
      <c r="C5927" s="24" t="s">
        <v>31</v>
      </c>
      <c r="D5927" s="24">
        <v>0</v>
      </c>
      <c r="E5927" s="24" t="s">
        <v>796</v>
      </c>
      <c r="F5927" s="24" t="s">
        <v>1193</v>
      </c>
      <c r="G5927" s="24">
        <v>170954</v>
      </c>
    </row>
    <row r="5928" spans="1:7" x14ac:dyDescent="0.25">
      <c r="A5928" s="24" t="s">
        <v>705</v>
      </c>
      <c r="B5928" s="24" t="s">
        <v>50</v>
      </c>
      <c r="C5928" s="24" t="s">
        <v>31</v>
      </c>
      <c r="D5928" s="24">
        <v>59.1</v>
      </c>
      <c r="E5928" s="24" t="s">
        <v>796</v>
      </c>
      <c r="F5928" s="24" t="s">
        <v>1193</v>
      </c>
      <c r="G5928" s="24">
        <v>170954</v>
      </c>
    </row>
    <row r="5929" spans="1:7" x14ac:dyDescent="0.25">
      <c r="A5929" s="24" t="s">
        <v>705</v>
      </c>
      <c r="B5929" s="24" t="s">
        <v>52</v>
      </c>
      <c r="C5929" s="24" t="s">
        <v>31</v>
      </c>
      <c r="D5929" s="24">
        <v>4.3</v>
      </c>
      <c r="E5929" s="24" t="s">
        <v>796</v>
      </c>
      <c r="F5929" s="24" t="s">
        <v>1193</v>
      </c>
      <c r="G5929" s="24">
        <v>170954</v>
      </c>
    </row>
    <row r="5930" spans="1:7" x14ac:dyDescent="0.25">
      <c r="A5930" s="24" t="s">
        <v>705</v>
      </c>
      <c r="B5930" s="24" t="s">
        <v>53</v>
      </c>
      <c r="C5930" s="24" t="s">
        <v>31</v>
      </c>
      <c r="D5930" s="24">
        <v>5.2</v>
      </c>
      <c r="E5930" s="24" t="s">
        <v>796</v>
      </c>
      <c r="F5930" s="24" t="s">
        <v>1193</v>
      </c>
      <c r="G5930" s="24">
        <v>170954</v>
      </c>
    </row>
    <row r="5931" spans="1:7" x14ac:dyDescent="0.25">
      <c r="A5931" s="24" t="s">
        <v>705</v>
      </c>
      <c r="B5931" s="24" t="s">
        <v>55</v>
      </c>
      <c r="C5931" s="24" t="s">
        <v>31</v>
      </c>
      <c r="D5931" s="24">
        <v>0</v>
      </c>
      <c r="E5931" s="24" t="s">
        <v>796</v>
      </c>
      <c r="F5931" s="24" t="s">
        <v>1193</v>
      </c>
      <c r="G5931" s="24">
        <v>170954</v>
      </c>
    </row>
    <row r="5932" spans="1:7" x14ac:dyDescent="0.25">
      <c r="A5932" s="24" t="s">
        <v>705</v>
      </c>
      <c r="B5932" s="24" t="s">
        <v>56</v>
      </c>
      <c r="C5932" s="24" t="s">
        <v>31</v>
      </c>
      <c r="D5932" s="24">
        <v>0</v>
      </c>
      <c r="E5932" s="24" t="s">
        <v>796</v>
      </c>
      <c r="F5932" s="24" t="s">
        <v>1193</v>
      </c>
      <c r="G5932" s="24">
        <v>170954</v>
      </c>
    </row>
    <row r="5933" spans="1:7" x14ac:dyDescent="0.25">
      <c r="A5933" s="24" t="s">
        <v>705</v>
      </c>
      <c r="B5933" s="24" t="s">
        <v>57</v>
      </c>
      <c r="C5933" s="24" t="s">
        <v>36</v>
      </c>
      <c r="D5933" s="24">
        <v>0.5</v>
      </c>
      <c r="E5933" s="24" t="s">
        <v>796</v>
      </c>
      <c r="F5933" s="24" t="s">
        <v>1193</v>
      </c>
      <c r="G5933" s="24">
        <v>170954</v>
      </c>
    </row>
    <row r="5934" spans="1:7" x14ac:dyDescent="0.25">
      <c r="A5934" s="24" t="s">
        <v>705</v>
      </c>
      <c r="B5934" s="24" t="s">
        <v>58</v>
      </c>
      <c r="C5934" s="24" t="s">
        <v>5</v>
      </c>
      <c r="D5934" s="24">
        <v>0</v>
      </c>
      <c r="E5934" s="24" t="s">
        <v>795</v>
      </c>
      <c r="F5934" s="24"/>
      <c r="G5934" s="24"/>
    </row>
    <row r="5935" spans="1:7" x14ac:dyDescent="0.25">
      <c r="A5935" s="24" t="s">
        <v>706</v>
      </c>
      <c r="B5935" s="24" t="s">
        <v>21</v>
      </c>
      <c r="C5935" s="24" t="s">
        <v>5</v>
      </c>
      <c r="D5935" s="24">
        <v>0.5</v>
      </c>
      <c r="E5935" s="24" t="s">
        <v>796</v>
      </c>
      <c r="F5935" s="24" t="s">
        <v>1194</v>
      </c>
      <c r="G5935" s="24">
        <v>171338</v>
      </c>
    </row>
    <row r="5936" spans="1:7" x14ac:dyDescent="0.25">
      <c r="A5936" s="24" t="s">
        <v>706</v>
      </c>
      <c r="B5936" s="24" t="s">
        <v>23</v>
      </c>
      <c r="C5936" s="24" t="s">
        <v>5</v>
      </c>
      <c r="D5936" s="24">
        <v>11.7</v>
      </c>
      <c r="E5936" s="24" t="s">
        <v>796</v>
      </c>
      <c r="F5936" s="24" t="s">
        <v>1194</v>
      </c>
      <c r="G5936" s="24">
        <v>171338</v>
      </c>
    </row>
    <row r="5937" spans="1:7" x14ac:dyDescent="0.25">
      <c r="A5937" s="24" t="s">
        <v>706</v>
      </c>
      <c r="B5937" s="24" t="s">
        <v>26</v>
      </c>
      <c r="C5937" s="24" t="s">
        <v>5</v>
      </c>
      <c r="D5937" s="24">
        <v>0.01</v>
      </c>
      <c r="E5937" s="24" t="s">
        <v>799</v>
      </c>
      <c r="F5937" s="24" t="s">
        <v>1194</v>
      </c>
      <c r="G5937" s="24">
        <v>171338</v>
      </c>
    </row>
    <row r="5938" spans="1:7" x14ac:dyDescent="0.25">
      <c r="A5938" s="24" t="s">
        <v>706</v>
      </c>
      <c r="B5938" s="24" t="s">
        <v>27</v>
      </c>
      <c r="C5938" s="24" t="s">
        <v>5</v>
      </c>
      <c r="D5938" s="24">
        <v>0.02</v>
      </c>
      <c r="E5938" s="24" t="s">
        <v>799</v>
      </c>
      <c r="F5938" s="24" t="s">
        <v>1194</v>
      </c>
      <c r="G5938" s="24">
        <v>171338</v>
      </c>
    </row>
    <row r="5939" spans="1:7" x14ac:dyDescent="0.25">
      <c r="A5939" s="24" t="s">
        <v>706</v>
      </c>
      <c r="B5939" s="24" t="s">
        <v>28</v>
      </c>
      <c r="C5939" s="24" t="s">
        <v>5</v>
      </c>
      <c r="D5939" s="24">
        <v>0.02</v>
      </c>
      <c r="E5939" s="24" t="s">
        <v>799</v>
      </c>
      <c r="F5939" s="24" t="s">
        <v>1194</v>
      </c>
      <c r="G5939" s="24">
        <v>171338</v>
      </c>
    </row>
    <row r="5940" spans="1:7" x14ac:dyDescent="0.25">
      <c r="A5940" s="24" t="s">
        <v>706</v>
      </c>
      <c r="B5940" s="24" t="s">
        <v>30</v>
      </c>
      <c r="C5940" s="24" t="s">
        <v>31</v>
      </c>
      <c r="D5940" s="24">
        <v>0</v>
      </c>
      <c r="E5940" s="24" t="s">
        <v>801</v>
      </c>
      <c r="F5940" s="24" t="s">
        <v>1194</v>
      </c>
      <c r="G5940" s="24">
        <v>171338</v>
      </c>
    </row>
    <row r="5941" spans="1:7" x14ac:dyDescent="0.25">
      <c r="A5941" s="24" t="s">
        <v>706</v>
      </c>
      <c r="B5941" s="24" t="s">
        <v>32</v>
      </c>
      <c r="C5941" s="24" t="s">
        <v>33</v>
      </c>
      <c r="D5941" s="24">
        <v>1.7</v>
      </c>
      <c r="E5941" s="24" t="s">
        <v>796</v>
      </c>
      <c r="F5941" s="24" t="s">
        <v>1194</v>
      </c>
      <c r="G5941" s="24">
        <v>171338</v>
      </c>
    </row>
    <row r="5942" spans="1:7" x14ac:dyDescent="0.25">
      <c r="A5942" s="24" t="s">
        <v>706</v>
      </c>
      <c r="B5942" s="24" t="s">
        <v>34</v>
      </c>
      <c r="C5942" s="24" t="s">
        <v>31</v>
      </c>
      <c r="D5942" s="24">
        <v>41</v>
      </c>
      <c r="E5942" s="24" t="s">
        <v>796</v>
      </c>
      <c r="F5942" s="24" t="s">
        <v>1194</v>
      </c>
      <c r="G5942" s="24">
        <v>171338</v>
      </c>
    </row>
    <row r="5943" spans="1:7" x14ac:dyDescent="0.25">
      <c r="A5943" s="24" t="s">
        <v>706</v>
      </c>
      <c r="B5943" s="24" t="s">
        <v>35</v>
      </c>
      <c r="C5943" s="24" t="s">
        <v>36</v>
      </c>
      <c r="D5943" s="24">
        <v>0</v>
      </c>
      <c r="E5943" s="24" t="s">
        <v>796</v>
      </c>
      <c r="F5943" s="24" t="s">
        <v>1194</v>
      </c>
      <c r="G5943" s="24">
        <v>171338</v>
      </c>
    </row>
    <row r="5944" spans="1:7" x14ac:dyDescent="0.25">
      <c r="A5944" s="24" t="s">
        <v>706</v>
      </c>
      <c r="B5944" s="24" t="s">
        <v>37</v>
      </c>
      <c r="C5944" s="24" t="s">
        <v>38</v>
      </c>
      <c r="D5944" s="24">
        <v>0.2</v>
      </c>
      <c r="E5944" s="24" t="s">
        <v>796</v>
      </c>
      <c r="F5944" s="24" t="s">
        <v>1194</v>
      </c>
      <c r="G5944" s="24">
        <v>171338</v>
      </c>
    </row>
    <row r="5945" spans="1:7" x14ac:dyDescent="0.25">
      <c r="A5945" s="24" t="s">
        <v>706</v>
      </c>
      <c r="B5945" s="24" t="s">
        <v>39</v>
      </c>
      <c r="C5945" s="24" t="s">
        <v>36</v>
      </c>
      <c r="D5945" s="24">
        <v>5.4</v>
      </c>
      <c r="E5945" s="24" t="s">
        <v>796</v>
      </c>
      <c r="F5945" s="24" t="s">
        <v>1194</v>
      </c>
      <c r="G5945" s="24">
        <v>171338</v>
      </c>
    </row>
    <row r="5946" spans="1:7" x14ac:dyDescent="0.25">
      <c r="A5946" s="24" t="s">
        <v>706</v>
      </c>
      <c r="B5946" s="24" t="s">
        <v>40</v>
      </c>
      <c r="C5946" s="24" t="s">
        <v>31</v>
      </c>
      <c r="D5946" s="24">
        <v>0</v>
      </c>
      <c r="E5946" s="24" t="s">
        <v>796</v>
      </c>
      <c r="F5946" s="24" t="s">
        <v>1194</v>
      </c>
      <c r="G5946" s="24">
        <v>171338</v>
      </c>
    </row>
    <row r="5947" spans="1:7" x14ac:dyDescent="0.25">
      <c r="A5947" s="24" t="s">
        <v>706</v>
      </c>
      <c r="B5947" s="24" t="s">
        <v>41</v>
      </c>
      <c r="C5947" s="24" t="s">
        <v>31</v>
      </c>
      <c r="D5947" s="24">
        <v>0</v>
      </c>
      <c r="E5947" s="24" t="s">
        <v>796</v>
      </c>
      <c r="F5947" s="24" t="s">
        <v>1194</v>
      </c>
      <c r="G5947" s="24">
        <v>171338</v>
      </c>
    </row>
    <row r="5948" spans="1:7" x14ac:dyDescent="0.25">
      <c r="A5948" s="24" t="s">
        <v>706</v>
      </c>
      <c r="B5948" s="24" t="s">
        <v>42</v>
      </c>
      <c r="C5948" s="24" t="s">
        <v>43</v>
      </c>
      <c r="D5948" s="24">
        <v>0.3</v>
      </c>
      <c r="E5948" s="24" t="s">
        <v>796</v>
      </c>
      <c r="F5948" s="24" t="s">
        <v>1194</v>
      </c>
      <c r="G5948" s="24">
        <v>171338</v>
      </c>
    </row>
    <row r="5949" spans="1:7" x14ac:dyDescent="0.25">
      <c r="A5949" s="24" t="s">
        <v>706</v>
      </c>
      <c r="B5949" s="24" t="s">
        <v>44</v>
      </c>
      <c r="C5949" s="24" t="s">
        <v>31</v>
      </c>
      <c r="D5949" s="24">
        <v>0</v>
      </c>
      <c r="E5949" s="24" t="s">
        <v>796</v>
      </c>
      <c r="F5949" s="24" t="s">
        <v>1194</v>
      </c>
      <c r="G5949" s="24">
        <v>171338</v>
      </c>
    </row>
    <row r="5950" spans="1:7" x14ac:dyDescent="0.25">
      <c r="A5950" s="24" t="s">
        <v>706</v>
      </c>
      <c r="B5950" s="24" t="s">
        <v>45</v>
      </c>
      <c r="C5950" s="24" t="s">
        <v>31</v>
      </c>
      <c r="D5950" s="24">
        <v>0.2</v>
      </c>
      <c r="E5950" s="24" t="s">
        <v>796</v>
      </c>
      <c r="F5950" s="24" t="s">
        <v>1194</v>
      </c>
      <c r="G5950" s="24">
        <v>171338</v>
      </c>
    </row>
    <row r="5951" spans="1:7" x14ac:dyDescent="0.25">
      <c r="A5951" s="24" t="s">
        <v>706</v>
      </c>
      <c r="B5951" s="24" t="s">
        <v>46</v>
      </c>
      <c r="C5951" s="24" t="s">
        <v>36</v>
      </c>
      <c r="D5951" s="24">
        <v>0</v>
      </c>
      <c r="E5951" s="24" t="s">
        <v>796</v>
      </c>
      <c r="F5951" s="24" t="s">
        <v>1194</v>
      </c>
      <c r="G5951" s="24">
        <v>171338</v>
      </c>
    </row>
    <row r="5952" spans="1:7" x14ac:dyDescent="0.25">
      <c r="A5952" s="24" t="s">
        <v>706</v>
      </c>
      <c r="B5952" s="24" t="s">
        <v>47</v>
      </c>
      <c r="C5952" s="24" t="s">
        <v>48</v>
      </c>
      <c r="D5952" s="24">
        <v>6.7</v>
      </c>
      <c r="E5952" s="24" t="s">
        <v>796</v>
      </c>
      <c r="F5952" s="24" t="s">
        <v>1194</v>
      </c>
      <c r="G5952" s="24">
        <v>171338</v>
      </c>
    </row>
    <row r="5953" spans="1:7" x14ac:dyDescent="0.25">
      <c r="A5953" s="24" t="s">
        <v>706</v>
      </c>
      <c r="B5953" s="24" t="s">
        <v>50</v>
      </c>
      <c r="C5953" s="24" t="s">
        <v>31</v>
      </c>
      <c r="D5953" s="24">
        <v>217.4</v>
      </c>
      <c r="E5953" s="24" t="s">
        <v>796</v>
      </c>
      <c r="F5953" s="24" t="s">
        <v>1194</v>
      </c>
      <c r="G5953" s="24">
        <v>171338</v>
      </c>
    </row>
    <row r="5954" spans="1:7" x14ac:dyDescent="0.25">
      <c r="A5954" s="24" t="s">
        <v>706</v>
      </c>
      <c r="B5954" s="24" t="s">
        <v>51</v>
      </c>
      <c r="C5954" s="24" t="s">
        <v>31</v>
      </c>
      <c r="D5954" s="24">
        <v>13.4</v>
      </c>
      <c r="E5954" s="24" t="s">
        <v>796</v>
      </c>
      <c r="F5954" s="24" t="s">
        <v>1194</v>
      </c>
      <c r="G5954" s="24">
        <v>171338</v>
      </c>
    </row>
    <row r="5955" spans="1:7" x14ac:dyDescent="0.25">
      <c r="A5955" s="24" t="s">
        <v>706</v>
      </c>
      <c r="B5955" s="24" t="s">
        <v>52</v>
      </c>
      <c r="C5955" s="24" t="s">
        <v>31</v>
      </c>
      <c r="D5955" s="24">
        <v>20.100000000000001</v>
      </c>
      <c r="E5955" s="24" t="s">
        <v>796</v>
      </c>
      <c r="F5955" s="24" t="s">
        <v>1194</v>
      </c>
      <c r="G5955" s="24">
        <v>171338</v>
      </c>
    </row>
    <row r="5956" spans="1:7" x14ac:dyDescent="0.25">
      <c r="A5956" s="24" t="s">
        <v>706</v>
      </c>
      <c r="B5956" s="24" t="s">
        <v>53</v>
      </c>
      <c r="C5956" s="24" t="s">
        <v>31</v>
      </c>
      <c r="D5956" s="24">
        <v>13.4</v>
      </c>
      <c r="E5956" s="24" t="s">
        <v>796</v>
      </c>
      <c r="F5956" s="24" t="s">
        <v>1194</v>
      </c>
      <c r="G5956" s="24">
        <v>171338</v>
      </c>
    </row>
    <row r="5957" spans="1:7" x14ac:dyDescent="0.25">
      <c r="A5957" s="24" t="s">
        <v>706</v>
      </c>
      <c r="B5957" s="24" t="s">
        <v>54</v>
      </c>
      <c r="C5957" s="24" t="s">
        <v>31</v>
      </c>
      <c r="D5957" s="24">
        <v>0.4</v>
      </c>
      <c r="E5957" s="24" t="s">
        <v>796</v>
      </c>
      <c r="F5957" s="24" t="s">
        <v>1194</v>
      </c>
      <c r="G5957" s="24">
        <v>171338</v>
      </c>
    </row>
    <row r="5958" spans="1:7" x14ac:dyDescent="0.25">
      <c r="A5958" s="24" t="s">
        <v>706</v>
      </c>
      <c r="B5958" s="24" t="s">
        <v>55</v>
      </c>
      <c r="C5958" s="24" t="s">
        <v>31</v>
      </c>
      <c r="D5958" s="24">
        <v>0.1</v>
      </c>
      <c r="E5958" s="24" t="s">
        <v>796</v>
      </c>
      <c r="F5958" s="24" t="s">
        <v>1194</v>
      </c>
      <c r="G5958" s="24">
        <v>171338</v>
      </c>
    </row>
    <row r="5959" spans="1:7" x14ac:dyDescent="0.25">
      <c r="A5959" s="24" t="s">
        <v>706</v>
      </c>
      <c r="B5959" s="24" t="s">
        <v>56</v>
      </c>
      <c r="C5959" s="24" t="s">
        <v>31</v>
      </c>
      <c r="D5959" s="24">
        <v>0.1</v>
      </c>
      <c r="E5959" s="24" t="s">
        <v>796</v>
      </c>
      <c r="F5959" s="24" t="s">
        <v>1194</v>
      </c>
      <c r="G5959" s="24">
        <v>171338</v>
      </c>
    </row>
    <row r="5960" spans="1:7" x14ac:dyDescent="0.25">
      <c r="A5960" s="24" t="s">
        <v>706</v>
      </c>
      <c r="B5960" s="24" t="s">
        <v>57</v>
      </c>
      <c r="C5960" s="24" t="s">
        <v>36</v>
      </c>
      <c r="D5960" s="24">
        <v>0.7</v>
      </c>
      <c r="E5960" s="24" t="s">
        <v>796</v>
      </c>
      <c r="F5960" s="24" t="s">
        <v>1194</v>
      </c>
      <c r="G5960" s="24">
        <v>171338</v>
      </c>
    </row>
    <row r="5961" spans="1:7" x14ac:dyDescent="0.25">
      <c r="A5961" s="24" t="s">
        <v>706</v>
      </c>
      <c r="B5961" s="24" t="s">
        <v>58</v>
      </c>
      <c r="C5961" s="24" t="s">
        <v>5</v>
      </c>
      <c r="D5961" s="24">
        <v>0</v>
      </c>
      <c r="E5961" s="24" t="s">
        <v>795</v>
      </c>
      <c r="F5961" s="24"/>
      <c r="G5961" s="24"/>
    </row>
    <row r="5962" spans="1:7" x14ac:dyDescent="0.25">
      <c r="A5962" s="24" t="s">
        <v>707</v>
      </c>
      <c r="B5962" s="24" t="s">
        <v>58</v>
      </c>
      <c r="C5962" s="24" t="s">
        <v>5</v>
      </c>
      <c r="D5962" s="24">
        <v>0</v>
      </c>
      <c r="E5962" s="24" t="s">
        <v>795</v>
      </c>
      <c r="F5962" s="24"/>
      <c r="G5962" s="24"/>
    </row>
    <row r="5963" spans="1:7" x14ac:dyDescent="0.25">
      <c r="A5963" s="24" t="s">
        <v>708</v>
      </c>
      <c r="B5963" s="24" t="s">
        <v>58</v>
      </c>
      <c r="C5963" s="24" t="s">
        <v>5</v>
      </c>
      <c r="D5963" s="24">
        <v>0</v>
      </c>
      <c r="E5963" s="24" t="s">
        <v>795</v>
      </c>
      <c r="F5963" s="24"/>
      <c r="G5963" s="24"/>
    </row>
    <row r="5964" spans="1:7" x14ac:dyDescent="0.25">
      <c r="A5964" s="24" t="s">
        <v>709</v>
      </c>
      <c r="B5964" s="24" t="s">
        <v>58</v>
      </c>
      <c r="C5964" s="24" t="s">
        <v>5</v>
      </c>
      <c r="D5964" s="24">
        <v>0</v>
      </c>
      <c r="E5964" s="24" t="s">
        <v>795</v>
      </c>
      <c r="F5964" s="24"/>
      <c r="G5964" s="24"/>
    </row>
    <row r="5965" spans="1:7" x14ac:dyDescent="0.25">
      <c r="A5965" s="24" t="s">
        <v>710</v>
      </c>
      <c r="B5965" s="24" t="s">
        <v>58</v>
      </c>
      <c r="C5965" s="24" t="s">
        <v>5</v>
      </c>
      <c r="D5965" s="24">
        <v>0</v>
      </c>
      <c r="E5965" s="24" t="s">
        <v>795</v>
      </c>
      <c r="F5965" s="24"/>
      <c r="G5965" s="24"/>
    </row>
    <row r="5966" spans="1:7" x14ac:dyDescent="0.25">
      <c r="A5966" s="24" t="s">
        <v>711</v>
      </c>
      <c r="B5966" s="24" t="s">
        <v>58</v>
      </c>
      <c r="C5966" s="24" t="s">
        <v>5</v>
      </c>
      <c r="D5966" s="24">
        <v>0</v>
      </c>
      <c r="E5966" s="24" t="s">
        <v>795</v>
      </c>
      <c r="F5966" s="24"/>
      <c r="G5966" s="24"/>
    </row>
    <row r="5967" spans="1:7" x14ac:dyDescent="0.25">
      <c r="A5967" s="24" t="s">
        <v>712</v>
      </c>
      <c r="B5967" s="24" t="s">
        <v>58</v>
      </c>
      <c r="C5967" s="24" t="s">
        <v>5</v>
      </c>
      <c r="D5967" s="24">
        <v>0</v>
      </c>
      <c r="E5967" s="24" t="s">
        <v>795</v>
      </c>
      <c r="F5967" s="24"/>
      <c r="G5967" s="24"/>
    </row>
    <row r="5968" spans="1:7" x14ac:dyDescent="0.25">
      <c r="A5968" s="24" t="s">
        <v>714</v>
      </c>
      <c r="B5968" s="24" t="s">
        <v>58</v>
      </c>
      <c r="C5968" s="24" t="s">
        <v>5</v>
      </c>
      <c r="D5968" s="24">
        <v>0</v>
      </c>
      <c r="E5968" s="24" t="s">
        <v>795</v>
      </c>
      <c r="F5968" s="24"/>
      <c r="G5968" s="24"/>
    </row>
    <row r="5969" spans="1:7" x14ac:dyDescent="0.25">
      <c r="A5969" s="24" t="s">
        <v>715</v>
      </c>
      <c r="B5969" s="24" t="s">
        <v>58</v>
      </c>
      <c r="C5969" s="24" t="s">
        <v>5</v>
      </c>
      <c r="D5969" s="24">
        <v>0</v>
      </c>
      <c r="E5969" s="24" t="s">
        <v>795</v>
      </c>
      <c r="F5969" s="24"/>
      <c r="G5969" s="24"/>
    </row>
    <row r="5970" spans="1:7" x14ac:dyDescent="0.25">
      <c r="A5970" s="24" t="s">
        <v>716</v>
      </c>
      <c r="B5970" s="24" t="s">
        <v>58</v>
      </c>
      <c r="C5970" s="24" t="s">
        <v>5</v>
      </c>
      <c r="D5970" s="24">
        <v>0</v>
      </c>
      <c r="E5970" s="24" t="s">
        <v>795</v>
      </c>
      <c r="F5970" s="24"/>
      <c r="G5970" s="24"/>
    </row>
    <row r="5971" spans="1:7" x14ac:dyDescent="0.25">
      <c r="A5971" s="24" t="s">
        <v>717</v>
      </c>
      <c r="B5971" s="24" t="s">
        <v>58</v>
      </c>
      <c r="C5971" s="24" t="s">
        <v>5</v>
      </c>
      <c r="D5971" s="24">
        <v>0</v>
      </c>
      <c r="E5971" s="24" t="s">
        <v>795</v>
      </c>
      <c r="F5971" s="24"/>
      <c r="G5971" s="24"/>
    </row>
    <row r="5972" spans="1:7" x14ac:dyDescent="0.25">
      <c r="A5972" s="24" t="s">
        <v>718</v>
      </c>
      <c r="B5972" s="24" t="s">
        <v>58</v>
      </c>
      <c r="C5972" s="24" t="s">
        <v>5</v>
      </c>
      <c r="D5972" s="24">
        <v>0</v>
      </c>
      <c r="E5972" s="24" t="s">
        <v>795</v>
      </c>
      <c r="F5972" s="24"/>
      <c r="G5972" s="24"/>
    </row>
    <row r="5973" spans="1:7" x14ac:dyDescent="0.25">
      <c r="A5973" s="24" t="s">
        <v>719</v>
      </c>
      <c r="B5973" s="24" t="s">
        <v>58</v>
      </c>
      <c r="C5973" s="24" t="s">
        <v>5</v>
      </c>
      <c r="D5973" s="24">
        <v>0</v>
      </c>
      <c r="E5973" s="24" t="s">
        <v>795</v>
      </c>
      <c r="F5973" s="24"/>
      <c r="G5973" s="24"/>
    </row>
    <row r="5974" spans="1:7" x14ac:dyDescent="0.25">
      <c r="A5974" s="24" t="s">
        <v>720</v>
      </c>
      <c r="B5974" s="24" t="s">
        <v>58</v>
      </c>
      <c r="C5974" s="24" t="s">
        <v>5</v>
      </c>
      <c r="D5974" s="24">
        <v>0</v>
      </c>
      <c r="E5974" s="24" t="s">
        <v>795</v>
      </c>
      <c r="F5974" s="24"/>
      <c r="G5974" s="24"/>
    </row>
    <row r="5975" spans="1:7" x14ac:dyDescent="0.25">
      <c r="A5975" s="24" t="s">
        <v>721</v>
      </c>
      <c r="B5975" s="24" t="s">
        <v>58</v>
      </c>
      <c r="C5975" s="24" t="s">
        <v>5</v>
      </c>
      <c r="D5975" s="24">
        <v>0</v>
      </c>
      <c r="E5975" s="24" t="s">
        <v>795</v>
      </c>
      <c r="F5975" s="24"/>
      <c r="G5975" s="24"/>
    </row>
    <row r="5976" spans="1:7" x14ac:dyDescent="0.25">
      <c r="A5976" s="24" t="s">
        <v>722</v>
      </c>
      <c r="B5976" s="24" t="s">
        <v>58</v>
      </c>
      <c r="C5976" s="24" t="s">
        <v>5</v>
      </c>
      <c r="D5976" s="24">
        <v>0</v>
      </c>
      <c r="E5976" s="24" t="s">
        <v>795</v>
      </c>
      <c r="F5976" s="24"/>
      <c r="G5976" s="24"/>
    </row>
    <row r="5977" spans="1:7" x14ac:dyDescent="0.25">
      <c r="A5977" s="24" t="s">
        <v>723</v>
      </c>
      <c r="B5977" s="24" t="s">
        <v>58</v>
      </c>
      <c r="C5977" s="24" t="s">
        <v>5</v>
      </c>
      <c r="D5977" s="24">
        <v>0</v>
      </c>
      <c r="E5977" s="24" t="s">
        <v>795</v>
      </c>
      <c r="F5977" s="24"/>
      <c r="G5977" s="24"/>
    </row>
    <row r="5978" spans="1:7" x14ac:dyDescent="0.25">
      <c r="A5978" s="24" t="s">
        <v>724</v>
      </c>
      <c r="B5978" s="24" t="s">
        <v>58</v>
      </c>
      <c r="C5978" s="24" t="s">
        <v>5</v>
      </c>
      <c r="D5978" s="24">
        <v>0</v>
      </c>
      <c r="E5978" s="24" t="s">
        <v>795</v>
      </c>
      <c r="F5978" s="24"/>
      <c r="G5978" s="24"/>
    </row>
    <row r="5979" spans="1:7" x14ac:dyDescent="0.25">
      <c r="A5979" s="24" t="s">
        <v>725</v>
      </c>
      <c r="B5979" s="24" t="s">
        <v>58</v>
      </c>
      <c r="C5979" s="24" t="s">
        <v>5</v>
      </c>
      <c r="D5979" s="24">
        <v>0</v>
      </c>
      <c r="E5979" s="24" t="s">
        <v>795</v>
      </c>
      <c r="F5979" s="24"/>
      <c r="G5979" s="24"/>
    </row>
    <row r="5980" spans="1:7" x14ac:dyDescent="0.25">
      <c r="A5980" s="24" t="s">
        <v>726</v>
      </c>
      <c r="B5980" s="24" t="s">
        <v>58</v>
      </c>
      <c r="C5980" s="24" t="s">
        <v>5</v>
      </c>
      <c r="D5980" s="24">
        <v>0</v>
      </c>
      <c r="E5980" s="24" t="s">
        <v>795</v>
      </c>
      <c r="F5980" s="24"/>
      <c r="G5980" s="24"/>
    </row>
    <row r="5981" spans="1:7" x14ac:dyDescent="0.25">
      <c r="A5981" s="24" t="s">
        <v>727</v>
      </c>
      <c r="B5981" s="24" t="s">
        <v>58</v>
      </c>
      <c r="C5981" s="24" t="s">
        <v>5</v>
      </c>
      <c r="D5981" s="24">
        <v>0</v>
      </c>
      <c r="E5981" s="24" t="s">
        <v>795</v>
      </c>
      <c r="F5981" s="24"/>
      <c r="G5981" s="24"/>
    </row>
    <row r="5982" spans="1:7" x14ac:dyDescent="0.25">
      <c r="A5982" s="24" t="s">
        <v>728</v>
      </c>
      <c r="B5982" s="24" t="s">
        <v>58</v>
      </c>
      <c r="C5982" s="24" t="s">
        <v>5</v>
      </c>
      <c r="D5982" s="24">
        <v>0</v>
      </c>
      <c r="E5982" s="24" t="s">
        <v>795</v>
      </c>
      <c r="F5982" s="24"/>
      <c r="G5982" s="24"/>
    </row>
    <row r="5983" spans="1:7" x14ac:dyDescent="0.25">
      <c r="A5983" s="24" t="s">
        <v>729</v>
      </c>
      <c r="B5983" s="24" t="s">
        <v>58</v>
      </c>
      <c r="C5983" s="24" t="s">
        <v>5</v>
      </c>
      <c r="D5983" s="24">
        <v>0</v>
      </c>
      <c r="E5983" s="24" t="s">
        <v>795</v>
      </c>
      <c r="F5983" s="24"/>
      <c r="G5983" s="24"/>
    </row>
    <row r="5984" spans="1:7" x14ac:dyDescent="0.25">
      <c r="A5984" s="24" t="s">
        <v>730</v>
      </c>
      <c r="B5984" s="24" t="s">
        <v>58</v>
      </c>
      <c r="C5984" s="24" t="s">
        <v>5</v>
      </c>
      <c r="D5984" s="24">
        <v>0</v>
      </c>
      <c r="E5984" s="24" t="s">
        <v>795</v>
      </c>
      <c r="F5984" s="24"/>
      <c r="G5984" s="24"/>
    </row>
    <row r="5985" spans="1:7" x14ac:dyDescent="0.25">
      <c r="A5985" s="24" t="s">
        <v>731</v>
      </c>
      <c r="B5985" s="24" t="s">
        <v>58</v>
      </c>
      <c r="C5985" s="24" t="s">
        <v>5</v>
      </c>
      <c r="D5985" s="24">
        <v>0</v>
      </c>
      <c r="E5985" s="24" t="s">
        <v>795</v>
      </c>
      <c r="F5985" s="24"/>
      <c r="G5985" s="24"/>
    </row>
    <row r="5986" spans="1:7" x14ac:dyDescent="0.25">
      <c r="A5986" s="24" t="s">
        <v>732</v>
      </c>
      <c r="B5986" s="24" t="s">
        <v>58</v>
      </c>
      <c r="C5986" s="24" t="s">
        <v>5</v>
      </c>
      <c r="D5986" s="24">
        <v>0</v>
      </c>
      <c r="E5986" s="24" t="s">
        <v>795</v>
      </c>
      <c r="F5986" s="24"/>
      <c r="G5986" s="24"/>
    </row>
    <row r="5987" spans="1:7" x14ac:dyDescent="0.25">
      <c r="A5987" s="24" t="s">
        <v>733</v>
      </c>
      <c r="B5987" s="24" t="s">
        <v>58</v>
      </c>
      <c r="C5987" s="24" t="s">
        <v>5</v>
      </c>
      <c r="D5987" s="24">
        <v>0</v>
      </c>
      <c r="E5987" s="24" t="s">
        <v>795</v>
      </c>
      <c r="F5987" s="24"/>
      <c r="G5987" s="24"/>
    </row>
    <row r="5988" spans="1:7" x14ac:dyDescent="0.25">
      <c r="A5988" s="24" t="s">
        <v>734</v>
      </c>
      <c r="B5988" s="24" t="s">
        <v>58</v>
      </c>
      <c r="C5988" s="24" t="s">
        <v>5</v>
      </c>
      <c r="D5988" s="24">
        <v>0</v>
      </c>
      <c r="E5988" s="24" t="s">
        <v>795</v>
      </c>
      <c r="F5988" s="24"/>
      <c r="G5988" s="24"/>
    </row>
    <row r="5989" spans="1:7" x14ac:dyDescent="0.25">
      <c r="A5989" s="24" t="s">
        <v>735</v>
      </c>
      <c r="B5989" s="24" t="s">
        <v>58</v>
      </c>
      <c r="C5989" s="24" t="s">
        <v>5</v>
      </c>
      <c r="D5989" s="24">
        <v>0</v>
      </c>
      <c r="E5989" s="24" t="s">
        <v>795</v>
      </c>
      <c r="F5989" s="24"/>
      <c r="G5989" s="24"/>
    </row>
    <row r="5990" spans="1:7" x14ac:dyDescent="0.25">
      <c r="A5990" s="24" t="s">
        <v>736</v>
      </c>
      <c r="B5990" s="24" t="s">
        <v>58</v>
      </c>
      <c r="C5990" s="24" t="s">
        <v>5</v>
      </c>
      <c r="D5990" s="24">
        <v>0</v>
      </c>
      <c r="E5990" s="24" t="s">
        <v>795</v>
      </c>
      <c r="F5990" s="24"/>
      <c r="G5990" s="24"/>
    </row>
    <row r="5991" spans="1:7" x14ac:dyDescent="0.25">
      <c r="A5991" s="24" t="s">
        <v>737</v>
      </c>
      <c r="B5991" s="24" t="s">
        <v>58</v>
      </c>
      <c r="C5991" s="24" t="s">
        <v>5</v>
      </c>
      <c r="D5991" s="24">
        <v>0</v>
      </c>
      <c r="E5991" s="24" t="s">
        <v>795</v>
      </c>
      <c r="F5991" s="24"/>
      <c r="G5991" s="24"/>
    </row>
    <row r="5992" spans="1:7" x14ac:dyDescent="0.25">
      <c r="A5992" s="24" t="s">
        <v>738</v>
      </c>
      <c r="B5992" s="24" t="s">
        <v>58</v>
      </c>
      <c r="C5992" s="24" t="s">
        <v>5</v>
      </c>
      <c r="D5992" s="24">
        <v>0</v>
      </c>
      <c r="E5992" s="24" t="s">
        <v>795</v>
      </c>
      <c r="F5992" s="24"/>
      <c r="G5992" s="24"/>
    </row>
    <row r="5993" spans="1:7" x14ac:dyDescent="0.25">
      <c r="A5993" s="24" t="s">
        <v>739</v>
      </c>
      <c r="B5993" s="24" t="s">
        <v>58</v>
      </c>
      <c r="C5993" s="24" t="s">
        <v>5</v>
      </c>
      <c r="D5993" s="24">
        <v>0</v>
      </c>
      <c r="E5993" s="24" t="s">
        <v>795</v>
      </c>
      <c r="F5993" s="24"/>
      <c r="G5993" s="24"/>
    </row>
    <row r="5994" spans="1:7" x14ac:dyDescent="0.25">
      <c r="A5994" s="24" t="s">
        <v>740</v>
      </c>
      <c r="B5994" s="24" t="s">
        <v>58</v>
      </c>
      <c r="C5994" s="24" t="s">
        <v>5</v>
      </c>
      <c r="D5994" s="24">
        <v>0</v>
      </c>
      <c r="E5994" s="24" t="s">
        <v>795</v>
      </c>
      <c r="F5994" s="24"/>
      <c r="G5994" s="24"/>
    </row>
    <row r="5995" spans="1:7" x14ac:dyDescent="0.25">
      <c r="A5995" s="24" t="s">
        <v>741</v>
      </c>
      <c r="B5995" s="24" t="s">
        <v>58</v>
      </c>
      <c r="C5995" s="24" t="s">
        <v>5</v>
      </c>
      <c r="D5995" s="24">
        <v>0</v>
      </c>
      <c r="E5995" s="24" t="s">
        <v>795</v>
      </c>
      <c r="F5995" s="24"/>
      <c r="G5995" s="24"/>
    </row>
    <row r="5996" spans="1:7" x14ac:dyDescent="0.25">
      <c r="A5996" s="24" t="s">
        <v>742</v>
      </c>
      <c r="B5996" s="24" t="s">
        <v>58</v>
      </c>
      <c r="C5996" s="24" t="s">
        <v>5</v>
      </c>
      <c r="D5996" s="24">
        <v>0</v>
      </c>
      <c r="E5996" s="24" t="s">
        <v>795</v>
      </c>
      <c r="F5996" s="24"/>
      <c r="G5996" s="24"/>
    </row>
    <row r="5997" spans="1:7" x14ac:dyDescent="0.25">
      <c r="A5997" s="24" t="s">
        <v>743</v>
      </c>
      <c r="B5997" s="24" t="s">
        <v>58</v>
      </c>
      <c r="C5997" s="24" t="s">
        <v>5</v>
      </c>
      <c r="D5997" s="24">
        <v>0</v>
      </c>
      <c r="E5997" s="24" t="s">
        <v>795</v>
      </c>
      <c r="F5997" s="24"/>
      <c r="G5997" s="24"/>
    </row>
    <row r="5998" spans="1:7" x14ac:dyDescent="0.25">
      <c r="A5998" s="24" t="s">
        <v>744</v>
      </c>
      <c r="B5998" s="24" t="s">
        <v>58</v>
      </c>
      <c r="C5998" s="24" t="s">
        <v>5</v>
      </c>
      <c r="D5998" s="24">
        <v>0</v>
      </c>
      <c r="E5998" s="24" t="s">
        <v>795</v>
      </c>
      <c r="F5998" s="24"/>
      <c r="G5998" s="24"/>
    </row>
    <row r="5999" spans="1:7" x14ac:dyDescent="0.25">
      <c r="A5999" s="24" t="s">
        <v>745</v>
      </c>
      <c r="B5999" s="24" t="s">
        <v>58</v>
      </c>
      <c r="C5999" s="24" t="s">
        <v>5</v>
      </c>
      <c r="D5999" s="24">
        <v>0</v>
      </c>
      <c r="E5999" s="24" t="s">
        <v>795</v>
      </c>
      <c r="F5999" s="24"/>
      <c r="G5999" s="24"/>
    </row>
    <row r="6000" spans="1:7" x14ac:dyDescent="0.25">
      <c r="A6000" s="24" t="s">
        <v>746</v>
      </c>
      <c r="B6000" s="24" t="s">
        <v>58</v>
      </c>
      <c r="C6000" s="24" t="s">
        <v>5</v>
      </c>
      <c r="D6000" s="24">
        <v>0</v>
      </c>
      <c r="E6000" s="24" t="s">
        <v>795</v>
      </c>
      <c r="F6000" s="24"/>
      <c r="G6000" s="24"/>
    </row>
    <row r="6001" spans="1:7" x14ac:dyDescent="0.25">
      <c r="A6001" s="24" t="s">
        <v>747</v>
      </c>
      <c r="B6001" s="24" t="s">
        <v>58</v>
      </c>
      <c r="C6001" s="24" t="s">
        <v>5</v>
      </c>
      <c r="D6001" s="24">
        <v>0</v>
      </c>
      <c r="E6001" s="24" t="s">
        <v>795</v>
      </c>
      <c r="F6001" s="24"/>
      <c r="G6001" s="24"/>
    </row>
    <row r="6002" spans="1:7" x14ac:dyDescent="0.25">
      <c r="A6002" s="24" t="s">
        <v>748</v>
      </c>
      <c r="B6002" s="24" t="s">
        <v>58</v>
      </c>
      <c r="C6002" s="24" t="s">
        <v>5</v>
      </c>
      <c r="D6002" s="24">
        <v>0</v>
      </c>
      <c r="E6002" s="24" t="s">
        <v>795</v>
      </c>
      <c r="F6002" s="24"/>
      <c r="G6002" s="24"/>
    </row>
    <row r="6003" spans="1:7" x14ac:dyDescent="0.25">
      <c r="A6003" s="24" t="s">
        <v>749</v>
      </c>
      <c r="B6003" s="24" t="s">
        <v>58</v>
      </c>
      <c r="C6003" s="24" t="s">
        <v>5</v>
      </c>
      <c r="D6003" s="24">
        <v>0</v>
      </c>
      <c r="E6003" s="24" t="s">
        <v>795</v>
      </c>
      <c r="F6003" s="24"/>
      <c r="G6003" s="24"/>
    </row>
    <row r="6004" spans="1:7" x14ac:dyDescent="0.25">
      <c r="A6004" s="24" t="s">
        <v>750</v>
      </c>
      <c r="B6004" s="24" t="s">
        <v>58</v>
      </c>
      <c r="C6004" s="24" t="s">
        <v>5</v>
      </c>
      <c r="D6004" s="24">
        <v>0</v>
      </c>
      <c r="E6004" s="24" t="s">
        <v>795</v>
      </c>
      <c r="F6004" s="24"/>
      <c r="G6004" s="24"/>
    </row>
    <row r="6005" spans="1:7" x14ac:dyDescent="0.25">
      <c r="A6005" s="24" t="s">
        <v>751</v>
      </c>
      <c r="B6005" s="24" t="s">
        <v>58</v>
      </c>
      <c r="C6005" s="24" t="s">
        <v>5</v>
      </c>
      <c r="D6005" s="24">
        <v>0</v>
      </c>
      <c r="E6005" s="24" t="s">
        <v>795</v>
      </c>
      <c r="F6005" s="24"/>
      <c r="G6005" s="24"/>
    </row>
    <row r="6006" spans="1:7" x14ac:dyDescent="0.25">
      <c r="A6006" s="24" t="s">
        <v>752</v>
      </c>
      <c r="B6006" s="24" t="s">
        <v>58</v>
      </c>
      <c r="C6006" s="24" t="s">
        <v>5</v>
      </c>
      <c r="D6006" s="24">
        <v>0</v>
      </c>
      <c r="E6006" s="24" t="s">
        <v>795</v>
      </c>
      <c r="F6006" s="24"/>
      <c r="G6006" s="24"/>
    </row>
    <row r="6007" spans="1:7" x14ac:dyDescent="0.25">
      <c r="A6007" s="24" t="s">
        <v>753</v>
      </c>
      <c r="B6007" s="24" t="s">
        <v>58</v>
      </c>
      <c r="C6007" s="24" t="s">
        <v>5</v>
      </c>
      <c r="D6007" s="24">
        <v>0</v>
      </c>
      <c r="E6007" s="24" t="s">
        <v>795</v>
      </c>
      <c r="F6007" s="24"/>
      <c r="G6007" s="24"/>
    </row>
    <row r="6008" spans="1:7" x14ac:dyDescent="0.25">
      <c r="A6008" s="24" t="s">
        <v>754</v>
      </c>
      <c r="B6008" s="24" t="s">
        <v>58</v>
      </c>
      <c r="C6008" s="24" t="s">
        <v>5</v>
      </c>
      <c r="D6008" s="24">
        <v>0</v>
      </c>
      <c r="E6008" s="24" t="s">
        <v>795</v>
      </c>
      <c r="F6008" s="24"/>
      <c r="G6008" s="24"/>
    </row>
    <row r="6009" spans="1:7" x14ac:dyDescent="0.25">
      <c r="A6009" s="24" t="s">
        <v>755</v>
      </c>
      <c r="B6009" s="24" t="s">
        <v>58</v>
      </c>
      <c r="C6009" s="24" t="s">
        <v>5</v>
      </c>
      <c r="D6009" s="24">
        <v>0</v>
      </c>
      <c r="E6009" s="24" t="s">
        <v>795</v>
      </c>
      <c r="F6009" s="24"/>
      <c r="G6009" s="24"/>
    </row>
    <row r="6010" spans="1:7" x14ac:dyDescent="0.25">
      <c r="A6010" s="24" t="s">
        <v>756</v>
      </c>
      <c r="B6010" s="24" t="s">
        <v>58</v>
      </c>
      <c r="C6010" s="24" t="s">
        <v>5</v>
      </c>
      <c r="D6010" s="24">
        <v>0</v>
      </c>
      <c r="E6010" s="24" t="s">
        <v>795</v>
      </c>
      <c r="F6010" s="24"/>
      <c r="G6010" s="24"/>
    </row>
    <row r="6011" spans="1:7" x14ac:dyDescent="0.25">
      <c r="A6011" s="24" t="s">
        <v>757</v>
      </c>
      <c r="B6011" s="24" t="s">
        <v>58</v>
      </c>
      <c r="C6011" s="24" t="s">
        <v>5</v>
      </c>
      <c r="D6011" s="24">
        <v>0</v>
      </c>
      <c r="E6011" s="24" t="s">
        <v>795</v>
      </c>
      <c r="F6011" s="24"/>
      <c r="G6011" s="24"/>
    </row>
    <row r="6012" spans="1:7" x14ac:dyDescent="0.25">
      <c r="A6012" s="24" t="s">
        <v>758</v>
      </c>
      <c r="B6012" s="24" t="s">
        <v>58</v>
      </c>
      <c r="C6012" s="24" t="s">
        <v>5</v>
      </c>
      <c r="D6012" s="24">
        <v>0</v>
      </c>
      <c r="E6012" s="24" t="s">
        <v>795</v>
      </c>
      <c r="F6012" s="24"/>
      <c r="G6012" s="24"/>
    </row>
    <row r="6013" spans="1:7" x14ac:dyDescent="0.25">
      <c r="A6013" s="24" t="s">
        <v>759</v>
      </c>
      <c r="B6013" s="24" t="s">
        <v>58</v>
      </c>
      <c r="C6013" s="24" t="s">
        <v>5</v>
      </c>
      <c r="D6013" s="24">
        <v>0</v>
      </c>
      <c r="E6013" s="24" t="s">
        <v>795</v>
      </c>
      <c r="F6013" s="24"/>
      <c r="G6013" s="24"/>
    </row>
    <row r="6014" spans="1:7" x14ac:dyDescent="0.25">
      <c r="A6014" s="24" t="s">
        <v>760</v>
      </c>
      <c r="B6014" s="24" t="s">
        <v>58</v>
      </c>
      <c r="C6014" s="24" t="s">
        <v>5</v>
      </c>
      <c r="D6014" s="24">
        <v>0</v>
      </c>
      <c r="E6014" s="24" t="s">
        <v>795</v>
      </c>
      <c r="F6014" s="24"/>
      <c r="G6014" s="24"/>
    </row>
    <row r="6015" spans="1:7" x14ac:dyDescent="0.25">
      <c r="A6015" s="24" t="s">
        <v>761</v>
      </c>
      <c r="B6015" s="24" t="s">
        <v>58</v>
      </c>
      <c r="C6015" s="24" t="s">
        <v>5</v>
      </c>
      <c r="D6015" s="24">
        <v>0</v>
      </c>
      <c r="E6015" s="24" t="s">
        <v>795</v>
      </c>
      <c r="F6015" s="24"/>
      <c r="G6015" s="24"/>
    </row>
    <row r="6016" spans="1:7" x14ac:dyDescent="0.25">
      <c r="A6016" s="24" t="s">
        <v>762</v>
      </c>
      <c r="B6016" s="24" t="s">
        <v>58</v>
      </c>
      <c r="C6016" s="24" t="s">
        <v>5</v>
      </c>
      <c r="D6016" s="24">
        <v>0</v>
      </c>
      <c r="E6016" s="24" t="s">
        <v>795</v>
      </c>
      <c r="F6016" s="24"/>
      <c r="G6016" s="24"/>
    </row>
    <row r="6017" spans="1:7" x14ac:dyDescent="0.25">
      <c r="A6017" s="24" t="s">
        <v>763</v>
      </c>
      <c r="B6017" s="24" t="s">
        <v>58</v>
      </c>
      <c r="C6017" s="24" t="s">
        <v>5</v>
      </c>
      <c r="D6017" s="24">
        <v>0</v>
      </c>
      <c r="E6017" s="24" t="s">
        <v>795</v>
      </c>
      <c r="F6017" s="24"/>
      <c r="G6017" s="24"/>
    </row>
    <row r="6018" spans="1:7" x14ac:dyDescent="0.25">
      <c r="A6018" s="24" t="s">
        <v>764</v>
      </c>
      <c r="B6018" s="24" t="s">
        <v>58</v>
      </c>
      <c r="C6018" s="24" t="s">
        <v>5</v>
      </c>
      <c r="D6018" s="24">
        <v>0</v>
      </c>
      <c r="E6018" s="24" t="s">
        <v>795</v>
      </c>
      <c r="F6018" s="24"/>
      <c r="G6018" s="24"/>
    </row>
    <row r="6019" spans="1:7" x14ac:dyDescent="0.25">
      <c r="A6019" s="24" t="s">
        <v>765</v>
      </c>
      <c r="B6019" s="24" t="s">
        <v>58</v>
      </c>
      <c r="C6019" s="24" t="s">
        <v>5</v>
      </c>
      <c r="D6019" s="24">
        <v>0</v>
      </c>
      <c r="E6019" s="24" t="s">
        <v>795</v>
      </c>
      <c r="F6019" s="24"/>
      <c r="G6019" s="24"/>
    </row>
    <row r="6020" spans="1:7" x14ac:dyDescent="0.25">
      <c r="A6020" s="24" t="s">
        <v>766</v>
      </c>
      <c r="B6020" s="24" t="s">
        <v>58</v>
      </c>
      <c r="C6020" s="24" t="s">
        <v>5</v>
      </c>
      <c r="D6020" s="24">
        <v>0</v>
      </c>
      <c r="E6020" s="24" t="s">
        <v>795</v>
      </c>
      <c r="F6020" s="24"/>
      <c r="G6020" s="24"/>
    </row>
    <row r="6021" spans="1:7" x14ac:dyDescent="0.25">
      <c r="A6021" s="24" t="s">
        <v>768</v>
      </c>
      <c r="B6021" s="24" t="s">
        <v>58</v>
      </c>
      <c r="C6021" s="24" t="s">
        <v>5</v>
      </c>
      <c r="D6021" s="24">
        <v>0</v>
      </c>
      <c r="E6021" s="24" t="s">
        <v>795</v>
      </c>
      <c r="F6021" s="24"/>
      <c r="G6021" s="24"/>
    </row>
  </sheetData>
  <autoFilter ref="A1:G602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Calculadora</vt:lpstr>
      <vt:lpstr>Datos</vt:lpstr>
      <vt:lpstr>Fuentes</vt:lpstr>
      <vt:lpstr>Lista</vt:lpstr>
      <vt:lpstr>Valores completados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Kristhofer Godoy Godoy</cp:lastModifiedBy>
  <dcterms:created xsi:type="dcterms:W3CDTF">2026-10-26T15:46:09Z</dcterms:created>
  <dcterms:modified xsi:type="dcterms:W3CDTF">2026-10-26T19:23:43Z</dcterms:modified>
</cp:coreProperties>
</file>